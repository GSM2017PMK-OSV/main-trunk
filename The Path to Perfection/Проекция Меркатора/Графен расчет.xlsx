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2\Desktop\Законы Овчииников на 28.07\Законы\Эксперимент\Графит (графен) решетка\"/>
    </mc:Choice>
  </mc:AlternateContent>
  <xr:revisionPtr revIDLastSave="0" documentId="13_ncr:1_{63339418-69CC-449F-8936-D6906D4C93A4}" xr6:coauthVersionLast="47" xr6:coauthVersionMax="47" xr10:uidLastSave="{00000000-0000-0000-0000-000000000000}"/>
  <bookViews>
    <workbookView xWindow="-96" yWindow="-96" windowWidth="17472" windowHeight="1099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B27" i="1"/>
  <c r="B28" i="1"/>
  <c r="B29" i="1"/>
  <c r="F26" i="1"/>
  <c r="H27" i="1"/>
  <c r="H28" i="1"/>
  <c r="H29" i="1"/>
  <c r="H26" i="1"/>
  <c r="C27" i="1"/>
  <c r="C28" i="1"/>
  <c r="C29" i="1"/>
  <c r="M29" i="1"/>
  <c r="AE29" i="1" s="1"/>
  <c r="L29" i="1"/>
  <c r="Y29" i="1" s="1"/>
  <c r="K29" i="1"/>
  <c r="L27" i="1"/>
  <c r="L28" i="1"/>
  <c r="L26" i="1"/>
  <c r="K27" i="1"/>
  <c r="K28" i="1"/>
  <c r="K26" i="1"/>
  <c r="B26" i="1" l="1"/>
  <c r="W29" i="1"/>
  <c r="N29" i="1"/>
  <c r="P29" i="1" s="1"/>
  <c r="S29" i="1" s="1"/>
  <c r="U29" i="1" s="1"/>
  <c r="V29" i="1"/>
  <c r="N27" i="1"/>
  <c r="P27" i="1" s="1"/>
  <c r="Z29" i="1"/>
  <c r="N28" i="1"/>
  <c r="P28" i="1" s="1"/>
  <c r="AA29" i="1"/>
  <c r="N26" i="1"/>
  <c r="P26" i="1" s="1"/>
  <c r="AB29" i="1"/>
  <c r="X29" i="1"/>
  <c r="AD29" i="1"/>
  <c r="R29" i="1"/>
  <c r="Y28" i="1"/>
  <c r="X28" i="1"/>
  <c r="W28" i="1"/>
  <c r="V28" i="1"/>
  <c r="M28" i="1"/>
  <c r="AE28" i="1" s="1"/>
  <c r="Y27" i="1"/>
  <c r="X27" i="1"/>
  <c r="W27" i="1"/>
  <c r="V27" i="1"/>
  <c r="M27" i="1"/>
  <c r="AE27" i="1" s="1"/>
  <c r="Y26" i="1"/>
  <c r="X26" i="1"/>
  <c r="W26" i="1"/>
  <c r="V26" i="1"/>
  <c r="M26" i="1"/>
  <c r="Q29" i="1" l="1"/>
  <c r="T29" i="1" s="1"/>
  <c r="AF29" i="1"/>
  <c r="AG29" i="1" s="1"/>
  <c r="AC29" i="1"/>
  <c r="Z27" i="1"/>
  <c r="AB27" i="1"/>
  <c r="AD27" i="1"/>
  <c r="AA27" i="1"/>
  <c r="R28" i="1"/>
  <c r="S28" i="1"/>
  <c r="U28" i="1" s="1"/>
  <c r="Z28" i="1"/>
  <c r="AA28" i="1"/>
  <c r="AB28" i="1"/>
  <c r="AD28" i="1"/>
  <c r="Q26" i="1"/>
  <c r="T26" i="1" s="1"/>
  <c r="R26" i="1"/>
  <c r="S26" i="1"/>
  <c r="U26" i="1" s="1"/>
  <c r="S27" i="1"/>
  <c r="U27" i="1" s="1"/>
  <c r="R27" i="1"/>
  <c r="Q27" i="1"/>
  <c r="T27" i="1" s="1"/>
  <c r="Z26" i="1"/>
  <c r="AA26" i="1"/>
  <c r="AB26" i="1"/>
  <c r="Q28" i="1"/>
  <c r="AD26" i="1"/>
  <c r="AE26" i="1"/>
  <c r="T28" i="1" l="1"/>
  <c r="F29" i="1"/>
  <c r="E29" i="1"/>
  <c r="G29" i="1"/>
  <c r="D29" i="1"/>
  <c r="AF27" i="1"/>
  <c r="AG27" i="1" s="1"/>
  <c r="AF26" i="1"/>
  <c r="AF28" i="1"/>
  <c r="D27" i="1"/>
  <c r="E27" i="1"/>
  <c r="F27" i="1"/>
  <c r="G27" i="1"/>
  <c r="AG28" i="1"/>
  <c r="AC27" i="1"/>
  <c r="AC28" i="1"/>
  <c r="AG26" i="1"/>
  <c r="AC26" i="1"/>
  <c r="E26" i="1" l="1"/>
  <c r="G26" i="1"/>
  <c r="D26" i="1"/>
  <c r="F28" i="1"/>
  <c r="G28" i="1"/>
  <c r="E28" i="1"/>
  <c r="D28" i="1"/>
</calcChain>
</file>

<file path=xl/sharedStrings.xml><?xml version="1.0" encoding="utf-8"?>
<sst xmlns="http://schemas.openxmlformats.org/spreadsheetml/2006/main" count="120" uniqueCount="93">
  <si>
    <t>Параметр</t>
  </si>
  <si>
    <t>Обозначение</t>
  </si>
  <si>
    <t>Значение</t>
  </si>
  <si>
    <t>Единицы</t>
  </si>
  <si>
    <t>Время воздействия</t>
  </si>
  <si>
    <t>t</t>
  </si>
  <si>
    <t>сек</t>
  </si>
  <si>
    <t>Частота</t>
  </si>
  <si>
    <t>f</t>
  </si>
  <si>
    <t>Гц</t>
  </si>
  <si>
    <t>Энергия удара</t>
  </si>
  <si>
    <t>E</t>
  </si>
  <si>
    <t>Дж</t>
  </si>
  <si>
    <t>Энергия связи</t>
  </si>
  <si>
    <t>E0</t>
  </si>
  <si>
    <t>Число импульсов</t>
  </si>
  <si>
    <t>n</t>
  </si>
  <si>
    <t>-</t>
  </si>
  <si>
    <t>Параметр решетки</t>
  </si>
  <si>
    <t>a</t>
  </si>
  <si>
    <t>м (2.46Å)</t>
  </si>
  <si>
    <t>x-координата центра</t>
  </si>
  <si>
    <t>x0</t>
  </si>
  <si>
    <t>м</t>
  </si>
  <si>
    <t>y-координата центра</t>
  </si>
  <si>
    <t>y0</t>
  </si>
  <si>
    <t>z-координата центра</t>
  </si>
  <si>
    <t>z0</t>
  </si>
  <si>
    <t>Критическое Λ</t>
  </si>
  <si>
    <t>Исходные данные для численного эксперимента в Excel</t>
  </si>
  <si>
    <t>Единицы измерения</t>
  </si>
  <si>
    <t>Примечание</t>
  </si>
  <si>
    <t>Межслоевое расстояние</t>
  </si>
  <si>
    <t>c</t>
  </si>
  <si>
    <t>Энергия связи C-C</t>
  </si>
  <si>
    <t>E₀</t>
  </si>
  <si>
    <t>Характерное значение</t>
  </si>
  <si>
    <t>Критическое Λ (2D)</t>
  </si>
  <si>
    <t>Порог для монослоя</t>
  </si>
  <si>
    <t>Критическое Λ (3D)</t>
  </si>
  <si>
    <t>Порог для многослойной структуры</t>
  </si>
  <si>
    <t>Радиус воздействия</t>
  </si>
  <si>
    <t>Зона влияния</t>
  </si>
  <si>
    <t>Коэффициент упругости</t>
  </si>
  <si>
    <t>k</t>
  </si>
  <si>
    <t>Н/м</t>
  </si>
  <si>
    <t>Для модели деформации</t>
  </si>
  <si>
    <t>Значение 1</t>
  </si>
  <si>
    <t>Значение 2</t>
  </si>
  <si>
    <t>Значение 3</t>
  </si>
  <si>
    <t>Время воздействия (t)</t>
  </si>
  <si>
    <t>Частота (f)</t>
  </si>
  <si>
    <t>Энергия импульса (E)</t>
  </si>
  <si>
    <t>Число импульсов (n)</t>
  </si>
  <si>
    <t>Радиус спирали (R)</t>
  </si>
  <si>
    <t>Шаг спирали (h)</t>
  </si>
  <si>
    <t>Λ</t>
  </si>
  <si>
    <t>Воздействие (варируемые параметры)</t>
  </si>
  <si>
    <t xml:space="preserve">Константы </t>
  </si>
  <si>
    <t>Λcrit 2D</t>
  </si>
  <si>
    <t>Λcrit 3D</t>
  </si>
  <si>
    <t>R impact</t>
  </si>
  <si>
    <t>Λcrit</t>
  </si>
  <si>
    <t>2,46 Å для графита</t>
  </si>
  <si>
    <t>3,35 Å для графита</t>
  </si>
  <si>
    <t>Безразмерный угол</t>
  </si>
  <si>
    <t>Параметрические уравнения спирали</t>
  </si>
  <si>
    <t>Физические значения</t>
  </si>
  <si>
    <t>Кривизна F</t>
  </si>
  <si>
    <t>Кручение</t>
  </si>
  <si>
    <t>Число</t>
  </si>
  <si>
    <t>ПИ</t>
  </si>
  <si>
    <t>МАХ</t>
  </si>
  <si>
    <t>2ПИ</t>
  </si>
  <si>
    <t>2ПИ(А)/МАКС</t>
  </si>
  <si>
    <t>Х</t>
  </si>
  <si>
    <t>Y</t>
  </si>
  <si>
    <t>Z</t>
  </si>
  <si>
    <t>Z(θ=2π)</t>
  </si>
  <si>
    <t>F</t>
  </si>
  <si>
    <t>G</t>
  </si>
  <si>
    <t>Параметр воздействия</t>
  </si>
  <si>
    <t xml:space="preserve">Постоянные </t>
  </si>
  <si>
    <t>Проверка критичности</t>
  </si>
  <si>
    <t>Наименование</t>
  </si>
  <si>
    <t>θ (расчетная в ExcеI )</t>
  </si>
  <si>
    <t>Физический статус системы</t>
  </si>
  <si>
    <t>Разброс в зоне стабилизации (±Δθ)</t>
  </si>
  <si>
    <t>θ=180 + 31 * EXP(-0,15 * (λ  - 8,28)</t>
  </si>
  <si>
    <t>λ</t>
  </si>
  <si>
    <t>Таблица 1</t>
  </si>
  <si>
    <t>Расчет 1</t>
  </si>
  <si>
    <t>ГРАФЕН на 28.07.2025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</si>
</sst>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#,##0.00\ _₽"/>
  </numFmts>
  <fonts count="5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1" fillId="3" borderId="1" applyNumberFormat="0" applyAlignment="0" applyProtection="0"/>
  </cellStyleXfs>
  <cellXfs count="54">
    <xf numFmtId="0" fontId="0" fillId="0" borderId="0" xfId="0"/>
    <xf numFmtId="0" fontId="0" fillId="2" borderId="0" xfId="0" applyFill="1"/>
    <xf numFmtId="0" fontId="1" fillId="3" borderId="1" xfId="1"/>
    <xf numFmtId="11" fontId="1" fillId="3" borderId="1" xfId="1" applyNumberFormat="1"/>
    <xf numFmtId="0" fontId="1" fillId="3" borderId="1" xfId="1" applyAlignment="1">
      <alignment horizontal="center"/>
    </xf>
    <xf numFmtId="164" fontId="1" fillId="3" borderId="1" xfId="1" applyNumberFormat="1" applyAlignment="1">
      <alignment horizontal="center"/>
    </xf>
    <xf numFmtId="164" fontId="1" fillId="3" borderId="1" xfId="1" applyNumberFormat="1"/>
    <xf numFmtId="165" fontId="1" fillId="3" borderId="1" xfId="1" applyNumberFormat="1"/>
    <xf numFmtId="1" fontId="1" fillId="3" borderId="1" xfId="1" applyNumberFormat="1" applyAlignment="1">
      <alignment horizontal="center"/>
    </xf>
    <xf numFmtId="0" fontId="2" fillId="0" borderId="0" xfId="0" applyFont="1"/>
    <xf numFmtId="1" fontId="1" fillId="3" borderId="6" xfId="1" applyNumberFormat="1" applyBorder="1" applyAlignment="1">
      <alignment horizontal="center"/>
    </xf>
    <xf numFmtId="0" fontId="1" fillId="3" borderId="2" xfId="1" applyBorder="1" applyAlignment="1">
      <alignment horizontal="center" vertical="center"/>
    </xf>
    <xf numFmtId="49" fontId="1" fillId="3" borderId="2" xfId="1" applyNumberFormat="1" applyBorder="1" applyAlignment="1">
      <alignment horizontal="center" vertical="center" wrapText="1"/>
    </xf>
    <xf numFmtId="0" fontId="1" fillId="3" borderId="2" xfId="1" applyBorder="1" applyAlignment="1">
      <alignment horizontal="center" vertical="center" wrapText="1"/>
    </xf>
    <xf numFmtId="0" fontId="1" fillId="3" borderId="2" xfId="1" applyBorder="1" applyAlignment="1">
      <alignment horizontal="center"/>
    </xf>
    <xf numFmtId="166" fontId="1" fillId="3" borderId="2" xfId="1" applyNumberFormat="1" applyBorder="1" applyAlignment="1">
      <alignment horizontal="center" vertical="center"/>
    </xf>
    <xf numFmtId="2" fontId="1" fillId="3" borderId="2" xfId="1" applyNumberFormat="1" applyBorder="1" applyAlignment="1">
      <alignment horizontal="center" vertical="center"/>
    </xf>
    <xf numFmtId="165" fontId="1" fillId="3" borderId="2" xfId="1" applyNumberFormat="1" applyBorder="1"/>
    <xf numFmtId="0" fontId="0" fillId="4" borderId="0" xfId="0" applyFill="1"/>
    <xf numFmtId="2" fontId="1" fillId="4" borderId="0" xfId="1" applyNumberFormat="1" applyFill="1" applyBorder="1" applyAlignment="1">
      <alignment vertical="center" wrapText="1"/>
    </xf>
    <xf numFmtId="3" fontId="1" fillId="3" borderId="2" xfId="1" applyNumberFormat="1" applyBorder="1" applyAlignment="1">
      <alignment horizontal="center" vertical="center" wrapText="1"/>
    </xf>
    <xf numFmtId="0" fontId="3" fillId="0" borderId="0" xfId="0" applyFont="1"/>
    <xf numFmtId="0" fontId="2" fillId="2" borderId="0" xfId="0" applyFont="1" applyFill="1"/>
    <xf numFmtId="4" fontId="1" fillId="3" borderId="2" xfId="1" applyNumberFormat="1" applyBorder="1" applyAlignment="1">
      <alignment horizontal="center" vertical="center" wrapText="1"/>
    </xf>
    <xf numFmtId="0" fontId="1" fillId="3" borderId="1" xfId="1" applyAlignment="1">
      <alignment horizontal="center"/>
    </xf>
    <xf numFmtId="0" fontId="1" fillId="3" borderId="3" xfId="1" applyBorder="1" applyAlignment="1">
      <alignment horizontal="center"/>
    </xf>
    <xf numFmtId="0" fontId="1" fillId="3" borderId="4" xfId="1" applyBorder="1" applyAlignment="1">
      <alignment horizontal="center"/>
    </xf>
    <xf numFmtId="0" fontId="1" fillId="3" borderId="5" xfId="1" applyBorder="1" applyAlignment="1">
      <alignment horizontal="center"/>
    </xf>
    <xf numFmtId="11" fontId="4" fillId="3" borderId="1" xfId="1" applyNumberFormat="1" applyFont="1"/>
    <xf numFmtId="0" fontId="1" fillId="4" borderId="0" xfId="1" applyFill="1" applyBorder="1" applyAlignment="1">
      <alignment horizontal="center" vertical="center"/>
    </xf>
    <xf numFmtId="0" fontId="0" fillId="4" borderId="0" xfId="0" applyFill="1" applyBorder="1"/>
    <xf numFmtId="0" fontId="2" fillId="4" borderId="0" xfId="0" applyFont="1" applyFill="1" applyBorder="1"/>
    <xf numFmtId="4" fontId="1" fillId="4" borderId="0" xfId="1" applyNumberFormat="1" applyFill="1" applyBorder="1" applyAlignment="1">
      <alignment horizontal="center" vertical="center" wrapText="1"/>
    </xf>
    <xf numFmtId="49" fontId="1" fillId="4" borderId="0" xfId="1" applyNumberFormat="1" applyFill="1" applyBorder="1" applyAlignment="1">
      <alignment horizontal="center" vertical="center" wrapText="1"/>
    </xf>
    <xf numFmtId="0" fontId="1" fillId="4" borderId="0" xfId="1" applyFill="1" applyBorder="1" applyAlignment="1">
      <alignment horizontal="center" vertical="center" wrapText="1"/>
    </xf>
    <xf numFmtId="3" fontId="1" fillId="4" borderId="0" xfId="1" applyNumberFormat="1" applyFill="1" applyBorder="1" applyAlignment="1">
      <alignment horizontal="center" vertical="center" wrapText="1"/>
    </xf>
    <xf numFmtId="0" fontId="1" fillId="4" borderId="0" xfId="1" applyFill="1" applyBorder="1" applyAlignment="1">
      <alignment horizontal="center"/>
    </xf>
    <xf numFmtId="166" fontId="1" fillId="4" borderId="0" xfId="1" applyNumberFormat="1" applyFill="1" applyBorder="1" applyAlignment="1">
      <alignment horizontal="center" vertical="center"/>
    </xf>
    <xf numFmtId="2" fontId="1" fillId="4" borderId="0" xfId="1" applyNumberFormat="1" applyFill="1" applyBorder="1" applyAlignment="1">
      <alignment horizontal="center" vertical="center"/>
    </xf>
    <xf numFmtId="165" fontId="1" fillId="4" borderId="0" xfId="1" applyNumberFormat="1" applyFill="1" applyBorder="1"/>
    <xf numFmtId="4" fontId="1" fillId="3" borderId="2" xfId="1" applyNumberFormat="1" applyBorder="1" applyAlignment="1">
      <alignment vertical="center" wrapText="1"/>
    </xf>
    <xf numFmtId="3" fontId="1" fillId="3" borderId="2" xfId="1" applyNumberFormat="1" applyBorder="1" applyAlignment="1">
      <alignment vertical="center" wrapText="1"/>
    </xf>
    <xf numFmtId="0" fontId="1" fillId="3" borderId="3" xfId="1" applyBorder="1" applyAlignment="1">
      <alignment horizontal="center"/>
    </xf>
    <xf numFmtId="0" fontId="1" fillId="3" borderId="4" xfId="1" applyBorder="1" applyAlignment="1">
      <alignment horizontal="center"/>
    </xf>
    <xf numFmtId="0" fontId="1" fillId="3" borderId="5" xfId="1" applyBorder="1" applyAlignment="1">
      <alignment horizontal="center"/>
    </xf>
    <xf numFmtId="0" fontId="1" fillId="3" borderId="3" xfId="1" applyBorder="1" applyAlignment="1">
      <alignment horizontal="center" vertical="center" wrapText="1"/>
    </xf>
    <xf numFmtId="0" fontId="1" fillId="3" borderId="4" xfId="1" applyBorder="1" applyAlignment="1">
      <alignment horizontal="center" vertical="center" wrapText="1"/>
    </xf>
    <xf numFmtId="0" fontId="1" fillId="3" borderId="5" xfId="1" applyBorder="1" applyAlignment="1">
      <alignment horizontal="center" vertical="center" wrapText="1"/>
    </xf>
    <xf numFmtId="0" fontId="1" fillId="3" borderId="7" xfId="1" applyBorder="1" applyAlignment="1">
      <alignment horizontal="center"/>
    </xf>
    <xf numFmtId="0" fontId="1" fillId="3" borderId="8" xfId="1" applyBorder="1" applyAlignment="1">
      <alignment horizontal="center"/>
    </xf>
    <xf numFmtId="4" fontId="1" fillId="4" borderId="0" xfId="1" applyNumberFormat="1" applyFill="1" applyBorder="1" applyAlignment="1">
      <alignment horizontal="center" vertical="center" wrapText="1"/>
    </xf>
    <xf numFmtId="3" fontId="1" fillId="4" borderId="0" xfId="1" applyNumberFormat="1" applyFill="1" applyBorder="1" applyAlignment="1">
      <alignment horizontal="center" vertical="center" wrapText="1"/>
    </xf>
    <xf numFmtId="0" fontId="1" fillId="3" borderId="1" xfId="1" applyAlignment="1">
      <alignment horizontal="center" vertical="center"/>
    </xf>
    <xf numFmtId="0" fontId="1" fillId="3" borderId="1" xfId="1" applyAlignment="1">
      <alignment horizontal="center" vertical="center" wrapText="1"/>
    </xf>
  </cellXfs>
  <cellStyles count="2">
    <cellStyle name="Вычисление" xfId="1" builtinId="2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Лист1!$C$26:$C$29</c:f>
              <c:numCache>
                <c:formatCode>#,##0.00</c:formatCode>
                <c:ptCount val="4"/>
                <c:pt idx="0">
                  <c:v>5.9332501744751514E-25</c:v>
                </c:pt>
                <c:pt idx="1">
                  <c:v>1.8762584478932927E-35</c:v>
                </c:pt>
                <c:pt idx="2">
                  <c:v>16.737236108097999</c:v>
                </c:pt>
                <c:pt idx="3">
                  <c:v>523891521451.6167</c:v>
                </c:pt>
              </c:numCache>
            </c:numRef>
          </c:xVal>
          <c:yVal>
            <c:numRef>
              <c:f>Лист1!$D$26:$D$29</c:f>
              <c:numCache>
                <c:formatCode>#\ ##0.00\ _₽</c:formatCode>
                <c:ptCount val="4"/>
                <c:pt idx="0">
                  <c:v>340.5</c:v>
                </c:pt>
                <c:pt idx="1">
                  <c:v>340.5</c:v>
                </c:pt>
                <c:pt idx="2">
                  <c:v>6</c:v>
                </c:pt>
                <c:pt idx="3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46-42E3-BEBD-4FF7CD0A1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444656"/>
        <c:axId val="1961449936"/>
      </c:scatterChart>
      <c:valAx>
        <c:axId val="196144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1449936"/>
        <c:crosses val="autoZero"/>
        <c:crossBetween val="midCat"/>
      </c:valAx>
      <c:valAx>
        <c:axId val="196144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_₽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144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094582239720035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Лист1!$B$26:$B$29</c:f>
              <c:strCache>
                <c:ptCount val="4"/>
                <c:pt idx="0">
                  <c:v>Время воздействия (t)</c:v>
                </c:pt>
                <c:pt idx="1">
                  <c:v>Энергия импульса (E)</c:v>
                </c:pt>
                <c:pt idx="2">
                  <c:v>Число импульсов (n)</c:v>
                </c:pt>
                <c:pt idx="3">
                  <c:v>Частота (f)</c:v>
                </c:pt>
              </c:strCache>
            </c:strRef>
          </c:cat>
          <c:val>
            <c:numRef>
              <c:f>Лист1!$C$26:$C$29</c:f>
              <c:numCache>
                <c:formatCode>#,##0.00</c:formatCode>
                <c:ptCount val="4"/>
                <c:pt idx="0">
                  <c:v>5.9332501744751514E-25</c:v>
                </c:pt>
                <c:pt idx="1">
                  <c:v>1.8762584478932927E-35</c:v>
                </c:pt>
                <c:pt idx="2">
                  <c:v>16.737236108097999</c:v>
                </c:pt>
                <c:pt idx="3">
                  <c:v>523891521451.6167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6-451F-A0EC-B17C96315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1735744"/>
        <c:axId val="52173094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Лист1!$B$26:$B$29</c:f>
              <c:strCache>
                <c:ptCount val="4"/>
                <c:pt idx="0">
                  <c:v>Время воздействия (t)</c:v>
                </c:pt>
                <c:pt idx="1">
                  <c:v>Энергия импульса (E)</c:v>
                </c:pt>
                <c:pt idx="2">
                  <c:v>Число импульсов (n)</c:v>
                </c:pt>
                <c:pt idx="3">
                  <c:v>Частота (f)</c:v>
                </c:pt>
              </c:strCache>
            </c:strRef>
          </c:cat>
          <c:val>
            <c:numRef>
              <c:f>Лист1!$D$26:$D$29</c:f>
              <c:numCache>
                <c:formatCode>#\ ##0.00\ _₽</c:formatCode>
                <c:ptCount val="4"/>
                <c:pt idx="0">
                  <c:v>340.5</c:v>
                </c:pt>
                <c:pt idx="1">
                  <c:v>340.5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96-451F-A0EC-B17C96315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992560"/>
        <c:axId val="1948997360"/>
      </c:lineChart>
      <c:catAx>
        <c:axId val="194899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8997360"/>
        <c:crosses val="autoZero"/>
        <c:auto val="1"/>
        <c:lblAlgn val="ctr"/>
        <c:lblOffset val="100"/>
        <c:noMultiLvlLbl val="0"/>
      </c:catAx>
      <c:valAx>
        <c:axId val="194899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_₽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8992560"/>
        <c:crosses val="autoZero"/>
        <c:crossBetween val="between"/>
      </c:valAx>
      <c:valAx>
        <c:axId val="521730944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1735744"/>
        <c:crosses val="max"/>
        <c:crossBetween val="between"/>
      </c:valAx>
      <c:catAx>
        <c:axId val="521735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17309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1584960</xdr:colOff>
      <xdr:row>31</xdr:row>
      <xdr:rowOff>91440</xdr:rowOff>
    </xdr:from>
    <xdr:to>
      <xdr:col>4</xdr:col>
      <xdr:colOff>274320</xdr:colOff>
      <xdr:row>44</xdr:row>
      <xdr:rowOff>167640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AF9104F-84CA-AB64-6273-E2FE35B76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236220</xdr:colOff>
      <xdr:row>31</xdr:row>
      <xdr:rowOff>137160</xdr:rowOff>
    </xdr:from>
    <xdr:to>
      <xdr:col>7</xdr:col>
      <xdr:colOff>586740</xdr:colOff>
      <xdr:row>45</xdr:row>
      <xdr:rowOff>30480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4CC7EBD-BD1E-C9E4-BCB5-C01889E56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6"/>
  <sheetViews>
    <sheetView tabSelected="1" zoomScale="50" zoomScaleNormal="50" workbookViewId="0">
      <selection activeCell="L5" sqref="L5"/>
    </sheetView>
  </sheetViews>
  <sheetFormatPr defaultRowHeight="14.4" x14ac:dyDescent="0.55000000000000004"/>
  <cols>
    <col min="1" max="1" width="22.1015625" customWidth="1"/>
    <col min="2" max="2" width="21.9453125" customWidth="1"/>
    <col min="3" max="3" width="17.578125" customWidth="1"/>
    <col min="4" max="4" width="19.578125" customWidth="1"/>
    <col min="5" max="5" width="13.3671875" customWidth="1"/>
    <col min="6" max="6" width="28" customWidth="1"/>
    <col min="7" max="7" width="30.26171875" customWidth="1"/>
    <col min="8" max="8" width="24.68359375" customWidth="1"/>
    <col min="9" max="9" width="15.15625" customWidth="1"/>
    <col min="10" max="10" width="23.83984375" customWidth="1"/>
    <col min="11" max="11" width="14.3125" customWidth="1"/>
    <col min="12" max="12" width="13.7890625" customWidth="1"/>
    <col min="13" max="13" width="12.1015625" customWidth="1"/>
    <col min="14" max="14" width="10.26171875" customWidth="1"/>
    <col min="15" max="15" width="8.62890625" customWidth="1"/>
    <col min="16" max="16" width="12.3125" customWidth="1"/>
    <col min="17" max="17" width="11.9453125" customWidth="1"/>
    <col min="18" max="18" width="9.05078125" customWidth="1"/>
    <col min="19" max="19" width="17.1015625" customWidth="1"/>
    <col min="20" max="20" width="22.5234375" customWidth="1"/>
    <col min="21" max="21" width="19.734375" customWidth="1"/>
    <col min="22" max="22" width="14.41796875" customWidth="1"/>
    <col min="23" max="23" width="12" customWidth="1"/>
    <col min="24" max="24" width="15.9453125" customWidth="1"/>
    <col min="25" max="25" width="26.7890625" customWidth="1"/>
    <col min="26" max="26" width="13.89453125" customWidth="1"/>
    <col min="27" max="27" width="14.47265625" customWidth="1"/>
    <col min="28" max="28" width="15.3671875" customWidth="1"/>
    <col min="29" max="29" width="15.89453125" customWidth="1"/>
    <col min="30" max="30" width="14.3125" customWidth="1"/>
    <col min="31" max="31" width="16" customWidth="1"/>
    <col min="32" max="32" width="13.26171875" customWidth="1"/>
    <col min="33" max="33" width="16" customWidth="1"/>
  </cols>
  <sheetData>
    <row r="1" spans="1:10" ht="25.8" x14ac:dyDescent="0.95">
      <c r="A1" s="21" t="s">
        <v>92</v>
      </c>
    </row>
    <row r="3" spans="1:10" x14ac:dyDescent="0.55000000000000004">
      <c r="A3" s="9" t="s">
        <v>58</v>
      </c>
      <c r="F3" s="9" t="s">
        <v>29</v>
      </c>
    </row>
    <row r="4" spans="1:10" x14ac:dyDescent="0.55000000000000004">
      <c r="A4" s="2" t="s">
        <v>0</v>
      </c>
      <c r="B4" s="2" t="s">
        <v>1</v>
      </c>
      <c r="C4" s="2" t="s">
        <v>2</v>
      </c>
      <c r="D4" s="2" t="s">
        <v>3</v>
      </c>
      <c r="F4" s="25" t="s">
        <v>82</v>
      </c>
      <c r="G4" s="26"/>
      <c r="H4" s="26"/>
      <c r="I4" s="26"/>
      <c r="J4" s="27"/>
    </row>
    <row r="5" spans="1:10" x14ac:dyDescent="0.55000000000000004">
      <c r="A5" s="2" t="s">
        <v>4</v>
      </c>
      <c r="B5" s="2" t="s">
        <v>5</v>
      </c>
      <c r="C5" s="3">
        <v>9.9999999999999998E-13</v>
      </c>
      <c r="D5" s="2" t="s">
        <v>6</v>
      </c>
      <c r="F5" s="2" t="s">
        <v>0</v>
      </c>
      <c r="G5" s="2" t="s">
        <v>1</v>
      </c>
      <c r="H5" s="2" t="s">
        <v>2</v>
      </c>
      <c r="I5" s="2" t="s">
        <v>30</v>
      </c>
      <c r="J5" s="2" t="s">
        <v>31</v>
      </c>
    </row>
    <row r="6" spans="1:10" x14ac:dyDescent="0.55000000000000004">
      <c r="A6" s="2" t="s">
        <v>7</v>
      </c>
      <c r="B6" s="2" t="s">
        <v>8</v>
      </c>
      <c r="C6" s="3">
        <v>1000000000000</v>
      </c>
      <c r="D6" s="2" t="s">
        <v>9</v>
      </c>
      <c r="F6" s="2" t="s">
        <v>18</v>
      </c>
      <c r="G6" s="2" t="s">
        <v>19</v>
      </c>
      <c r="H6" s="3">
        <v>2.4599999999999998E-10</v>
      </c>
      <c r="I6" s="2" t="s">
        <v>23</v>
      </c>
      <c r="J6" s="2" t="s">
        <v>63</v>
      </c>
    </row>
    <row r="7" spans="1:10" x14ac:dyDescent="0.55000000000000004">
      <c r="A7" s="2" t="s">
        <v>10</v>
      </c>
      <c r="B7" s="2" t="s">
        <v>11</v>
      </c>
      <c r="C7" s="3">
        <v>9.9999999999999998E-20</v>
      </c>
      <c r="D7" s="2" t="s">
        <v>12</v>
      </c>
      <c r="F7" s="2" t="s">
        <v>32</v>
      </c>
      <c r="G7" s="2" t="s">
        <v>33</v>
      </c>
      <c r="H7" s="3">
        <v>3.3499999999999998E-10</v>
      </c>
      <c r="I7" s="2" t="s">
        <v>23</v>
      </c>
      <c r="J7" s="2" t="s">
        <v>64</v>
      </c>
    </row>
    <row r="8" spans="1:10" x14ac:dyDescent="0.55000000000000004">
      <c r="A8" s="2" t="s">
        <v>13</v>
      </c>
      <c r="B8" s="2" t="s">
        <v>14</v>
      </c>
      <c r="C8" s="3">
        <v>3.0000000000000003E-20</v>
      </c>
      <c r="D8" s="2" t="s">
        <v>12</v>
      </c>
      <c r="F8" s="2" t="s">
        <v>34</v>
      </c>
      <c r="G8" s="2" t="s">
        <v>35</v>
      </c>
      <c r="H8" s="3">
        <v>3.0000000000000003E-20</v>
      </c>
      <c r="I8" s="2" t="s">
        <v>12</v>
      </c>
      <c r="J8" s="2" t="s">
        <v>36</v>
      </c>
    </row>
    <row r="9" spans="1:10" x14ac:dyDescent="0.55000000000000004">
      <c r="A9" s="2" t="s">
        <v>15</v>
      </c>
      <c r="B9" s="2" t="s">
        <v>16</v>
      </c>
      <c r="C9" s="2">
        <v>50</v>
      </c>
      <c r="D9" s="2" t="s">
        <v>17</v>
      </c>
      <c r="F9" s="2" t="s">
        <v>37</v>
      </c>
      <c r="G9" s="2" t="s">
        <v>59</v>
      </c>
      <c r="H9" s="2">
        <v>0.5</v>
      </c>
      <c r="I9" s="2" t="s">
        <v>17</v>
      </c>
      <c r="J9" s="2" t="s">
        <v>38</v>
      </c>
    </row>
    <row r="10" spans="1:10" x14ac:dyDescent="0.55000000000000004">
      <c r="A10" s="2" t="s">
        <v>18</v>
      </c>
      <c r="B10" s="2" t="s">
        <v>19</v>
      </c>
      <c r="C10" s="3">
        <v>2.4599999999999998E-10</v>
      </c>
      <c r="D10" s="2" t="s">
        <v>20</v>
      </c>
      <c r="F10" s="2" t="s">
        <v>39</v>
      </c>
      <c r="G10" s="2" t="s">
        <v>60</v>
      </c>
      <c r="H10" s="2">
        <v>1</v>
      </c>
      <c r="I10" s="2" t="s">
        <v>17</v>
      </c>
      <c r="J10" s="2" t="s">
        <v>40</v>
      </c>
    </row>
    <row r="11" spans="1:10" x14ac:dyDescent="0.55000000000000004">
      <c r="A11" s="2" t="s">
        <v>21</v>
      </c>
      <c r="B11" s="2" t="s">
        <v>22</v>
      </c>
      <c r="C11" s="2">
        <v>0</v>
      </c>
      <c r="D11" s="2" t="s">
        <v>23</v>
      </c>
      <c r="F11" s="2" t="s">
        <v>41</v>
      </c>
      <c r="G11" s="2" t="s">
        <v>61</v>
      </c>
      <c r="H11" s="3">
        <v>5.0000000000000003E-10</v>
      </c>
      <c r="I11" s="2" t="s">
        <v>23</v>
      </c>
      <c r="J11" s="2" t="s">
        <v>42</v>
      </c>
    </row>
    <row r="12" spans="1:10" x14ac:dyDescent="0.55000000000000004">
      <c r="A12" s="2" t="s">
        <v>24</v>
      </c>
      <c r="B12" s="2" t="s">
        <v>25</v>
      </c>
      <c r="C12" s="2">
        <v>0</v>
      </c>
      <c r="D12" s="2" t="s">
        <v>23</v>
      </c>
      <c r="F12" s="2" t="s">
        <v>43</v>
      </c>
      <c r="G12" s="2" t="s">
        <v>44</v>
      </c>
      <c r="H12" s="3">
        <v>100</v>
      </c>
      <c r="I12" s="2" t="s">
        <v>45</v>
      </c>
      <c r="J12" s="2" t="s">
        <v>46</v>
      </c>
    </row>
    <row r="13" spans="1:10" x14ac:dyDescent="0.55000000000000004">
      <c r="A13" s="2" t="s">
        <v>26</v>
      </c>
      <c r="B13" s="2" t="s">
        <v>27</v>
      </c>
      <c r="C13" s="2">
        <v>0</v>
      </c>
      <c r="D13" s="2" t="s">
        <v>23</v>
      </c>
      <c r="F13" s="22" t="s">
        <v>57</v>
      </c>
      <c r="G13" s="1"/>
      <c r="H13" s="1"/>
    </row>
    <row r="14" spans="1:10" x14ac:dyDescent="0.55000000000000004">
      <c r="A14" s="2" t="s">
        <v>28</v>
      </c>
      <c r="B14" s="2" t="s">
        <v>62</v>
      </c>
      <c r="C14" s="2">
        <v>0.5</v>
      </c>
      <c r="D14" s="2" t="s">
        <v>17</v>
      </c>
      <c r="F14" s="2" t="s">
        <v>0</v>
      </c>
      <c r="G14" s="2" t="s">
        <v>47</v>
      </c>
      <c r="H14" s="2" t="s">
        <v>48</v>
      </c>
      <c r="I14" s="2" t="s">
        <v>49</v>
      </c>
      <c r="J14" s="2" t="s">
        <v>30</v>
      </c>
    </row>
    <row r="15" spans="1:10" x14ac:dyDescent="0.55000000000000004">
      <c r="F15" s="2" t="s">
        <v>50</v>
      </c>
      <c r="G15" s="3">
        <v>9.9999999999999998E-13</v>
      </c>
      <c r="H15" s="3">
        <v>4.9999999999999999E-13</v>
      </c>
      <c r="I15" s="3">
        <v>2E-12</v>
      </c>
      <c r="J15" s="2" t="s">
        <v>6</v>
      </c>
    </row>
    <row r="16" spans="1:10" x14ac:dyDescent="0.55000000000000004">
      <c r="F16" s="2" t="s">
        <v>51</v>
      </c>
      <c r="G16" s="28">
        <v>1000000000000</v>
      </c>
      <c r="H16" s="3">
        <v>500000000000</v>
      </c>
      <c r="I16" s="3">
        <v>2000000000000</v>
      </c>
      <c r="J16" s="2" t="s">
        <v>9</v>
      </c>
    </row>
    <row r="17" spans="2:33" x14ac:dyDescent="0.55000000000000004">
      <c r="F17" s="2" t="s">
        <v>52</v>
      </c>
      <c r="G17" s="3">
        <v>9.9999999999999998E-20</v>
      </c>
      <c r="H17" s="3">
        <v>4.9999999999999999E-20</v>
      </c>
      <c r="I17" s="3">
        <v>2E-19</v>
      </c>
      <c r="J17" s="2" t="s">
        <v>12</v>
      </c>
    </row>
    <row r="18" spans="2:33" x14ac:dyDescent="0.55000000000000004">
      <c r="F18" s="2" t="s">
        <v>53</v>
      </c>
      <c r="G18" s="2">
        <v>50</v>
      </c>
      <c r="H18" s="2">
        <v>20</v>
      </c>
      <c r="I18" s="2">
        <v>100</v>
      </c>
      <c r="J18" s="2" t="s">
        <v>17</v>
      </c>
    </row>
    <row r="19" spans="2:33" x14ac:dyDescent="0.55000000000000004">
      <c r="F19" s="2" t="s">
        <v>54</v>
      </c>
      <c r="G19" s="3">
        <v>5.0000000000000003E-10</v>
      </c>
      <c r="H19" s="3">
        <v>2.5000000000000002E-10</v>
      </c>
      <c r="I19" s="3">
        <v>7.5E-10</v>
      </c>
      <c r="J19" s="2" t="s">
        <v>23</v>
      </c>
    </row>
    <row r="20" spans="2:33" x14ac:dyDescent="0.55000000000000004">
      <c r="F20" s="2" t="s">
        <v>55</v>
      </c>
      <c r="G20" s="3">
        <v>3.3499999999999998E-10</v>
      </c>
      <c r="H20" s="3">
        <v>1.6799999999999999E-10</v>
      </c>
      <c r="I20" s="3">
        <v>5.0300000000000002E-10</v>
      </c>
      <c r="J20" s="2" t="s">
        <v>23</v>
      </c>
    </row>
    <row r="22" spans="2:33" x14ac:dyDescent="0.55000000000000004">
      <c r="K22" s="9" t="s">
        <v>90</v>
      </c>
    </row>
    <row r="23" spans="2:33" ht="28.8" customHeight="1" x14ac:dyDescent="0.55000000000000004">
      <c r="B23" s="9" t="s">
        <v>91</v>
      </c>
      <c r="E23" s="18"/>
      <c r="F23" s="18"/>
      <c r="G23" s="19"/>
      <c r="H23" s="19"/>
      <c r="K23" s="2"/>
      <c r="L23" s="2"/>
      <c r="M23" s="52" t="s">
        <v>65</v>
      </c>
      <c r="N23" s="52"/>
      <c r="O23" s="52"/>
      <c r="P23" s="52"/>
      <c r="Q23" s="53" t="s">
        <v>66</v>
      </c>
      <c r="R23" s="53"/>
      <c r="S23" s="53"/>
      <c r="T23" s="48" t="s">
        <v>56</v>
      </c>
      <c r="U23" s="48" t="s">
        <v>83</v>
      </c>
      <c r="V23" s="45" t="s">
        <v>67</v>
      </c>
      <c r="W23" s="46"/>
      <c r="X23" s="46"/>
      <c r="Y23" s="47"/>
      <c r="Z23" s="42" t="s">
        <v>68</v>
      </c>
      <c r="AA23" s="43"/>
      <c r="AB23" s="43"/>
      <c r="AC23" s="44"/>
      <c r="AD23" s="42" t="s">
        <v>69</v>
      </c>
      <c r="AE23" s="43"/>
      <c r="AF23" s="43"/>
      <c r="AG23" s="44"/>
    </row>
    <row r="24" spans="2:33" ht="43.2" x14ac:dyDescent="0.55000000000000004">
      <c r="B24" s="11" t="s">
        <v>84</v>
      </c>
      <c r="C24" s="40" t="s">
        <v>89</v>
      </c>
      <c r="D24" s="23" t="s">
        <v>85</v>
      </c>
      <c r="E24" s="12" t="s">
        <v>86</v>
      </c>
      <c r="F24" s="13" t="s">
        <v>87</v>
      </c>
      <c r="G24" s="13" t="s">
        <v>88</v>
      </c>
      <c r="H24" s="11" t="s">
        <v>78</v>
      </c>
      <c r="K24" s="2" t="s">
        <v>81</v>
      </c>
      <c r="L24" s="4" t="s">
        <v>70</v>
      </c>
      <c r="M24" s="4" t="s">
        <v>71</v>
      </c>
      <c r="N24" s="4" t="s">
        <v>72</v>
      </c>
      <c r="O24" s="4" t="s">
        <v>73</v>
      </c>
      <c r="P24" s="4" t="s">
        <v>74</v>
      </c>
      <c r="Q24" s="4" t="s">
        <v>75</v>
      </c>
      <c r="R24" s="4" t="s">
        <v>76</v>
      </c>
      <c r="S24" s="4" t="s">
        <v>77</v>
      </c>
      <c r="T24" s="49"/>
      <c r="U24" s="49"/>
      <c r="V24" s="24" t="s">
        <v>75</v>
      </c>
      <c r="W24" s="24" t="s">
        <v>76</v>
      </c>
      <c r="X24" s="24" t="s">
        <v>77</v>
      </c>
      <c r="Y24" s="24" t="s">
        <v>78</v>
      </c>
      <c r="Z24" s="24"/>
      <c r="AA24" s="24"/>
      <c r="AB24" s="24"/>
      <c r="AC24" s="24" t="s">
        <v>79</v>
      </c>
      <c r="AD24" s="5"/>
      <c r="AE24" s="5"/>
      <c r="AF24" s="5"/>
      <c r="AG24" s="5" t="s">
        <v>80</v>
      </c>
    </row>
    <row r="25" spans="2:33" x14ac:dyDescent="0.55000000000000004">
      <c r="B25" s="11">
        <v>1</v>
      </c>
      <c r="C25" s="41">
        <v>2</v>
      </c>
      <c r="D25" s="20">
        <v>3</v>
      </c>
      <c r="E25" s="20">
        <v>4</v>
      </c>
      <c r="F25" s="11">
        <v>5</v>
      </c>
      <c r="G25" s="20">
        <v>6</v>
      </c>
      <c r="H25" s="14">
        <v>7</v>
      </c>
      <c r="K25" s="8">
        <v>1</v>
      </c>
      <c r="L25" s="8">
        <v>2</v>
      </c>
      <c r="M25" s="8">
        <v>3</v>
      </c>
      <c r="N25" s="8">
        <v>4</v>
      </c>
      <c r="O25" s="8">
        <v>5</v>
      </c>
      <c r="P25" s="8">
        <v>6</v>
      </c>
      <c r="Q25" s="8">
        <v>7</v>
      </c>
      <c r="R25" s="8">
        <v>8</v>
      </c>
      <c r="S25" s="8">
        <v>9</v>
      </c>
      <c r="T25" s="8"/>
      <c r="U25" s="8"/>
      <c r="V25" s="8">
        <v>10</v>
      </c>
      <c r="W25" s="8">
        <v>11</v>
      </c>
      <c r="X25" s="8">
        <v>12</v>
      </c>
      <c r="Y25" s="8">
        <v>13</v>
      </c>
      <c r="Z25" s="8">
        <v>16</v>
      </c>
      <c r="AA25" s="8">
        <v>17</v>
      </c>
      <c r="AB25" s="8">
        <v>18</v>
      </c>
      <c r="AC25" s="8">
        <v>19</v>
      </c>
      <c r="AD25" s="8">
        <v>20</v>
      </c>
      <c r="AE25" s="10">
        <v>21</v>
      </c>
      <c r="AF25" s="10">
        <v>22</v>
      </c>
      <c r="AG25" s="10">
        <v>23</v>
      </c>
    </row>
    <row r="26" spans="2:33" x14ac:dyDescent="0.55000000000000004">
      <c r="B26" s="23" t="str">
        <f>K26</f>
        <v>Время воздействия (t)</v>
      </c>
      <c r="C26" s="40">
        <f>T26</f>
        <v>5.9332501744751514E-25</v>
      </c>
      <c r="D26" s="15">
        <f>IF(2*C26&lt; 5,340.5,IF(AND(2*C26&gt;= 5, 2*C26 &lt; 7),340.5 - 70.5 * (7 - 2*C26)/2,IF(AND(2*C26 &gt;= 7, 2*C26 &lt; 8),340.5 - 128 * (2*C26 - 7),IF(AND(2*C26 &gt;= 8, 2*C26 &lt; 8.28),212.5 - 5.357 * (2*C26 - 8),IF(2*C26 = 8.28,211,IF(AND(2*C26 &gt; 8.28, 2*C26 &lt; 20),180,IF(2*C26 &gt;= 20,6 + 174 * EXP(-3.5 * (2*C26 - 20)),"Ошибка")))))))</f>
        <v>340.5</v>
      </c>
      <c r="E26" s="11" t="str">
        <f>IF(2*C26 &lt; 5,"Сингулярность",IF(AND(2*C26 &gt;= 5, 2*C26 &lt; 7),"Предбифуркация",IF(AND(2*C26 &gt;= 7, 2*C26&lt;= 8.28),"Бифуркация", IF(AND(2*C26&gt; 8.28, 2*C26 &lt; 20),"Стабилизация", IF(2*C26 &gt;= 20,"Распад", "Н/Д")))))</f>
        <v>Сингулярность</v>
      </c>
      <c r="F26" s="11" t="str">
        <f>IF(AND(2*C26 &gt;= 8.28, 2*C26 &lt; 20),31 * EXP(-0.15 * (2*C26 - 8.28)),"")</f>
        <v/>
      </c>
      <c r="G26" s="16">
        <f>180+31 * EXP(-0.15 * (C26- 8.28))</f>
        <v>287.33847983339649</v>
      </c>
      <c r="H26" s="17">
        <f>Y26</f>
        <v>-5.9621466418249972E-19</v>
      </c>
      <c r="K26" s="2" t="str">
        <f>F15</f>
        <v>Время воздействия (t)</v>
      </c>
      <c r="L26" s="3">
        <f>G15</f>
        <v>9.9999999999999998E-13</v>
      </c>
      <c r="M26" s="2">
        <f>PI()</f>
        <v>3.1415926535897931</v>
      </c>
      <c r="N26" s="3">
        <f>MAX(L26:L29)</f>
        <v>1000000000000</v>
      </c>
      <c r="O26" s="2">
        <v>6.2831849999999996</v>
      </c>
      <c r="P26" s="6">
        <f t="shared" ref="P26:P29" si="0">O26*L26/N26</f>
        <v>6.2831849999999993E-24</v>
      </c>
      <c r="Q26" s="6">
        <f>LN(1 + P26) * COS(P26)</f>
        <v>0</v>
      </c>
      <c r="R26" s="6">
        <f>LN(1 + P26) * SIN(P26)</f>
        <v>0</v>
      </c>
      <c r="S26" s="7">
        <f t="shared" ref="S26:S29" si="1">0.5 * (P26^1.5)</f>
        <v>7.8748043953724601E-36</v>
      </c>
      <c r="T26" s="7">
        <f xml:space="preserve"> (0.000000000001 * 1000000000000)*(SQRT((Q26-S26)^2 + (R26-S26)^2 + (S26-S26)^2)/0.000000000246)*(0.0000000000000000001/3E-20)*LN(50+1)</f>
        <v>5.9332501744751514E-25</v>
      </c>
      <c r="U26" s="7" t="str">
        <f>IF(S26&gt;0.5,"Разрушение",IF(S26&gt;1,"Деформация","Стабильно"))</f>
        <v>Стабильно</v>
      </c>
      <c r="V26" s="7">
        <f t="shared" ref="V26:V29" si="2">(LN(1 + L26)*COS(L26))*0.000000000000386</f>
        <v>3.8603431562459066E-25</v>
      </c>
      <c r="W26" s="7">
        <f t="shared" ref="W26:W29" si="3" xml:space="preserve"> (LN(1 + L26)*SIN(L26))*0.000000000000386</f>
        <v>3.8603431562459064E-37</v>
      </c>
      <c r="X26" s="7">
        <f t="shared" ref="X26:X29" si="4" xml:space="preserve"> (L26^1.5)*0.00000000000243</f>
        <v>2.4300000000000035E-30</v>
      </c>
      <c r="Y26" s="7">
        <f t="shared" ref="Y26:Y29" si="5">(L26^1.5)*(0.000000000000386-13/137)*(2*PI())</f>
        <v>-5.9621466418249972E-19</v>
      </c>
      <c r="Z26" s="2">
        <f>DEGREES(((COS(M26)/(1+M26) - LN(1+M26)*SIN(M26))^2 +((SIN(M26))/((1+M26)+LN(1+M26)*COS(M26)))^2))</f>
        <v>3.34031842560639</v>
      </c>
      <c r="AA26" s="2">
        <f>(1.5*DEGREES((M26)^2)/(1 + 1/(1+M26))^2)</f>
        <v>550.36786380060028</v>
      </c>
      <c r="AB26" s="2">
        <f>(1.5*DEGREES(M26)^2)^1.5</f>
        <v>10714068.134933611</v>
      </c>
      <c r="AC26" s="2">
        <f>Z26+AA26+AB26</f>
        <v>10714621.843115838</v>
      </c>
      <c r="AD26" s="6">
        <f>(((1.5/(2*DEGREES(M26)))*((SIN(M26)/(1+M26))+LN(1+M26)*COS(M26)))-((COS(M26)/(1+M26)^2-SIN(M26)/(1+M26)-LN(1+M26)*SIN(M26))))</f>
        <v>5.2378386205221998E-2</v>
      </c>
      <c r="AE26" s="6">
        <f>((1.5*DEGREES(M26)))</f>
        <v>270</v>
      </c>
      <c r="AF26" s="6">
        <f>(S26^2 * ((1/(1+M26))^2) + (LN(1+M26)^2) + (1.5*(DEGREES(M26)^2 )))</f>
        <v>48602.019469539628</v>
      </c>
      <c r="AG26" s="6">
        <f>AD26*AE26/AF26</f>
        <v>2.9097894346290004E-4</v>
      </c>
    </row>
    <row r="27" spans="2:33" x14ac:dyDescent="0.55000000000000004">
      <c r="B27" s="23" t="str">
        <f t="shared" ref="B27:B29" si="6">K27</f>
        <v>Энергия импульса (E)</v>
      </c>
      <c r="C27" s="40">
        <f>T27</f>
        <v>1.8762584478932927E-35</v>
      </c>
      <c r="D27" s="15">
        <f>IF(2*C27&lt; 5,340.5,IF(AND(2*C27&gt;= 5, 2*C27 &lt; 7),340.5 - 70.5 * (7 - 2*C27)/2,IF(AND(2*C27 &gt;= 7, 2*C27 &lt; 8),340.5 - 128 * (2*C27 - 7),IF(AND(2*C27 &gt;= 8, 2*C27 &lt; 8.28),212.5 - 5.357 * (2*C27 - 8),IF(2*C27 = 8.28,211,IF(AND(2*C27 &gt; 8.28, 2*C27 &lt; 20),180,IF(2*C27 &gt;= 20,6 + 174 * EXP(-3.5 * (2*C27 - 20)),"Ошибка")))))))</f>
        <v>340.5</v>
      </c>
      <c r="E27" s="11" t="str">
        <f>IF(2*C27 &lt; 5,"Сингулярность",IF(AND(2*C27 &gt;= 5, 2*C27 &lt; 7),"Предбифуркация",IF(AND(2*C27 &gt;= 7, 2*C27&lt;= 8.28),"Бифуркация", IF(AND(2*C27&gt; 8.28, 2*C27 &lt; 20),"Стабилизация", IF(2*C27 &gt;= 20,"Распад", "Н/Д")))))</f>
        <v>Сингулярность</v>
      </c>
      <c r="F27" s="11" t="str">
        <f>IF(AND(2*C27 &gt;= 8.28, 2*C27 &lt; 20),31 * EXP(-0.15 * (2*C27 - 8.28)),"")</f>
        <v/>
      </c>
      <c r="G27" s="16">
        <f>180+31 * EXP(-0.15 * (C27- 8.28))</f>
        <v>287.33847983339649</v>
      </c>
      <c r="H27" s="17">
        <f t="shared" ref="H27:H29" si="7">Y27</f>
        <v>-1.8853963132090862E-29</v>
      </c>
      <c r="K27" s="2" t="str">
        <f>F17</f>
        <v>Энергия импульса (E)</v>
      </c>
      <c r="L27" s="3">
        <f>G17</f>
        <v>9.9999999999999998E-20</v>
      </c>
      <c r="M27" s="2">
        <f>PI()</f>
        <v>3.1415926535897931</v>
      </c>
      <c r="N27" s="3">
        <f>MAX(L26:L29)</f>
        <v>1000000000000</v>
      </c>
      <c r="O27" s="2">
        <v>6.2831849999999996</v>
      </c>
      <c r="P27" s="6">
        <f t="shared" si="0"/>
        <v>6.2831849999999998E-31</v>
      </c>
      <c r="Q27" s="6">
        <f t="shared" ref="Q27" si="8">LN(1 + P27) * COS(P27)</f>
        <v>0</v>
      </c>
      <c r="R27" s="6">
        <f t="shared" ref="R27:R29" si="9">LN(1 + P27) * SIN(P27)</f>
        <v>0</v>
      </c>
      <c r="S27" s="7">
        <f t="shared" si="1"/>
        <v>2.490231801768211E-46</v>
      </c>
      <c r="T27" s="7">
        <f t="shared" ref="T27:T29" si="10" xml:space="preserve"> (0.000000000001 * 1000000000000)*(SQRT((Q27-S27)^2 + (R27-S27)^2 + (S27-S27)^2)/0.000000000246)*(0.0000000000000000001/3E-20)*LN(50+1)</f>
        <v>1.8762584478932927E-35</v>
      </c>
      <c r="U27" s="7" t="str">
        <f t="shared" ref="U27:U28" si="11">IF(S27&gt;0.5,"Разрушение",IF(S27&gt;1,"Деформация","Стабильно"))</f>
        <v>Стабильно</v>
      </c>
      <c r="V27" s="7">
        <f t="shared" si="2"/>
        <v>0</v>
      </c>
      <c r="W27" s="7">
        <f t="shared" si="3"/>
        <v>0</v>
      </c>
      <c r="X27" s="7">
        <f t="shared" si="4"/>
        <v>7.6843347142090703E-41</v>
      </c>
      <c r="Y27" s="7">
        <f t="shared" si="5"/>
        <v>-1.8853963132090862E-29</v>
      </c>
      <c r="Z27" s="2">
        <f>DEGREES(((COS(M27)/(1+M27) - LN(1+M27)*SIN(M27))^2 +((SIN(M27))/((1+M27)+LN(1+M27)*COS(M27)))^2))</f>
        <v>3.34031842560639</v>
      </c>
      <c r="AA27" s="2">
        <f>(1.5*DEGREES((M27)^2)/(1 + 1/(1+M27))^2)</f>
        <v>550.36786380060028</v>
      </c>
      <c r="AB27" s="2">
        <f>(1.5*DEGREES(M27)^2)^1.5</f>
        <v>10714068.134933611</v>
      </c>
      <c r="AC27" s="2">
        <f t="shared" ref="AC27:AC29" si="12">Z27+AA27+AB27</f>
        <v>10714621.843115838</v>
      </c>
      <c r="AD27" s="6">
        <f>(((1.5/(2*DEGREES(M27)))*((SIN(M27)/(1+M27))+LN(1+M27)*COS(M27)))-((COS(M27)/(1+M27)^2-SIN(M27)/(1+M27)-LN(1+M27)*SIN(M27))))</f>
        <v>5.2378386205221998E-2</v>
      </c>
      <c r="AE27" s="6">
        <f>((1.5*DEGREES(M27)))</f>
        <v>270</v>
      </c>
      <c r="AF27" s="6">
        <f>(S27^2 * ((1/(1+M27))^2) + (LN(1+M27)^2) + (1.5*(DEGREES(M27)^2 )))</f>
        <v>48602.019469539628</v>
      </c>
      <c r="AG27" s="6">
        <f t="shared" ref="AG27:AG29" si="13">AD27*AE27/AF27</f>
        <v>2.9097894346290004E-4</v>
      </c>
    </row>
    <row r="28" spans="2:33" x14ac:dyDescent="0.55000000000000004">
      <c r="B28" s="23" t="str">
        <f t="shared" si="6"/>
        <v>Число импульсов (n)</v>
      </c>
      <c r="C28" s="40">
        <f>T28</f>
        <v>16.737236108097999</v>
      </c>
      <c r="D28" s="15">
        <f>IF(2*C28&lt; 5,340.5,IF(AND(2*C28&gt;= 5, 2*C28 &lt; 7),340.5 - 70.5 * (7 - 2*C28)/2,IF(AND(2*C28 &gt;= 7, 2*C28 &lt; 8),340.5 - 128 * (2*C28 - 7),IF(AND(2*C28 &gt;= 8, 2*C28 &lt; 8.28),212.5 - 5.357 * (2*C28 - 8),IF(2*C28 = 8.28,211,IF(AND(2*C28 &gt; 8.28, 2*C28 &lt; 20),180,IF(2*C28 &gt;= 20,6 + 174 * EXP(-3.5 * (2*C28 - 20)),"Ошибка")))))))</f>
        <v>6</v>
      </c>
      <c r="E28" s="11" t="str">
        <f>IF(2*C28 &lt; 5,"Сингулярность",IF(AND(2*C28 &gt;= 5, 2*C28 &lt; 7),"Предбифуркация",IF(AND(2*C28 &gt;= 7, 2*C28&lt;= 8.28),"Бифуркация", IF(AND(2*C28&gt; 8.28, 2*C28 &lt; 20),"Стабилизация", IF(2*C28 &gt;= 20,"Распад", "Н/Д")))))</f>
        <v>Распад</v>
      </c>
      <c r="F28" s="11" t="str">
        <f>IF(AND(2*C28 &gt;= 8.28, 2*C28 &lt; 20),31 * EXP(-0.15 * (2*C28 - 8.28)),"")</f>
        <v/>
      </c>
      <c r="G28" s="16">
        <f>180+31 * EXP(-0.15 * (C28- 8.28))</f>
        <v>188.71810404519297</v>
      </c>
      <c r="H28" s="17">
        <f t="shared" si="7"/>
        <v>-210.79371604315247</v>
      </c>
      <c r="K28" s="2" t="str">
        <f>F18</f>
        <v>Число импульсов (n)</v>
      </c>
      <c r="L28" s="3">
        <f>G18</f>
        <v>50</v>
      </c>
      <c r="M28" s="2">
        <f>PI()</f>
        <v>3.1415926535897931</v>
      </c>
      <c r="N28" s="3">
        <f>MAX(L26:L29)</f>
        <v>1000000000000</v>
      </c>
      <c r="O28" s="2">
        <v>6.2831849999999996</v>
      </c>
      <c r="P28" s="6">
        <f t="shared" si="0"/>
        <v>3.1415925E-10</v>
      </c>
      <c r="Q28" s="6">
        <f>LN(1 + P28) * COS(P28)</f>
        <v>3.1415914309501778E-10</v>
      </c>
      <c r="R28" s="6">
        <f t="shared" si="9"/>
        <v>9.8696000775373467E-20</v>
      </c>
      <c r="S28" s="7">
        <f t="shared" si="1"/>
        <v>2.7841637942427361E-15</v>
      </c>
      <c r="T28" s="7">
        <f t="shared" si="10"/>
        <v>16.737236108097999</v>
      </c>
      <c r="U28" s="7" t="str">
        <f t="shared" si="11"/>
        <v>Стабильно</v>
      </c>
      <c r="V28" s="7">
        <f t="shared" si="2"/>
        <v>1.4645141718959246E-12</v>
      </c>
      <c r="W28" s="7">
        <f t="shared" si="3"/>
        <v>-3.9820229961770526E-13</v>
      </c>
      <c r="X28" s="7">
        <f t="shared" si="4"/>
        <v>8.5913473914165487E-10</v>
      </c>
      <c r="Y28" s="7">
        <f t="shared" si="5"/>
        <v>-210.79371604315247</v>
      </c>
      <c r="Z28" s="2">
        <f>DEGREES(((COS(M28)/(1+M28) - LN(1+M28)*SIN(M28))^2 +((SIN(M28))/((1+M28)+LN(1+M28)*COS(M28)))^2))</f>
        <v>3.34031842560639</v>
      </c>
      <c r="AA28" s="2">
        <f>(1.5*DEGREES((M28)^2)/(1 + 1/(1+M28))^2)</f>
        <v>550.36786380060028</v>
      </c>
      <c r="AB28" s="2">
        <f>(1.5*DEGREES(M28)^2)^1.5</f>
        <v>10714068.134933611</v>
      </c>
      <c r="AC28" s="2">
        <f t="shared" si="12"/>
        <v>10714621.843115838</v>
      </c>
      <c r="AD28" s="6">
        <f>(((1.5/(2*DEGREES(M28)))*((SIN(M28)/(1+M28))+LN(1+M28)*COS(M28)))-((COS(M28)/(1+M28)^2-SIN(M28)/(1+M28)-LN(1+M28)*SIN(M28))))</f>
        <v>5.2378386205221998E-2</v>
      </c>
      <c r="AE28" s="6">
        <f>((1.5*DEGREES(M28)))</f>
        <v>270</v>
      </c>
      <c r="AF28" s="6">
        <f>(S28^2 * ((1/(1+M28))^2) + (LN(1+M28)^2) + (1.5*(DEGREES(M28)^2 )))</f>
        <v>48602.019469539628</v>
      </c>
      <c r="AG28" s="6">
        <f t="shared" si="13"/>
        <v>2.9097894346290004E-4</v>
      </c>
    </row>
    <row r="29" spans="2:33" x14ac:dyDescent="0.55000000000000004">
      <c r="B29" s="23" t="str">
        <f t="shared" si="6"/>
        <v>Частота (f)</v>
      </c>
      <c r="C29" s="40">
        <f>T29</f>
        <v>523891521451.6167</v>
      </c>
      <c r="D29" s="15">
        <f>IF(2*C29&lt; 5,340.5,IF(AND(2*C29&gt;= 5, 2*C29 &lt; 7),340.5 - 70.5 * (7 - 2*C29)/2,IF(AND(2*C29 &gt;= 7, 2*C29 &lt; 8),340.5 - 128 * (2*C29 - 7),IF(AND(2*C29 &gt;= 8, 2*C29 &lt; 8.28),212.5 - 5.357 * (2*C29 - 8),IF(2*C29 = 8.28,211,IF(AND(2*C29 &gt; 8.28, 2*C29 &lt; 20),180,IF(2*C29 &gt;= 20,6 + 174 * EXP(-3.5 * (2*C29 - 20)),"Ошибка")))))))</f>
        <v>6</v>
      </c>
      <c r="E29" s="11" t="str">
        <f>IF(2*C29 &lt; 5,"Сингулярность",IF(AND(2*C29 &gt;= 5, 2*C29 &lt; 7),"Предбифуркация",IF(AND(2*C29 &gt;= 7, 2*C29&lt;= 8.28),"Бифуркация", IF(AND(2*C29&gt; 8.28, 2*C29 &lt; 20),"Стабилизация", IF(2*C29 &gt;= 20,"Распад", "Н/Д")))))</f>
        <v>Распад</v>
      </c>
      <c r="F29" s="11" t="str">
        <f>IF(AND(2*C29 &gt;= 8.28, 2*C29 &lt; 20),31 * EXP(-0.15 * (2*C29 - 8.28)),"")</f>
        <v/>
      </c>
      <c r="G29" s="16">
        <f>180+31 * EXP(-0.15 * (C29- 8.28))</f>
        <v>180</v>
      </c>
      <c r="H29" s="17">
        <f t="shared" si="7"/>
        <v>-5.9621466418249805E+17</v>
      </c>
      <c r="K29" s="2" t="str">
        <f>F16</f>
        <v>Частота (f)</v>
      </c>
      <c r="L29" s="3">
        <f>G16</f>
        <v>1000000000000</v>
      </c>
      <c r="M29" s="2">
        <f>PI()</f>
        <v>3.1415926535897931</v>
      </c>
      <c r="N29" s="3">
        <f>MAX(L26:L29)</f>
        <v>1000000000000</v>
      </c>
      <c r="O29" s="2">
        <v>6.2831849999999996</v>
      </c>
      <c r="P29" s="6">
        <f t="shared" si="0"/>
        <v>6.2831849999999996</v>
      </c>
      <c r="Q29" s="6">
        <f>LN(1 + P29) * COS(P29)</f>
        <v>1.9855682665332801</v>
      </c>
      <c r="R29" s="6">
        <f t="shared" si="9"/>
        <v>-6.0992603987760077E-7</v>
      </c>
      <c r="S29" s="7">
        <f t="shared" si="1"/>
        <v>7.8748043953724371</v>
      </c>
      <c r="T29" s="7">
        <f t="shared" si="10"/>
        <v>523891521451.6167</v>
      </c>
      <c r="U29" s="7" t="str">
        <f>IF(S29&gt;0.5,"Разрушение",IF(S29&gt;1,"Деформация","Стабильно"))</f>
        <v>Разрушение</v>
      </c>
      <c r="V29" s="7" t="e">
        <f t="shared" si="2"/>
        <v>#NUM!</v>
      </c>
      <c r="W29" s="7" t="e">
        <f t="shared" si="3"/>
        <v>#NUM!</v>
      </c>
      <c r="X29" s="7">
        <f t="shared" si="4"/>
        <v>2429999.9999999967</v>
      </c>
      <c r="Y29" s="7">
        <f t="shared" si="5"/>
        <v>-5.9621466418249805E+17</v>
      </c>
      <c r="Z29" s="2">
        <f>DEGREES(((COS(M29)/(1+M29) - LN(1+M29)*SIN(M29))^2 +((SIN(M29))/((1+M29)+LN(1+M29)*COS(M29)))^2))</f>
        <v>3.34031842560639</v>
      </c>
      <c r="AA29" s="2">
        <f>(1.5*DEGREES((M29)^2)/(1 + 1/(1+M29))^2)</f>
        <v>550.36786380060028</v>
      </c>
      <c r="AB29" s="2">
        <f>(1.5*DEGREES(M29)^2)^1.5</f>
        <v>10714068.134933611</v>
      </c>
      <c r="AC29" s="2">
        <f t="shared" si="12"/>
        <v>10714621.843115838</v>
      </c>
      <c r="AD29" s="6">
        <f>(((1.5/(2*DEGREES(M29)))*((SIN(M29)/(1+M29))+LN(1+M29)*COS(M29)))-((COS(M29)/(1+M29)^2-SIN(M29)/(1+M29)-LN(1+M29)*SIN(M29))))</f>
        <v>5.2378386205221998E-2</v>
      </c>
      <c r="AE29" s="6">
        <f>((1.5*DEGREES(M29)))</f>
        <v>270</v>
      </c>
      <c r="AF29" s="6">
        <f>(S29^2 * ((1/(1+M29))^2) + (LN(1+M29)^2) + (1.5*(DEGREES(M29)^2 )))</f>
        <v>48605.634773249411</v>
      </c>
      <c r="AG29" s="6">
        <f t="shared" si="13"/>
        <v>2.9095730034973678E-4</v>
      </c>
    </row>
    <row r="32" spans="2:33" ht="37.200000000000003" customHeight="1" x14ac:dyDescent="0.55000000000000004"/>
    <row r="37" spans="1:8" x14ac:dyDescent="0.55000000000000004">
      <c r="A37" s="30"/>
      <c r="B37" s="30"/>
      <c r="C37" s="30"/>
      <c r="D37" s="30"/>
      <c r="E37" s="30"/>
      <c r="F37" s="30"/>
      <c r="G37" s="30"/>
      <c r="H37" s="30"/>
    </row>
    <row r="38" spans="1:8" x14ac:dyDescent="0.55000000000000004">
      <c r="A38" s="30"/>
      <c r="B38" s="30"/>
      <c r="C38" s="30"/>
      <c r="D38" s="30"/>
      <c r="E38" s="30"/>
      <c r="F38" s="29"/>
      <c r="G38" s="30"/>
      <c r="H38" s="30"/>
    </row>
    <row r="39" spans="1:8" x14ac:dyDescent="0.55000000000000004">
      <c r="A39" s="31"/>
      <c r="B39" s="30"/>
      <c r="C39" s="30"/>
      <c r="D39" s="30"/>
      <c r="E39" s="30"/>
      <c r="F39" s="30"/>
      <c r="G39" s="19"/>
      <c r="H39" s="19"/>
    </row>
    <row r="40" spans="1:8" x14ac:dyDescent="0.55000000000000004">
      <c r="A40" s="29"/>
      <c r="B40" s="50"/>
      <c r="C40" s="50"/>
      <c r="D40" s="32"/>
      <c r="E40" s="33"/>
      <c r="F40" s="34"/>
      <c r="G40" s="34"/>
      <c r="H40" s="29"/>
    </row>
    <row r="41" spans="1:8" x14ac:dyDescent="0.55000000000000004">
      <c r="A41" s="29"/>
      <c r="B41" s="51"/>
      <c r="C41" s="51"/>
      <c r="D41" s="35"/>
      <c r="E41" s="35"/>
      <c r="F41" s="29"/>
      <c r="G41" s="35"/>
      <c r="H41" s="36"/>
    </row>
    <row r="42" spans="1:8" x14ac:dyDescent="0.55000000000000004">
      <c r="A42" s="32"/>
      <c r="B42" s="50"/>
      <c r="C42" s="50"/>
      <c r="D42" s="37"/>
      <c r="E42" s="29"/>
      <c r="F42" s="29"/>
      <c r="G42" s="38"/>
      <c r="H42" s="39"/>
    </row>
    <row r="43" spans="1:8" x14ac:dyDescent="0.55000000000000004">
      <c r="A43" s="32"/>
      <c r="B43" s="50"/>
      <c r="C43" s="50"/>
      <c r="D43" s="37"/>
      <c r="E43" s="29"/>
      <c r="F43" s="29"/>
      <c r="G43" s="38"/>
      <c r="H43" s="39"/>
    </row>
    <row r="44" spans="1:8" x14ac:dyDescent="0.55000000000000004">
      <c r="A44" s="32"/>
      <c r="B44" s="50"/>
      <c r="C44" s="50"/>
      <c r="D44" s="37"/>
      <c r="E44" s="29"/>
      <c r="F44" s="29"/>
      <c r="G44" s="38"/>
      <c r="H44" s="39"/>
    </row>
    <row r="45" spans="1:8" x14ac:dyDescent="0.55000000000000004">
      <c r="A45" s="32"/>
      <c r="B45" s="50"/>
      <c r="C45" s="50"/>
      <c r="D45" s="37"/>
      <c r="E45" s="29"/>
      <c r="F45" s="29"/>
      <c r="G45" s="38"/>
      <c r="H45" s="39"/>
    </row>
    <row r="46" spans="1:8" x14ac:dyDescent="0.55000000000000004">
      <c r="A46" s="30"/>
      <c r="B46" s="30"/>
      <c r="C46" s="30"/>
      <c r="D46" s="30"/>
      <c r="E46" s="30"/>
      <c r="F46" s="30"/>
      <c r="G46" s="30"/>
      <c r="H46" s="30"/>
    </row>
    <row r="47" spans="1:8" x14ac:dyDescent="0.55000000000000004">
      <c r="A47" s="31"/>
      <c r="B47" s="30"/>
      <c r="C47" s="30"/>
      <c r="D47" s="30"/>
      <c r="E47" s="30"/>
      <c r="F47" s="30"/>
      <c r="G47" s="19"/>
      <c r="H47" s="19"/>
    </row>
    <row r="48" spans="1:8" x14ac:dyDescent="0.55000000000000004">
      <c r="A48" s="29"/>
      <c r="B48" s="50"/>
      <c r="C48" s="50"/>
      <c r="D48" s="32"/>
      <c r="E48" s="33"/>
      <c r="F48" s="34"/>
      <c r="G48" s="34"/>
      <c r="H48" s="29"/>
    </row>
    <row r="49" spans="1:8" x14ac:dyDescent="0.55000000000000004">
      <c r="A49" s="29"/>
      <c r="B49" s="51"/>
      <c r="C49" s="51"/>
      <c r="D49" s="35"/>
      <c r="E49" s="35"/>
      <c r="F49" s="29"/>
      <c r="G49" s="35"/>
      <c r="H49" s="36"/>
    </row>
    <row r="50" spans="1:8" x14ac:dyDescent="0.55000000000000004">
      <c r="A50" s="32"/>
      <c r="B50" s="50"/>
      <c r="C50" s="50"/>
      <c r="D50" s="37"/>
      <c r="E50" s="29"/>
      <c r="F50" s="29"/>
      <c r="G50" s="38"/>
      <c r="H50" s="39"/>
    </row>
    <row r="51" spans="1:8" x14ac:dyDescent="0.55000000000000004">
      <c r="A51" s="32"/>
      <c r="B51" s="50"/>
      <c r="C51" s="50"/>
      <c r="D51" s="37"/>
      <c r="E51" s="29"/>
      <c r="F51" s="29"/>
      <c r="G51" s="38"/>
      <c r="H51" s="39"/>
    </row>
    <row r="52" spans="1:8" x14ac:dyDescent="0.55000000000000004">
      <c r="A52" s="32"/>
      <c r="B52" s="50"/>
      <c r="C52" s="50"/>
      <c r="D52" s="37"/>
      <c r="E52" s="29"/>
      <c r="F52" s="29"/>
      <c r="G52" s="38"/>
      <c r="H52" s="39"/>
    </row>
    <row r="53" spans="1:8" x14ac:dyDescent="0.55000000000000004">
      <c r="A53" s="32"/>
      <c r="B53" s="50"/>
      <c r="C53" s="50"/>
      <c r="D53" s="37"/>
      <c r="E53" s="29"/>
      <c r="F53" s="29"/>
      <c r="G53" s="38"/>
      <c r="H53" s="39"/>
    </row>
    <row r="54" spans="1:8" x14ac:dyDescent="0.55000000000000004">
      <c r="A54" s="30"/>
      <c r="B54" s="30"/>
      <c r="C54" s="30"/>
      <c r="D54" s="30"/>
      <c r="E54" s="30"/>
      <c r="F54" s="30"/>
      <c r="G54" s="30"/>
      <c r="H54" s="30"/>
    </row>
    <row r="55" spans="1:8" x14ac:dyDescent="0.55000000000000004">
      <c r="A55" s="30"/>
      <c r="B55" s="30"/>
      <c r="C55" s="30"/>
      <c r="D55" s="30"/>
      <c r="E55" s="30"/>
      <c r="F55" s="30"/>
      <c r="G55" s="30"/>
      <c r="H55" s="30"/>
    </row>
    <row r="56" spans="1:8" x14ac:dyDescent="0.55000000000000004">
      <c r="A56" s="30"/>
      <c r="B56" s="30"/>
      <c r="C56" s="30"/>
      <c r="D56" s="30"/>
      <c r="E56" s="30"/>
      <c r="F56" s="30"/>
      <c r="G56" s="30"/>
      <c r="H56" s="30"/>
    </row>
  </sheetData>
  <mergeCells count="19">
    <mergeCell ref="B51:C51"/>
    <mergeCell ref="B53:C53"/>
    <mergeCell ref="B52:C52"/>
    <mergeCell ref="M23:P23"/>
    <mergeCell ref="Q23:S23"/>
    <mergeCell ref="B48:C48"/>
    <mergeCell ref="B49:C49"/>
    <mergeCell ref="B50:C50"/>
    <mergeCell ref="B45:C45"/>
    <mergeCell ref="B44:C44"/>
    <mergeCell ref="B40:C40"/>
    <mergeCell ref="B41:C41"/>
    <mergeCell ref="B42:C42"/>
    <mergeCell ref="B43:C43"/>
    <mergeCell ref="Z23:AC23"/>
    <mergeCell ref="AD23:AG23"/>
    <mergeCell ref="V23:Y23"/>
    <mergeCell ref="U23:U24"/>
    <mergeCell ref="T23:T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Сергей Овчинников</cp:lastModifiedBy>
  <dcterms:created xsi:type="dcterms:W3CDTF">2015-06-05T18:19:34Z</dcterms:created>
  <dcterms:modified xsi:type="dcterms:W3CDTF">2025-07-30T11:15:56Z</dcterms:modified>
</cp:coreProperties>
</file>