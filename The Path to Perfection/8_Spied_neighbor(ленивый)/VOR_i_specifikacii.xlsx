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sinapapka/Downloads/"/>
    </mc:Choice>
  </mc:AlternateContent>
  <xr:revisionPtr revIDLastSave="0" documentId="8_{536A3EF0-A077-B24E-BE61-1401A28DC9BD}" xr6:coauthVersionLast="47" xr6:coauthVersionMax="47" xr10:uidLastSave="{00000000-0000-0000-0000-000000000000}"/>
  <bookViews>
    <workbookView xWindow="280" yWindow="620" windowWidth="28240" windowHeight="15660" activeTab="1" xr2:uid="{D1D53980-CFF8-A942-B907-F36991AB964E}"/>
  </bookViews>
  <sheets>
    <sheet name="Шаблон_Ведомость_объёмов_работ" sheetId="1" r:id="rId1"/>
    <sheet name="Шаблон_спецификация_автоподсчёт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4" i="2"/>
  <c r="I5" i="2"/>
  <c r="I3" i="2"/>
  <c r="G6" i="2"/>
  <c r="G5" i="2"/>
  <c r="G4" i="2"/>
  <c r="G3" i="2"/>
  <c r="B4" i="2"/>
  <c r="B5" i="2" s="1"/>
  <c r="B4" i="1"/>
  <c r="B5" i="1" s="1"/>
  <c r="B6" i="1" s="1"/>
</calcChain>
</file>

<file path=xl/sharedStrings.xml><?xml version="1.0" encoding="utf-8"?>
<sst xmlns="http://schemas.openxmlformats.org/spreadsheetml/2006/main" count="29" uniqueCount="25">
  <si>
    <t>Ведомость объёмов работ</t>
  </si>
  <si>
    <t>Наименование работ</t>
  </si>
  <si>
    <t>Ед. Изм.</t>
  </si>
  <si>
    <t>Объём</t>
  </si>
  <si>
    <t>Монтаж металлокаркаса для перегородок Кнауф С112 ПС-100</t>
  </si>
  <si>
    <r>
      <t>м</t>
    </r>
    <r>
      <rPr>
        <sz val="12"/>
        <color theme="1"/>
        <rFont val="Aptos Narrow (Основной текст)"/>
        <charset val="204"/>
      </rPr>
      <t>2</t>
    </r>
  </si>
  <si>
    <t>Устройство примыканий перегородок к фасаду (Vibrosil Tape 50/6, AccusticWool 20 мм, Саморасширяющаяся уплотнительная лента 30х6)"</t>
  </si>
  <si>
    <t>м.п.</t>
  </si>
  <si>
    <t>Устройство временной зоны точки сантехнического узла</t>
  </si>
  <si>
    <t>шт.</t>
  </si>
  <si>
    <t>№</t>
  </si>
  <si>
    <t>Добавьте свои строки</t>
  </si>
  <si>
    <t>Наименование</t>
  </si>
  <si>
    <t>Кол-во / Объём</t>
  </si>
  <si>
    <t>Цена</t>
  </si>
  <si>
    <t>Сумма</t>
  </si>
  <si>
    <t>Спецификация</t>
  </si>
  <si>
    <t>Итого</t>
  </si>
  <si>
    <t>Гипсокартон 2500х1200</t>
  </si>
  <si>
    <t>Болты шестигранные М 6х10-16</t>
  </si>
  <si>
    <t>кг</t>
  </si>
  <si>
    <t>Санитарный силиконовый герметик Технониколь белый, 280 мл</t>
  </si>
  <si>
    <t>Коэффициент</t>
  </si>
  <si>
    <t>Сумма с коэффициентом</t>
  </si>
  <si>
    <t>Примечания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</si>
</sst>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 (Основной текст)"/>
      <charset val="204"/>
    </font>
    <font>
      <i/>
      <sz val="12"/>
      <color rgb="FFFF0000"/>
      <name val="Aptos Narrow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10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A128-21F5-B040-9D4D-875EF33C569E}">
  <dimension ref="B1:E6"/>
  <sheetViews>
    <sheetView workbookViewId="0">
      <selection activeCell="F3" sqref="F3"/>
    </sheetView>
  </sheetViews>
  <sheetFormatPr baseColWidth="10" defaultRowHeight="16" x14ac:dyDescent="0.2"/>
  <cols>
    <col min="1" max="1" width="11.6640625" customWidth="1"/>
    <col min="2" max="2" width="43.1640625" customWidth="1"/>
    <col min="3" max="3" width="45.6640625" customWidth="1"/>
  </cols>
  <sheetData>
    <row r="1" spans="2:5" ht="19" x14ac:dyDescent="0.25">
      <c r="B1" s="14" t="s">
        <v>0</v>
      </c>
      <c r="C1" s="14"/>
      <c r="D1" s="14"/>
      <c r="E1" s="14"/>
    </row>
    <row r="2" spans="2:5" ht="17" x14ac:dyDescent="0.2">
      <c r="B2" s="16" t="s">
        <v>10</v>
      </c>
      <c r="C2" s="17" t="s">
        <v>1</v>
      </c>
      <c r="D2" s="18" t="s">
        <v>2</v>
      </c>
      <c r="E2" s="19" t="s">
        <v>3</v>
      </c>
    </row>
    <row r="3" spans="2:5" ht="34" x14ac:dyDescent="0.2">
      <c r="B3" s="12">
        <v>1</v>
      </c>
      <c r="C3" s="9" t="s">
        <v>4</v>
      </c>
      <c r="D3" s="2" t="s">
        <v>5</v>
      </c>
      <c r="E3" s="3">
        <v>121.13</v>
      </c>
    </row>
    <row r="4" spans="2:5" ht="51" x14ac:dyDescent="0.2">
      <c r="B4" s="12">
        <f>B3+1</f>
        <v>2</v>
      </c>
      <c r="C4" s="9" t="s">
        <v>6</v>
      </c>
      <c r="D4" s="2" t="s">
        <v>7</v>
      </c>
      <c r="E4" s="3">
        <v>47.76</v>
      </c>
    </row>
    <row r="5" spans="2:5" ht="34" x14ac:dyDescent="0.2">
      <c r="B5" s="12">
        <f>B4+1</f>
        <v>3</v>
      </c>
      <c r="C5" s="9" t="s">
        <v>8</v>
      </c>
      <c r="D5" s="2" t="s">
        <v>9</v>
      </c>
      <c r="E5" s="3">
        <v>2</v>
      </c>
    </row>
    <row r="6" spans="2:5" ht="17" x14ac:dyDescent="0.2">
      <c r="B6" s="13">
        <f>B5+1</f>
        <v>4</v>
      </c>
      <c r="C6" s="10" t="s">
        <v>11</v>
      </c>
      <c r="D6" s="4"/>
      <c r="E6" s="5"/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BAC0-9E14-784D-860A-B9BB4F67FFA0}">
  <dimension ref="B1:J6"/>
  <sheetViews>
    <sheetView tabSelected="1" workbookViewId="0">
      <selection activeCell="I17" sqref="I17"/>
    </sheetView>
  </sheetViews>
  <sheetFormatPr baseColWidth="10" defaultRowHeight="16" x14ac:dyDescent="0.2"/>
  <cols>
    <col min="3" max="3" width="28.1640625" style="1" customWidth="1"/>
    <col min="5" max="5" width="13.6640625" bestFit="1" customWidth="1"/>
    <col min="8" max="8" width="13.1640625" bestFit="1" customWidth="1"/>
    <col min="9" max="9" width="23.1640625" bestFit="1" customWidth="1"/>
    <col min="10" max="10" width="12.1640625" bestFit="1" customWidth="1"/>
  </cols>
  <sheetData>
    <row r="1" spans="2:10" ht="19" x14ac:dyDescent="0.25">
      <c r="B1" s="14" t="s">
        <v>16</v>
      </c>
      <c r="C1" s="14"/>
      <c r="D1" s="14"/>
      <c r="E1" s="14"/>
      <c r="F1" s="14"/>
      <c r="G1" s="14"/>
      <c r="H1" s="14"/>
      <c r="I1" s="20"/>
    </row>
    <row r="2" spans="2:10" ht="17" x14ac:dyDescent="0.2">
      <c r="B2" s="16" t="s">
        <v>10</v>
      </c>
      <c r="C2" s="17" t="s">
        <v>12</v>
      </c>
      <c r="D2" s="18" t="s">
        <v>2</v>
      </c>
      <c r="E2" s="18" t="s">
        <v>13</v>
      </c>
      <c r="F2" s="18" t="s">
        <v>14</v>
      </c>
      <c r="G2" s="19" t="s">
        <v>15</v>
      </c>
      <c r="H2" s="22" t="s">
        <v>22</v>
      </c>
      <c r="I2" s="28" t="s">
        <v>23</v>
      </c>
      <c r="J2" s="23" t="s">
        <v>24</v>
      </c>
    </row>
    <row r="3" spans="2:10" ht="17" x14ac:dyDescent="0.2">
      <c r="B3" s="11">
        <v>1</v>
      </c>
      <c r="C3" s="8" t="s">
        <v>18</v>
      </c>
      <c r="D3" s="26" t="s">
        <v>9</v>
      </c>
      <c r="E3" s="26">
        <v>10</v>
      </c>
      <c r="F3" s="26">
        <v>429</v>
      </c>
      <c r="G3" s="26">
        <f>F3*E3</f>
        <v>4290</v>
      </c>
      <c r="H3" s="26">
        <v>1.05</v>
      </c>
      <c r="I3" s="24">
        <f>G3*H3</f>
        <v>4504.5</v>
      </c>
      <c r="J3" s="29"/>
    </row>
    <row r="4" spans="2:10" ht="17" x14ac:dyDescent="0.2">
      <c r="B4" s="12">
        <f>B3+1</f>
        <v>2</v>
      </c>
      <c r="C4" s="9" t="s">
        <v>19</v>
      </c>
      <c r="D4" s="27" t="s">
        <v>20</v>
      </c>
      <c r="E4" s="27">
        <v>4</v>
      </c>
      <c r="F4" s="27">
        <v>200</v>
      </c>
      <c r="G4" s="27">
        <f>F4*E4</f>
        <v>800</v>
      </c>
      <c r="H4" s="27">
        <v>1.05</v>
      </c>
      <c r="I4" s="24">
        <f t="shared" ref="I4:I5" si="0">G4*H4</f>
        <v>840</v>
      </c>
      <c r="J4" s="30"/>
    </row>
    <row r="5" spans="2:10" ht="51" x14ac:dyDescent="0.2">
      <c r="B5" s="12">
        <f t="shared" ref="B5" si="1">B4+1</f>
        <v>3</v>
      </c>
      <c r="C5" s="9" t="s">
        <v>21</v>
      </c>
      <c r="D5" s="27" t="s">
        <v>9</v>
      </c>
      <c r="E5" s="27">
        <v>2</v>
      </c>
      <c r="F5" s="27">
        <v>360</v>
      </c>
      <c r="G5" s="27">
        <f>F5*E5</f>
        <v>720</v>
      </c>
      <c r="H5" s="27">
        <v>1.05</v>
      </c>
      <c r="I5" s="24">
        <f t="shared" si="0"/>
        <v>756</v>
      </c>
      <c r="J5" s="30"/>
    </row>
    <row r="6" spans="2:10" x14ac:dyDescent="0.2">
      <c r="B6" s="6" t="s">
        <v>17</v>
      </c>
      <c r="C6" s="7"/>
      <c r="D6" s="7"/>
      <c r="E6" s="7"/>
      <c r="F6" s="7"/>
      <c r="G6" s="21">
        <f>SUM(G3:G5)</f>
        <v>5810</v>
      </c>
      <c r="H6" s="15"/>
      <c r="I6" s="25">
        <f>SUM(I3:I5)</f>
        <v>6100.5</v>
      </c>
      <c r="J6" s="31"/>
    </row>
  </sheetData>
  <mergeCells count="2">
    <mergeCell ref="B6:F6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Шаблон_Ведомость_объёмов_работ</vt:lpstr>
      <vt:lpstr>Шаблон_спецификация_автоподсчёт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Макарова Полина Сергеевна</dc:creator>
  <cp:lastModifiedBy>Макарова Полина Сергеевна</cp:lastModifiedBy>
  <dcterms:created xsi:type="dcterms:W3CDTF">2026-04-13T07:44:06Z</dcterms:created>
  <dcterms:modified xsi:type="dcterms:W3CDTF">2026-04-13T08:17:09Z</dcterms:modified>
</cp:coreProperties>
</file>