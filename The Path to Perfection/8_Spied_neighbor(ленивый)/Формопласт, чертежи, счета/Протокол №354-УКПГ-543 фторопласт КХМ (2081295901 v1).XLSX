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13 Блок КС\03 УК\ОК\!! ПРОТОКОЛЫ МТР ПОСТАВКИ ПОДРЯДЧИКА\Протоколы\КХМ\АЗ протоколы\543 дог (лот1)\354-УКПГ-543 фторопласт КХМ\1. Подписано\"/>
    </mc:Choice>
  </mc:AlternateContent>
  <bookViews>
    <workbookView xWindow="22932" yWindow="-108" windowWidth="23256" windowHeight="12576" activeTab="1"/>
  </bookViews>
  <sheets>
    <sheet name="Ан.справка" sheetId="3" r:id="rId1"/>
    <sheet name="Протокол  " sheetId="5" r:id="rId2"/>
  </sheets>
  <definedNames>
    <definedName name="_xlnm._FilterDatabase" localSheetId="0" hidden="1">Ан.справка!$B$5:$AV$45</definedName>
    <definedName name="_xlnm._FilterDatabase" localSheetId="1" hidden="1">'Протокол  '!$B$12:$AI$33</definedName>
    <definedName name="_xlnm.Print_Titles" localSheetId="0">Ан.справка!$5:$5</definedName>
    <definedName name="_xlnm.Print_Titles" localSheetId="1">'Протокол  '!$12:$12</definedName>
    <definedName name="_xlnm.Print_Area" localSheetId="0">Ан.справка!$B$1:$AK$52</definedName>
    <definedName name="_xlnm.Print_Area" localSheetId="1">'Протокол  '!$B$1:$X$71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3" i="5" l="1"/>
  <c r="V22" i="5"/>
  <c r="N25" i="3"/>
  <c r="Q31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13" i="5"/>
  <c r="AM38" i="3"/>
  <c r="AG41" i="3"/>
  <c r="AG40" i="3"/>
  <c r="AG39" i="3"/>
  <c r="AG38" i="3"/>
  <c r="AG34" i="3"/>
  <c r="AG30" i="3"/>
  <c r="AG29" i="3"/>
  <c r="AG28" i="3"/>
  <c r="AG27" i="3"/>
  <c r="AG26" i="3"/>
  <c r="AG25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6" i="3"/>
  <c r="O38" i="3" l="1"/>
  <c r="Q9" i="3"/>
  <c r="Q10" i="3"/>
  <c r="Q13" i="3"/>
  <c r="Q14" i="3"/>
  <c r="Q17" i="3"/>
  <c r="Q18" i="3"/>
  <c r="Q21" i="3"/>
  <c r="Q22" i="3"/>
  <c r="Q6" i="3"/>
  <c r="O39" i="3"/>
  <c r="Q24" i="3"/>
  <c r="Q23" i="3"/>
  <c r="Q20" i="3"/>
  <c r="Q19" i="3"/>
  <c r="Q16" i="3"/>
  <c r="Q15" i="3"/>
  <c r="Q12" i="3"/>
  <c r="Q11" i="3"/>
  <c r="Q8" i="3"/>
  <c r="Q7" i="3"/>
  <c r="O25" i="3" l="1"/>
  <c r="O26" i="3" s="1"/>
  <c r="O27" i="3" s="1"/>
  <c r="AB39" i="3" l="1"/>
  <c r="W39" i="3"/>
  <c r="R39" i="3"/>
  <c r="L13" i="5" l="1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AI6" i="3"/>
  <c r="P13" i="5" s="1"/>
  <c r="AI7" i="3"/>
  <c r="P14" i="5" s="1"/>
  <c r="AI8" i="3"/>
  <c r="P15" i="5" s="1"/>
  <c r="AI9" i="3"/>
  <c r="P16" i="5" s="1"/>
  <c r="AI10" i="3"/>
  <c r="P17" i="5" s="1"/>
  <c r="AI11" i="3"/>
  <c r="P18" i="5" s="1"/>
  <c r="AI12" i="3"/>
  <c r="P19" i="5" s="1"/>
  <c r="AI13" i="3"/>
  <c r="P20" i="5" s="1"/>
  <c r="AI14" i="3"/>
  <c r="P21" i="5" s="1"/>
  <c r="AI15" i="3"/>
  <c r="P22" i="5" s="1"/>
  <c r="AI16" i="3"/>
  <c r="P23" i="5" s="1"/>
  <c r="AI17" i="3"/>
  <c r="P24" i="5" s="1"/>
  <c r="AI18" i="3"/>
  <c r="P25" i="5" s="1"/>
  <c r="AI19" i="3"/>
  <c r="P26" i="5" s="1"/>
  <c r="AI20" i="3"/>
  <c r="P27" i="5" s="1"/>
  <c r="AI21" i="3"/>
  <c r="P28" i="5" s="1"/>
  <c r="AI22" i="3"/>
  <c r="P29" i="5" s="1"/>
  <c r="AI23" i="3"/>
  <c r="P30" i="5" s="1"/>
  <c r="AI24" i="3"/>
  <c r="P31" i="5" s="1"/>
  <c r="AH6" i="3"/>
  <c r="O13" i="5" s="1"/>
  <c r="AH7" i="3"/>
  <c r="O14" i="5" s="1"/>
  <c r="AH8" i="3"/>
  <c r="O15" i="5" s="1"/>
  <c r="AH9" i="3"/>
  <c r="O16" i="5" s="1"/>
  <c r="AH10" i="3"/>
  <c r="O17" i="5" s="1"/>
  <c r="AH11" i="3"/>
  <c r="O18" i="5" s="1"/>
  <c r="AH12" i="3"/>
  <c r="O19" i="5" s="1"/>
  <c r="AH13" i="3"/>
  <c r="O20" i="5" s="1"/>
  <c r="AH14" i="3"/>
  <c r="O21" i="5" s="1"/>
  <c r="AH15" i="3"/>
  <c r="O22" i="5" s="1"/>
  <c r="AH16" i="3"/>
  <c r="O23" i="5" s="1"/>
  <c r="AH17" i="3"/>
  <c r="O24" i="5" s="1"/>
  <c r="AH18" i="3"/>
  <c r="O25" i="5" s="1"/>
  <c r="AH19" i="3"/>
  <c r="O26" i="5" s="1"/>
  <c r="AH20" i="3"/>
  <c r="O27" i="5" s="1"/>
  <c r="AH21" i="3"/>
  <c r="O28" i="5" s="1"/>
  <c r="AH22" i="3"/>
  <c r="O29" i="5" s="1"/>
  <c r="AH23" i="3"/>
  <c r="O30" i="5" s="1"/>
  <c r="AH24" i="3"/>
  <c r="O31" i="5" s="1"/>
  <c r="AE6" i="3"/>
  <c r="AE7" i="3"/>
  <c r="AF7" i="3" s="1"/>
  <c r="AE8" i="3"/>
  <c r="AF8" i="3" s="1"/>
  <c r="AE9" i="3"/>
  <c r="AE10" i="3"/>
  <c r="AE11" i="3"/>
  <c r="AF11" i="3" s="1"/>
  <c r="AE12" i="3"/>
  <c r="AF12" i="3" s="1"/>
  <c r="AE13" i="3"/>
  <c r="AE14" i="3"/>
  <c r="AE15" i="3"/>
  <c r="AF15" i="3" s="1"/>
  <c r="AE16" i="3"/>
  <c r="AF16" i="3" s="1"/>
  <c r="AE17" i="3"/>
  <c r="AE18" i="3"/>
  <c r="AE19" i="3"/>
  <c r="AF19" i="3" s="1"/>
  <c r="AE20" i="3"/>
  <c r="AF20" i="3" s="1"/>
  <c r="AE21" i="3"/>
  <c r="AE22" i="3"/>
  <c r="AE23" i="3"/>
  <c r="AF23" i="3" s="1"/>
  <c r="AE24" i="3"/>
  <c r="AF24" i="3" s="1"/>
  <c r="U6" i="3"/>
  <c r="V6" i="3" s="1"/>
  <c r="U7" i="3"/>
  <c r="V7" i="3" s="1"/>
  <c r="U8" i="3"/>
  <c r="V8" i="3" s="1"/>
  <c r="U9" i="3"/>
  <c r="V9" i="3" s="1"/>
  <c r="U10" i="3"/>
  <c r="V10" i="3" s="1"/>
  <c r="U11" i="3"/>
  <c r="V11" i="3" s="1"/>
  <c r="U12" i="3"/>
  <c r="V12" i="3" s="1"/>
  <c r="U13" i="3"/>
  <c r="V13" i="3" s="1"/>
  <c r="U14" i="3"/>
  <c r="V14" i="3" s="1"/>
  <c r="U15" i="3"/>
  <c r="V15" i="3" s="1"/>
  <c r="U16" i="3"/>
  <c r="V16" i="3" s="1"/>
  <c r="U17" i="3"/>
  <c r="V17" i="3" s="1"/>
  <c r="U18" i="3"/>
  <c r="V18" i="3" s="1"/>
  <c r="U19" i="3"/>
  <c r="V19" i="3" s="1"/>
  <c r="U20" i="3"/>
  <c r="V20" i="3" s="1"/>
  <c r="U21" i="3"/>
  <c r="V21" i="3" s="1"/>
  <c r="U22" i="3"/>
  <c r="V22" i="3" s="1"/>
  <c r="U23" i="3"/>
  <c r="V23" i="3" s="1"/>
  <c r="U24" i="3"/>
  <c r="V24" i="3" s="1"/>
  <c r="Z6" i="3"/>
  <c r="AA6" i="3" s="1"/>
  <c r="Z7" i="3"/>
  <c r="AA7" i="3" s="1"/>
  <c r="Z8" i="3"/>
  <c r="AA8" i="3" s="1"/>
  <c r="Z9" i="3"/>
  <c r="AA9" i="3" s="1"/>
  <c r="Z10" i="3"/>
  <c r="AA10" i="3" s="1"/>
  <c r="Z11" i="3"/>
  <c r="AA11" i="3" s="1"/>
  <c r="Z12" i="3"/>
  <c r="AA12" i="3" s="1"/>
  <c r="Z13" i="3"/>
  <c r="AA13" i="3" s="1"/>
  <c r="Z14" i="3"/>
  <c r="AA14" i="3" s="1"/>
  <c r="Z15" i="3"/>
  <c r="AA15" i="3" s="1"/>
  <c r="Z16" i="3"/>
  <c r="AA16" i="3" s="1"/>
  <c r="Z17" i="3"/>
  <c r="AA17" i="3" s="1"/>
  <c r="Z18" i="3"/>
  <c r="AA18" i="3" s="1"/>
  <c r="Z19" i="3"/>
  <c r="AA19" i="3" s="1"/>
  <c r="Z20" i="3"/>
  <c r="AA20" i="3" s="1"/>
  <c r="Z21" i="3"/>
  <c r="AA21" i="3" s="1"/>
  <c r="Z22" i="3"/>
  <c r="AA22" i="3" s="1"/>
  <c r="Z23" i="3"/>
  <c r="AA23" i="3" s="1"/>
  <c r="Z24" i="3"/>
  <c r="AA24" i="3" s="1"/>
  <c r="R31" i="5" l="1"/>
  <c r="R25" i="5"/>
  <c r="R19" i="5"/>
  <c r="R13" i="5"/>
  <c r="R30" i="5"/>
  <c r="R24" i="5"/>
  <c r="R18" i="5"/>
  <c r="R29" i="5"/>
  <c r="R23" i="5"/>
  <c r="R17" i="5"/>
  <c r="R28" i="5"/>
  <c r="R22" i="5"/>
  <c r="R16" i="5"/>
  <c r="R27" i="5"/>
  <c r="R21" i="5"/>
  <c r="R15" i="5"/>
  <c r="R26" i="5"/>
  <c r="R20" i="5"/>
  <c r="R14" i="5"/>
  <c r="AF18" i="3"/>
  <c r="AF10" i="3"/>
  <c r="AF21" i="3"/>
  <c r="AF17" i="3"/>
  <c r="AF13" i="3"/>
  <c r="AF9" i="3"/>
  <c r="AF22" i="3"/>
  <c r="AF14" i="3"/>
  <c r="AF6" i="3"/>
  <c r="N6" i="3"/>
  <c r="M13" i="5" s="1"/>
  <c r="U13" i="5" s="1"/>
  <c r="V13" i="5" s="1"/>
  <c r="N7" i="3"/>
  <c r="M14" i="5" s="1"/>
  <c r="U14" i="5" s="1"/>
  <c r="V14" i="5" s="1"/>
  <c r="N8" i="3"/>
  <c r="M15" i="5" s="1"/>
  <c r="U15" i="5" s="1"/>
  <c r="V15" i="5" s="1"/>
  <c r="N9" i="3"/>
  <c r="M16" i="5" s="1"/>
  <c r="U16" i="5" s="1"/>
  <c r="V16" i="5" s="1"/>
  <c r="N10" i="3"/>
  <c r="M17" i="5" s="1"/>
  <c r="U17" i="5" s="1"/>
  <c r="V17" i="5" s="1"/>
  <c r="N11" i="3"/>
  <c r="M18" i="5" s="1"/>
  <c r="U18" i="5" s="1"/>
  <c r="V18" i="5" s="1"/>
  <c r="N12" i="3"/>
  <c r="M19" i="5" s="1"/>
  <c r="U19" i="5" s="1"/>
  <c r="V19" i="5" s="1"/>
  <c r="N13" i="3"/>
  <c r="M20" i="5" s="1"/>
  <c r="U20" i="5" s="1"/>
  <c r="V20" i="5" s="1"/>
  <c r="N14" i="3"/>
  <c r="M21" i="5" s="1"/>
  <c r="U21" i="5" s="1"/>
  <c r="V21" i="5" s="1"/>
  <c r="N15" i="3"/>
  <c r="M22" i="5" s="1"/>
  <c r="U22" i="5" s="1"/>
  <c r="N16" i="3"/>
  <c r="M23" i="5" s="1"/>
  <c r="U23" i="5" s="1"/>
  <c r="N17" i="3"/>
  <c r="M24" i="5" s="1"/>
  <c r="U24" i="5" s="1"/>
  <c r="V24" i="5" s="1"/>
  <c r="N18" i="3"/>
  <c r="M25" i="5" s="1"/>
  <c r="U25" i="5" s="1"/>
  <c r="V25" i="5" s="1"/>
  <c r="N19" i="3"/>
  <c r="M26" i="5" s="1"/>
  <c r="U26" i="5" s="1"/>
  <c r="V26" i="5" s="1"/>
  <c r="N20" i="3"/>
  <c r="M27" i="5" s="1"/>
  <c r="U27" i="5" s="1"/>
  <c r="V27" i="5" s="1"/>
  <c r="N21" i="3"/>
  <c r="M28" i="5" s="1"/>
  <c r="U28" i="5" s="1"/>
  <c r="V28" i="5" s="1"/>
  <c r="N22" i="3"/>
  <c r="M29" i="5" s="1"/>
  <c r="U29" i="5" s="1"/>
  <c r="V29" i="5" s="1"/>
  <c r="N23" i="3"/>
  <c r="M30" i="5" s="1"/>
  <c r="U30" i="5" s="1"/>
  <c r="V30" i="5" s="1"/>
  <c r="N24" i="3"/>
  <c r="M31" i="5" s="1"/>
  <c r="U31" i="5" s="1"/>
  <c r="V31" i="5" s="1"/>
  <c r="S15" i="5" l="1"/>
  <c r="W15" i="5"/>
  <c r="X15" i="5" s="1"/>
  <c r="S17" i="5"/>
  <c r="W17" i="5"/>
  <c r="X17" i="5" s="1"/>
  <c r="S30" i="5"/>
  <c r="W30" i="5"/>
  <c r="X30" i="5" s="1"/>
  <c r="S21" i="5"/>
  <c r="W21" i="5"/>
  <c r="X21" i="5" s="1"/>
  <c r="S23" i="5"/>
  <c r="W23" i="5"/>
  <c r="X23" i="5" s="1"/>
  <c r="S13" i="5"/>
  <c r="W13" i="5"/>
  <c r="X13" i="5" s="1"/>
  <c r="S24" i="5"/>
  <c r="W24" i="5"/>
  <c r="X24" i="5" s="1"/>
  <c r="S27" i="5"/>
  <c r="W27" i="5"/>
  <c r="X27" i="5" s="1"/>
  <c r="S29" i="5"/>
  <c r="W29" i="5"/>
  <c r="X29" i="5" s="1"/>
  <c r="S19" i="5"/>
  <c r="W19" i="5"/>
  <c r="X19" i="5" s="1"/>
  <c r="S28" i="5"/>
  <c r="W28" i="5"/>
  <c r="X28" i="5" s="1"/>
  <c r="W14" i="5"/>
  <c r="X14" i="5" s="1"/>
  <c r="S14" i="5"/>
  <c r="S16" i="5"/>
  <c r="W16" i="5"/>
  <c r="X16" i="5" s="1"/>
  <c r="S25" i="5"/>
  <c r="W25" i="5"/>
  <c r="X25" i="5" s="1"/>
  <c r="S26" i="5"/>
  <c r="W26" i="5"/>
  <c r="X26" i="5" s="1"/>
  <c r="S20" i="5"/>
  <c r="W20" i="5"/>
  <c r="X20" i="5" s="1"/>
  <c r="S22" i="5"/>
  <c r="W22" i="5"/>
  <c r="X22" i="5" s="1"/>
  <c r="S18" i="5"/>
  <c r="W18" i="5"/>
  <c r="X18" i="5" s="1"/>
  <c r="S31" i="5"/>
  <c r="W31" i="5"/>
  <c r="X31" i="5" s="1"/>
  <c r="D38" i="5" l="1"/>
  <c r="D37" i="5"/>
  <c r="AJ30" i="3" l="1"/>
  <c r="AJ26" i="3" l="1"/>
  <c r="AJ27" i="3"/>
  <c r="AJ28" i="3"/>
  <c r="AJ29" i="3"/>
  <c r="L32" i="5" l="1"/>
  <c r="W25" i="3" l="1"/>
  <c r="N33" i="3" l="1"/>
  <c r="O33" i="3"/>
  <c r="W26" i="3"/>
  <c r="O37" i="3" l="1"/>
  <c r="AG33" i="3"/>
  <c r="V32" i="5"/>
  <c r="U32" i="5"/>
  <c r="W27" i="3"/>
  <c r="L25" i="3"/>
  <c r="O42" i="3" l="1"/>
  <c r="AG37" i="3"/>
  <c r="W33" i="3"/>
  <c r="W37" i="3" s="1"/>
  <c r="W42" i="3" s="1"/>
  <c r="R25" i="3"/>
  <c r="AG42" i="3" l="1"/>
  <c r="O43" i="3"/>
  <c r="AG43" i="3" s="1"/>
  <c r="O44" i="3"/>
  <c r="W43" i="3"/>
  <c r="W44" i="3"/>
  <c r="X7" i="5"/>
  <c r="O45" i="3" l="1"/>
  <c r="AG45" i="3" s="1"/>
  <c r="AG44" i="3"/>
  <c r="W45" i="3"/>
  <c r="AB25" i="3"/>
  <c r="M32" i="5"/>
  <c r="R33" i="3" l="1"/>
  <c r="R37" i="3" s="1"/>
  <c r="AB33" i="3"/>
  <c r="R42" i="3" l="1"/>
  <c r="AB37" i="3" l="1"/>
  <c r="AB42" i="3" s="1"/>
  <c r="R32" i="5"/>
  <c r="G48" i="3"/>
  <c r="G49" i="3"/>
  <c r="W32" i="5" l="1"/>
  <c r="AB43" i="3"/>
  <c r="S32" i="5"/>
  <c r="X32" i="5"/>
  <c r="AB26" i="3"/>
  <c r="AB44" i="3" l="1"/>
  <c r="AB27" i="3"/>
  <c r="AB45" i="3" l="1"/>
  <c r="R44" i="3"/>
  <c r="R12" i="5"/>
  <c r="R26" i="3" l="1"/>
  <c r="R27" i="3" l="1"/>
  <c r="R45" i="3"/>
  <c r="AJ25" i="3" l="1"/>
  <c r="R43" i="3" l="1"/>
</calcChain>
</file>

<file path=xl/sharedStrings.xml><?xml version="1.0" encoding="utf-8"?>
<sst xmlns="http://schemas.openxmlformats.org/spreadsheetml/2006/main" count="498" uniqueCount="199">
  <si>
    <t>№ п/п</t>
  </si>
  <si>
    <t>Наименование</t>
  </si>
  <si>
    <t>ГОСТ, ТУ</t>
  </si>
  <si>
    <t>Е.И.</t>
  </si>
  <si>
    <t>Цена за ед. руб. без НДС</t>
  </si>
  <si>
    <t>Стоимость, 
руб. без НДС</t>
  </si>
  <si>
    <t>1.</t>
  </si>
  <si>
    <t>2.</t>
  </si>
  <si>
    <t xml:space="preserve">Заказчик: </t>
  </si>
  <si>
    <t>Обозначение проекта</t>
  </si>
  <si>
    <t>ИТОГО:</t>
  </si>
  <si>
    <t>ВСЕГО:</t>
  </si>
  <si>
    <t>Условия поставки:</t>
  </si>
  <si>
    <t>3.</t>
  </si>
  <si>
    <t>ООО "Арктик СПГ 2"</t>
  </si>
  <si>
    <t>Общая стоимость МТР с учетом транспортных расходов с НДС</t>
  </si>
  <si>
    <t>7.</t>
  </si>
  <si>
    <t>Способ доставки / расстояние в км.:</t>
  </si>
  <si>
    <t>6.</t>
  </si>
  <si>
    <t xml:space="preserve">Базис поставки: </t>
  </si>
  <si>
    <t>5.</t>
  </si>
  <si>
    <t xml:space="preserve">Базис отгрузки: </t>
  </si>
  <si>
    <t>4.</t>
  </si>
  <si>
    <t>Приложение № 5</t>
  </si>
  <si>
    <t xml:space="preserve">Срок изготовления: </t>
  </si>
  <si>
    <t xml:space="preserve">Срок поставки по предложению Поставщика: </t>
  </si>
  <si>
    <t>Общая стоимость МТР с учетом транспортных расходов без НДС</t>
  </si>
  <si>
    <t xml:space="preserve"> Салмановское (Утреннее) НГКМ</t>
  </si>
  <si>
    <t xml:space="preserve">Сроки изготовления: </t>
  </si>
  <si>
    <t xml:space="preserve">Сроки поставки: </t>
  </si>
  <si>
    <t>ИТОГО без НДС:</t>
  </si>
  <si>
    <t>Дата получения РД:</t>
  </si>
  <si>
    <t>Условия оплаты:</t>
  </si>
  <si>
    <t>7.1</t>
  </si>
  <si>
    <t>7.3</t>
  </si>
  <si>
    <t>7.4</t>
  </si>
  <si>
    <t>8</t>
  </si>
  <si>
    <t>9</t>
  </si>
  <si>
    <t>Стоимость, 
руб. с НДС</t>
  </si>
  <si>
    <t>Арочный пневмоангар 16х30х8 м, 1шт (33,75м3)</t>
  </si>
  <si>
    <t>руб</t>
  </si>
  <si>
    <t>Арочный пневмоангар 40х25х12,5 м, 1шт (67,5м3)</t>
  </si>
  <si>
    <t>3) Условия оплаты  поставщикам указаны в соответствии с пунктом  проткола разногласий</t>
  </si>
  <si>
    <t>7.2</t>
  </si>
  <si>
    <t>50% предоплата/50% по факту поставки</t>
  </si>
  <si>
    <t>согласования МТР поставки Подрядчика</t>
  </si>
  <si>
    <t>Объем груза: тн/м3</t>
  </si>
  <si>
    <t xml:space="preserve">Дата поставки для обеспечения графика СМР: </t>
  </si>
  <si>
    <t>НДС, 20%</t>
  </si>
  <si>
    <r>
      <t>Цена МТР  руб/тн</t>
    </r>
    <r>
      <rPr>
        <b/>
        <vertAlign val="superscript"/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>с  НДС</t>
    </r>
  </si>
  <si>
    <t>смешанная схема доставки (авто тр-т, морской тр-т)</t>
  </si>
  <si>
    <t>Предложено к поставке</t>
  </si>
  <si>
    <t>Объект 1 уровня</t>
  </si>
  <si>
    <t>Ревизия</t>
  </si>
  <si>
    <t>№ документа компании</t>
  </si>
  <si>
    <t>Объект 0 уровня</t>
  </si>
  <si>
    <t>Приложение № 6</t>
  </si>
  <si>
    <t>Объект 2 уровня</t>
  </si>
  <si>
    <t xml:space="preserve">Подрядчик: </t>
  </si>
  <si>
    <t>АО "Трест Коксохиммонтаж"</t>
  </si>
  <si>
    <t xml:space="preserve">1) п.7.6 включает в себя среднюю стоимость погрузки, перевозки на расстояние 7 км и выгрузки МТР за 1тн/м3 при помощи 2 автокранов, тягача-площадки на основании КП от ООО "НЭК":
-Усредненная стоимость работы автокраном и тягочем-площадкой: ((43890+48280)/2/11 руб/маш.час+(22450/11)руб/маш.час)/2= 3115,23 руб/маш.час;
-Количество м3/тн, которое возможно погрузить, перевезти и выгрузить за 1 маш/час = 5,04 м3/12,6 тн (15 мин погрузка -&gt; 30 мин перевозка -&gt; 15 мин выгрузка. Для определения усредненного времени по тоннажу использованы ПРР 3-х плит ПДН);
-Усредненная стоимость ПРР+Перевозка за 1 м3 = (1маш.час/5,04м3)*3115,23руб/маш.час=618,10руб/м3;
-Усредненная стоимость ПРР+Перевозка за 1 тн = (1маш.час/12,6тн)*3115,23руб/маш.час=247,24руб/т;
</t>
  </si>
  <si>
    <t>Наименование МТР, предлагаемые к поставке</t>
  </si>
  <si>
    <t xml:space="preserve">__________________   / Т.Н. Сазонов                 </t>
  </si>
  <si>
    <t>Заместитель генерального директора по капитальному строительству</t>
  </si>
  <si>
    <t>Кол-во к поставке</t>
  </si>
  <si>
    <t>Кол-во,тн</t>
  </si>
  <si>
    <t>Транспортные расходы от завода-изготовителя до порта "Экономия" г. Архангельск, руб. без НДС</t>
  </si>
  <si>
    <t>Доставка грузов из порта "Экономия" г. Архангельск до причала СНГКМ, а также выгрузка с судна осуществляется силами Заказчика</t>
  </si>
  <si>
    <t>к договору №543-юр/2019  от "09" сентября 2019 г</t>
  </si>
  <si>
    <r>
      <t xml:space="preserve">по оборудованию и материалам для объекта строительства: </t>
    </r>
    <r>
      <rPr>
        <b/>
        <sz val="10"/>
        <rFont val="Times New Roman"/>
        <family val="1"/>
        <charset val="204"/>
      </rPr>
      <t>"Обустройство Салмановского (Утреннего) НГКМ".</t>
    </r>
  </si>
  <si>
    <t>кол-во</t>
  </si>
  <si>
    <t xml:space="preserve"> </t>
  </si>
  <si>
    <t>Кол-во</t>
  </si>
  <si>
    <t>Масса 1 ед., кг</t>
  </si>
  <si>
    <t>Общая масса</t>
  </si>
  <si>
    <r>
      <t>Цена МТР  руб/тн</t>
    </r>
    <r>
      <rPr>
        <b/>
        <vertAlign val="superscript"/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без НДС</t>
    </r>
  </si>
  <si>
    <t>Норматив поставщика</t>
  </si>
  <si>
    <t>Кол-во м3 груза:</t>
  </si>
  <si>
    <t>Цена МТР  сформирована  с учетом доставки до  Салмановского (Утреннего) НГКМ.</t>
  </si>
  <si>
    <t>г. Челябинск</t>
  </si>
  <si>
    <t>по дов. №157 от 24.12.2019</t>
  </si>
  <si>
    <t>Условия оплаты: Предоплата в размере 50% производится Заказчиком в течение 14 (четырнадцати) календарных дней при условии предоставления оригинала счета на авансовый платеж. Окончательный расчет по протоколу производится Заказчиком в течение 14 (четырнадцати) календарных дней с момента подписания сторонами без замечаний акта о наличии материалов на строительной площадке или в точке накопления грузов в размере полной стоимости поставленных по протоколу МТР за вычетом ранее осуществлённых авансовых платежей по данному протоколу.</t>
  </si>
  <si>
    <t>Цена за ед. руб. 
с НДС</t>
  </si>
  <si>
    <t>ООО «СБС групп» 
ИНН 7404066095</t>
  </si>
  <si>
    <t>г. Златоуст</t>
  </si>
  <si>
    <t>ООО "ЧЗОК" 
ИНН 7460014421</t>
  </si>
  <si>
    <t>включена в стоимость</t>
  </si>
  <si>
    <t>УКПГ-1</t>
  </si>
  <si>
    <t>Узел приема СОД</t>
  </si>
  <si>
    <t>-</t>
  </si>
  <si>
    <t>120.ЮР.2017-2400-03-1-УКПГ1-001-МР1-СО2</t>
  </si>
  <si>
    <t>03C_4</t>
  </si>
  <si>
    <t>2400-R-NG-651-MP-MTO-0041-00</t>
  </si>
  <si>
    <t>шт.</t>
  </si>
  <si>
    <t>02C_3</t>
  </si>
  <si>
    <t>03C_3</t>
  </si>
  <si>
    <t>Установка низкотемпературной сепарации газа (ТДА)</t>
  </si>
  <si>
    <t>Наружное оборудование установки НТС</t>
  </si>
  <si>
    <t>120.ЮР.2017-2400-03-1-УКПГ1-010-МР2-СО2</t>
  </si>
  <si>
    <t>2400-R-NG-652-MP-MTO-0031-00</t>
  </si>
  <si>
    <t>Замерный узел газа</t>
  </si>
  <si>
    <t>120.ЮР.2017-2400-03-1-УКПГ1-010-МР5-СО2</t>
  </si>
  <si>
    <t>2400-R-NG-652-МР-МТО-0035-00</t>
  </si>
  <si>
    <t>Факельное хозяйство</t>
  </si>
  <si>
    <t>Факел низкого давления</t>
  </si>
  <si>
    <t>120.ЮР.2017-2400-03-1-УКПГ1-016-МР3-СО2</t>
  </si>
  <si>
    <t>2400-R-NG-660-MP-MTO-0016-00</t>
  </si>
  <si>
    <t>Внутриплощадочные сети</t>
  </si>
  <si>
    <t>120.ЮР.2017-2400-03-1-УКПГ1-0ВС1-МР3-СО2</t>
  </si>
  <si>
    <t>2400-R-NG-660-MP-MTO-0031-00</t>
  </si>
  <si>
    <t>Склад ГСМ</t>
  </si>
  <si>
    <t>Резервуары дизельного топлива 
№ № 1, 2, 3, 4</t>
  </si>
  <si>
    <t>120.ЮР.2017-5800-03-3-ГСМ-001-МР1-СО2</t>
  </si>
  <si>
    <t>04С</t>
  </si>
  <si>
    <t>5800-R-NG-839-MP-MTO-0002-00</t>
  </si>
  <si>
    <t>Фторопласт-4 ПН (250х300х20)</t>
  </si>
  <si>
    <t>ГОСТ 10007-80</t>
  </si>
  <si>
    <t>Фторопласт-4 ПН (250х50х20)</t>
  </si>
  <si>
    <t>Фторопласт-4 ПН (340х50х20)</t>
  </si>
  <si>
    <t>120.ЮР.2017-5800-03-3-ГСМ-001-МР2-СО2</t>
  </si>
  <si>
    <t>5800-R-NG-839-MP-MTO-0004-00</t>
  </si>
  <si>
    <t>Фторопласт-4 ПН (250х300х85)</t>
  </si>
  <si>
    <t>Фторопласт-4 ПН (250х150х85)</t>
  </si>
  <si>
    <t>Фторопласт-4 ПН (800х800х20)</t>
  </si>
  <si>
    <t>Фторопласт-4 ПН (400х400х20)</t>
  </si>
  <si>
    <t>Фторопласт-4 ПН (400х250х20)</t>
  </si>
  <si>
    <t>Фторопласт-4 ПН (250х250х20)</t>
  </si>
  <si>
    <t>Фторопласт-4 ПН (810х280х20)</t>
  </si>
  <si>
    <t>Фторопласт-4 ПН (810х50х20)</t>
  </si>
  <si>
    <t>Фторопласт-4 ПН (240х50х20)</t>
  </si>
  <si>
    <t>Фторопласт-4 ПН (780х240х20)</t>
  </si>
  <si>
    <t>Фторопласт-4 ПН (780х50х20)</t>
  </si>
  <si>
    <t>Фторопласт-4 ПН (220х50х20)</t>
  </si>
  <si>
    <t>Фторопласт-4 ПН (200х200х20)</t>
  </si>
  <si>
    <t>Эстакады сетей внутриплощадочных</t>
  </si>
  <si>
    <t>Фторопласт-4 ПН (200х200х20)мм</t>
  </si>
  <si>
    <t>35 рабочих дней</t>
  </si>
  <si>
    <t>45 рабочих дней</t>
  </si>
  <si>
    <t>50% / 50%</t>
  </si>
  <si>
    <t xml:space="preserve">60 календарных дней </t>
  </si>
  <si>
    <t>70 календарных дней</t>
  </si>
  <si>
    <t>оплата 50% вносится Покупателем в качестве предварительной оплаты на расчетный счет Поставщика, 50% по факту поставки Товара на объект, в течении 5 банковских дней</t>
  </si>
  <si>
    <t>ООО ПКФ «Пром-С» 
ИНН 5504243481</t>
  </si>
  <si>
    <t>3991,65</t>
  </si>
  <si>
    <t>662,40</t>
  </si>
  <si>
    <t>902,75</t>
  </si>
  <si>
    <t>18978,45</t>
  </si>
  <si>
    <t>11021,60</t>
  </si>
  <si>
    <t>33202,80</t>
  </si>
  <si>
    <t>9273,60</t>
  </si>
  <si>
    <t>6491,75</t>
  </si>
  <si>
    <t>3378,70</t>
  </si>
  <si>
    <t>13356,10</t>
  </si>
  <si>
    <t>2318,40</t>
  </si>
  <si>
    <t>638,25</t>
  </si>
  <si>
    <t>2227,55</t>
  </si>
  <si>
    <t>11079,10</t>
  </si>
  <si>
    <t>2070,00</t>
  </si>
  <si>
    <t>588,80</t>
  </si>
  <si>
    <t>55 рабочих дней</t>
  </si>
  <si>
    <t>г. Омск</t>
  </si>
  <si>
    <t>Транспортные расходы по доставке до Объекта, в руб. без НДС  в том числе:</t>
  </si>
  <si>
    <t>единичная расценка (расшифровка стоимости) руб/тн без НДС - 2 автокрана, тягач-площадка</t>
  </si>
  <si>
    <t>Транспортные расходы по доставке до Объекта, в руб./тн, без НДС</t>
  </si>
  <si>
    <t>Транспортные расходы по доставке до Объекта, в руб. без НДС</t>
  </si>
  <si>
    <t>Транспортные расходы по доставке до Объекта, в руб. с НДС</t>
  </si>
  <si>
    <t>с даты оплаты аванса</t>
  </si>
  <si>
    <t>Аналитическая справка №354-УКПГ1-543 от 14.05.2020 г.</t>
  </si>
  <si>
    <t>Пластина Ф-4 20x250x300 мм</t>
  </si>
  <si>
    <t>Пластина Ф-4 20x50x250 мм</t>
  </si>
  <si>
    <t>Пластина Ф-4 20x50x340 мм</t>
  </si>
  <si>
    <t>Пластина Ф-4 85x250x300 мм</t>
  </si>
  <si>
    <t>Пластина Ф-4 85x250x150 мм</t>
  </si>
  <si>
    <t>Пластина Ф-4 20x800x800 мм</t>
  </si>
  <si>
    <t>Пластина Ф-4 20x200x200 мм</t>
  </si>
  <si>
    <t>Пластина Ф-4 20x400x400 мм</t>
  </si>
  <si>
    <t>Пластина Ф-4 20x250x250 мм</t>
  </si>
  <si>
    <t>Пластина Ф-4 20x250x400 мм</t>
  </si>
  <si>
    <t>Пластина Ф-4 20x280x810 мм</t>
  </si>
  <si>
    <t>Пластина Ф-4 20x50x810 мм</t>
  </si>
  <si>
    <t>Пластина Ф-4 20x50x240 мм</t>
  </si>
  <si>
    <t>Пластина Ф-4 20x240x780 мм</t>
  </si>
  <si>
    <t>Пластина Ф-4 20x50x780 мм</t>
  </si>
  <si>
    <t>Пластина Ф-4 20x50x220 мм</t>
  </si>
  <si>
    <t>50% аванс,  50% по факту поставки</t>
  </si>
  <si>
    <t>ООО «Формопласт» 
ИНН 7816101831</t>
  </si>
  <si>
    <t>20 календарных дней</t>
  </si>
  <si>
    <t>50% аванс, 50% в течение 30 дней после поставки</t>
  </si>
  <si>
    <t>г. Санкт-Петербург</t>
  </si>
  <si>
    <t>ИТОГО, наилучшее предложение
ООО «Формопласт» ИНН 7816101831</t>
  </si>
  <si>
    <t>ООО «Формопласт» ИНН 7816101831 выбран победителем конкурса в связи с минимальной стоимостью и полной комплектоностью поставки МТР</t>
  </si>
  <si>
    <r>
      <t xml:space="preserve">Протокол </t>
    </r>
    <r>
      <rPr>
        <b/>
        <u/>
        <sz val="14"/>
        <rFont val="Times New Roman"/>
        <family val="1"/>
        <charset val="204"/>
      </rPr>
      <t>№354-УКПГ1-543 от "14" мая 2020 г.</t>
    </r>
  </si>
  <si>
    <t>Заказчик согласовывает Подрядчику поставщика ООО «Формопласт» ИНН 7816101831 на объект: "Обустройство Салмановского (Утреннего) НГКМ".</t>
  </si>
  <si>
    <t>Поставщик: ООО «Формопласт» ИНН 7816101831</t>
  </si>
  <si>
    <t>Кол-во тонн груза: 2,16</t>
  </si>
  <si>
    <t xml:space="preserve">Транспортные расходы от склада Поставщика до порта "Экономия" и от причала СНГКМ  до Объекта УКПГ1: 100% предоплата на основании счёта Подрядчика (транспортные расходы АО "Трест КХМ"). </t>
  </si>
  <si>
    <t>затраты на погрузку, перевозку и выгрузку МТР от причала Салмановского НГКМ до Объекта УКПГ1, руб. без НДС</t>
  </si>
  <si>
    <t>Расстояние от причала Салмановского НГКМ до Объекта УКПГ1 (км)</t>
  </si>
  <si>
    <t>30 календарных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</si>
</sst>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64" formatCode="_-* #,##0.00\ _₽_-;\-* #,##0.00\ _₽_-;_-* &quot;-&quot;??\ _₽_-;_-@_-"/>
    <numFmt numFmtId="165" formatCode="_-* #,##0.00_р_._-;\-* #,##0.00_р_._-;_-* &quot;-&quot;??_р_._-;_-@_-"/>
    <numFmt numFmtId="166" formatCode="_(* #,##0.00_);_(* \(#,##0.00\);_(* &quot;-&quot;??_);_(@_)"/>
    <numFmt numFmtId="167" formatCode="#,##0.00000"/>
    <numFmt numFmtId="168" formatCode="0.00000"/>
    <numFmt numFmtId="169" formatCode="_-* #,##0_р_._-;\-* #,##0_р_._-;_-* &quot;-&quot;_р_._-;_-@_-"/>
    <numFmt numFmtId="170" formatCode="_-* #,##0.00000000_р_._-;\-* #,##0.00000000_р_._-;_-* &quot;-&quot;??_р_._-;_-@_-"/>
    <numFmt numFmtId="171" formatCode="0.000"/>
    <numFmt numFmtId="172" formatCode="#,##0.00\ _₽"/>
    <numFmt numFmtId="173" formatCode="0.0000"/>
  </numFmts>
  <fonts count="42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Helv"/>
      <charset val="204"/>
    </font>
    <font>
      <sz val="10"/>
      <name val="Helv"/>
    </font>
    <font>
      <sz val="10"/>
      <color theme="1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1"/>
      <name val="Arial"/>
      <family val="2"/>
      <charset val="204"/>
    </font>
    <font>
      <sz val="11"/>
      <color indexed="8"/>
      <name val="Calibri"/>
      <family val="2"/>
      <charset val="204"/>
    </font>
    <font>
      <sz val="7"/>
      <name val="Arial Cyr"/>
      <family val="2"/>
      <charset val="204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11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4" fillId="0" borderId="0"/>
    <xf numFmtId="0" fontId="5" fillId="0" borderId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20" fillId="0" borderId="0"/>
    <xf numFmtId="0" fontId="2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169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3" fillId="0" borderId="0"/>
    <xf numFmtId="0" fontId="19" fillId="0" borderId="0"/>
    <xf numFmtId="0" fontId="22" fillId="0" borderId="0"/>
    <xf numFmtId="0" fontId="19" fillId="0" borderId="0"/>
    <xf numFmtId="164" fontId="19" fillId="0" borderId="0" applyFont="0" applyFill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9" fillId="0" borderId="0"/>
    <xf numFmtId="0" fontId="1" fillId="0" borderId="0"/>
    <xf numFmtId="165" fontId="19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19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165" fontId="2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26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5" fillId="0" borderId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6" fillId="0" borderId="0"/>
    <xf numFmtId="0" fontId="27" fillId="0" borderId="2">
      <alignment vertical="top"/>
    </xf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20" fillId="0" borderId="0"/>
    <xf numFmtId="0" fontId="23" fillId="0" borderId="0"/>
    <xf numFmtId="0" fontId="20" fillId="0" borderId="0"/>
    <xf numFmtId="0" fontId="22" fillId="0" borderId="0"/>
    <xf numFmtId="0" fontId="1" fillId="0" borderId="0"/>
    <xf numFmtId="0" fontId="22" fillId="0" borderId="0"/>
    <xf numFmtId="165" fontId="20" fillId="0" borderId="0" applyFont="0" applyFill="0" applyBorder="0" applyAlignment="0" applyProtection="0"/>
    <xf numFmtId="0" fontId="23" fillId="0" borderId="0"/>
    <xf numFmtId="0" fontId="19" fillId="0" borderId="0"/>
    <xf numFmtId="0" fontId="22" fillId="0" borderId="0"/>
    <xf numFmtId="164" fontId="19" fillId="0" borderId="0" applyFont="0" applyFill="0" applyBorder="0" applyAlignment="0" applyProtection="0"/>
    <xf numFmtId="0" fontId="20" fillId="0" borderId="0"/>
    <xf numFmtId="0" fontId="28" fillId="0" borderId="0">
      <alignment vertical="center"/>
    </xf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5" fillId="0" borderId="0"/>
    <xf numFmtId="0" fontId="19" fillId="0" borderId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2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16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9" fillId="0" borderId="0"/>
    <xf numFmtId="0" fontId="25" fillId="0" borderId="0"/>
    <xf numFmtId="0" fontId="19" fillId="0" borderId="0"/>
    <xf numFmtId="165" fontId="26" fillId="0" borderId="0" applyFont="0" applyFill="0" applyBorder="0" applyAlignment="0" applyProtection="0"/>
    <xf numFmtId="0" fontId="22" fillId="0" borderId="0"/>
    <xf numFmtId="0" fontId="20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22" fillId="0" borderId="0"/>
    <xf numFmtId="165" fontId="20" fillId="0" borderId="0" applyFont="0" applyFill="0" applyBorder="0" applyAlignment="0" applyProtection="0"/>
    <xf numFmtId="0" fontId="19" fillId="0" borderId="0"/>
    <xf numFmtId="0" fontId="22" fillId="0" borderId="0"/>
    <xf numFmtId="164" fontId="19" fillId="0" borderId="0" applyFont="0" applyFill="0" applyBorder="0" applyAlignment="0" applyProtection="0"/>
    <xf numFmtId="0" fontId="20" fillId="0" borderId="0"/>
    <xf numFmtId="0" fontId="1" fillId="0" borderId="0"/>
    <xf numFmtId="0" fontId="20" fillId="0" borderId="0"/>
    <xf numFmtId="164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165" fontId="19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29" fillId="0" borderId="0"/>
    <xf numFmtId="167" fontId="29" fillId="0" borderId="0" applyBorder="0" applyProtection="0"/>
    <xf numFmtId="0" fontId="19" fillId="0" borderId="0"/>
    <xf numFmtId="166" fontId="1" fillId="0" borderId="0" applyFont="0" applyFill="0" applyBorder="0" applyAlignment="0" applyProtection="0"/>
    <xf numFmtId="0" fontId="30" fillId="0" borderId="0" applyBorder="0" applyProtection="0"/>
    <xf numFmtId="0" fontId="20" fillId="0" borderId="0"/>
    <xf numFmtId="0" fontId="23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3" fillId="0" borderId="0"/>
    <xf numFmtId="16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20" fillId="0" borderId="0"/>
    <xf numFmtId="0" fontId="23" fillId="0" borderId="0"/>
    <xf numFmtId="0" fontId="22" fillId="0" borderId="0"/>
    <xf numFmtId="0" fontId="23" fillId="0" borderId="0"/>
    <xf numFmtId="0" fontId="1" fillId="0" borderId="0"/>
    <xf numFmtId="0" fontId="22" fillId="0" borderId="0"/>
    <xf numFmtId="0" fontId="1" fillId="0" borderId="0"/>
    <xf numFmtId="165" fontId="26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9" fillId="0" borderId="0"/>
    <xf numFmtId="43" fontId="19" fillId="0" borderId="0" applyFont="0" applyFill="0" applyBorder="0" applyAlignment="0" applyProtection="0"/>
    <xf numFmtId="0" fontId="20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1" fillId="0" borderId="0"/>
    <xf numFmtId="0" fontId="19" fillId="0" borderId="0"/>
    <xf numFmtId="0" fontId="32" fillId="0" borderId="0"/>
    <xf numFmtId="0" fontId="19" fillId="0" borderId="0"/>
    <xf numFmtId="0" fontId="1" fillId="0" borderId="0"/>
    <xf numFmtId="0" fontId="31" fillId="0" borderId="0"/>
  </cellStyleXfs>
  <cellXfs count="417">
    <xf numFmtId="0" fontId="0" fillId="0" borderId="0" xfId="0"/>
    <xf numFmtId="0" fontId="2" fillId="0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2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center" vertical="center"/>
    </xf>
    <xf numFmtId="4" fontId="2" fillId="0" borderId="0" xfId="1" applyNumberFormat="1" applyFont="1" applyFill="1" applyAlignment="1">
      <alignment horizontal="right" vertical="center"/>
    </xf>
    <xf numFmtId="4" fontId="2" fillId="0" borderId="0" xfId="2" applyNumberFormat="1" applyFont="1" applyFill="1" applyAlignment="1">
      <alignment horizontal="right" vertical="center"/>
    </xf>
    <xf numFmtId="0" fontId="2" fillId="0" borderId="0" xfId="1" applyFont="1" applyFill="1"/>
    <xf numFmtId="0" fontId="2" fillId="0" borderId="0" xfId="3" applyFont="1" applyFill="1" applyAlignment="1">
      <alignment vertical="center" wrapText="1"/>
    </xf>
    <xf numFmtId="0" fontId="6" fillId="0" borderId="0" xfId="4" applyFont="1" applyFill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166" fontId="2" fillId="0" borderId="0" xfId="5" applyNumberFormat="1" applyFont="1" applyFill="1" applyAlignment="1">
      <alignment horizontal="right" vertical="center" wrapText="1"/>
    </xf>
    <xf numFmtId="0" fontId="7" fillId="0" borderId="0" xfId="3" applyFont="1" applyFill="1" applyAlignment="1">
      <alignment horizontal="center" vertical="center" wrapText="1"/>
    </xf>
    <xf numFmtId="0" fontId="2" fillId="0" borderId="0" xfId="3" applyFont="1" applyFill="1" applyAlignment="1">
      <alignment horizontal="center" vertical="center" wrapText="1"/>
    </xf>
    <xf numFmtId="0" fontId="2" fillId="0" borderId="0" xfId="3" applyNumberFormat="1" applyFont="1" applyFill="1" applyAlignment="1">
      <alignment horizontal="right" vertical="center" wrapText="1"/>
    </xf>
    <xf numFmtId="0" fontId="2" fillId="2" borderId="0" xfId="3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" fontId="7" fillId="0" borderId="0" xfId="3" applyNumberFormat="1" applyFont="1" applyFill="1" applyAlignment="1">
      <alignment horizontal="center" vertical="center" wrapText="1"/>
    </xf>
    <xf numFmtId="0" fontId="2" fillId="0" borderId="0" xfId="3" applyNumberFormat="1" applyFont="1" applyFill="1" applyAlignment="1">
      <alignment vertical="center" wrapText="1"/>
    </xf>
    <xf numFmtId="0" fontId="2" fillId="0" borderId="0" xfId="3" applyFont="1" applyFill="1" applyBorder="1" applyAlignment="1">
      <alignment vertical="center" wrapText="1"/>
    </xf>
    <xf numFmtId="166" fontId="3" fillId="0" borderId="0" xfId="5" applyNumberFormat="1" applyFont="1" applyFill="1" applyBorder="1" applyAlignment="1">
      <alignment vertical="center"/>
    </xf>
    <xf numFmtId="0" fontId="2" fillId="0" borderId="0" xfId="3" applyFont="1" applyFill="1" applyBorder="1" applyAlignment="1">
      <alignment horizontal="left" vertical="center" wrapText="1"/>
    </xf>
    <xf numFmtId="0" fontId="2" fillId="0" borderId="0" xfId="3" applyFont="1" applyFill="1" applyBorder="1" applyAlignment="1">
      <alignment horizontal="center" vertical="center" wrapText="1"/>
    </xf>
    <xf numFmtId="0" fontId="2" fillId="0" borderId="0" xfId="3" applyNumberFormat="1" applyFont="1" applyFill="1" applyBorder="1" applyAlignment="1">
      <alignment horizontal="right" vertical="center" wrapText="1"/>
    </xf>
    <xf numFmtId="0" fontId="2" fillId="0" borderId="0" xfId="3" applyNumberFormat="1" applyFont="1" applyFill="1" applyAlignment="1">
      <alignment horizontal="right" vertical="center"/>
    </xf>
    <xf numFmtId="0" fontId="3" fillId="0" borderId="0" xfId="3" applyFont="1" applyFill="1" applyAlignment="1">
      <alignment vertical="center" wrapText="1"/>
    </xf>
    <xf numFmtId="0" fontId="3" fillId="0" borderId="0" xfId="3" applyFont="1" applyFill="1" applyAlignment="1">
      <alignment vertical="center"/>
    </xf>
    <xf numFmtId="4" fontId="3" fillId="0" borderId="0" xfId="1" applyNumberFormat="1" applyFont="1" applyFill="1" applyAlignment="1">
      <alignment horizontal="right" vertical="center"/>
    </xf>
    <xf numFmtId="0" fontId="10" fillId="0" borderId="0" xfId="3" applyFont="1" applyFill="1" applyBorder="1" applyAlignment="1">
      <alignment vertical="center"/>
    </xf>
    <xf numFmtId="0" fontId="11" fillId="0" borderId="0" xfId="3" applyFont="1" applyFill="1" applyBorder="1" applyAlignment="1">
      <alignment horizontal="left" vertical="center" wrapText="1"/>
    </xf>
    <xf numFmtId="0" fontId="2" fillId="0" borderId="2" xfId="3" applyFont="1" applyFill="1" applyBorder="1" applyAlignment="1">
      <alignment vertical="center" wrapText="1"/>
    </xf>
    <xf numFmtId="49" fontId="2" fillId="0" borderId="4" xfId="3" applyNumberFormat="1" applyFont="1" applyFill="1" applyBorder="1" applyAlignment="1">
      <alignment vertical="center" wrapText="1"/>
    </xf>
    <xf numFmtId="0" fontId="7" fillId="3" borderId="0" xfId="3" applyFont="1" applyFill="1" applyAlignment="1">
      <alignment horizontal="center" vertical="center" wrapText="1"/>
    </xf>
    <xf numFmtId="0" fontId="2" fillId="3" borderId="0" xfId="3" applyFont="1" applyFill="1" applyAlignment="1">
      <alignment vertical="center" wrapText="1"/>
    </xf>
    <xf numFmtId="2" fontId="3" fillId="0" borderId="0" xfId="3" applyNumberFormat="1" applyFont="1" applyFill="1" applyBorder="1" applyAlignment="1">
      <alignment horizontal="center" vertical="center" wrapText="1"/>
    </xf>
    <xf numFmtId="165" fontId="3" fillId="0" borderId="0" xfId="3" applyNumberFormat="1" applyFont="1" applyFill="1" applyBorder="1" applyAlignment="1">
      <alignment horizontal="center" vertical="center" wrapText="1"/>
    </xf>
    <xf numFmtId="2" fontId="3" fillId="0" borderId="0" xfId="3" applyNumberFormat="1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vertical="center"/>
    </xf>
    <xf numFmtId="168" fontId="3" fillId="0" borderId="0" xfId="3" applyNumberFormat="1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left" vertical="center"/>
    </xf>
    <xf numFmtId="0" fontId="11" fillId="0" borderId="7" xfId="3" applyFont="1" applyFill="1" applyBorder="1" applyAlignment="1">
      <alignment horizontal="center" vertical="center" wrapText="1"/>
    </xf>
    <xf numFmtId="0" fontId="13" fillId="0" borderId="0" xfId="1" applyFont="1" applyFill="1" applyAlignment="1">
      <alignment vertical="center"/>
    </xf>
    <xf numFmtId="0" fontId="14" fillId="0" borderId="0" xfId="1" applyFont="1" applyFill="1" applyAlignment="1">
      <alignment vertical="center"/>
    </xf>
    <xf numFmtId="0" fontId="14" fillId="0" borderId="0" xfId="1" applyFont="1" applyFill="1" applyAlignment="1">
      <alignment horizontal="left" vertical="center"/>
    </xf>
    <xf numFmtId="0" fontId="14" fillId="0" borderId="0" xfId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right" vertical="center"/>
    </xf>
    <xf numFmtId="4" fontId="14" fillId="0" borderId="0" xfId="1" applyNumberFormat="1" applyFont="1" applyFill="1" applyAlignment="1">
      <alignment horizontal="right" vertical="center"/>
    </xf>
    <xf numFmtId="4" fontId="13" fillId="0" borderId="0" xfId="1" applyNumberFormat="1" applyFont="1" applyFill="1" applyAlignment="1">
      <alignment horizontal="right" vertical="center"/>
    </xf>
    <xf numFmtId="0" fontId="14" fillId="0" borderId="0" xfId="3" applyFont="1" applyFill="1" applyAlignment="1">
      <alignment vertical="center" wrapText="1"/>
    </xf>
    <xf numFmtId="0" fontId="15" fillId="0" borderId="0" xfId="4" applyFont="1" applyFill="1" applyAlignment="1">
      <alignment vertical="center"/>
    </xf>
    <xf numFmtId="0" fontId="14" fillId="0" borderId="0" xfId="0" applyFont="1" applyBorder="1" applyAlignment="1">
      <alignment vertical="center"/>
    </xf>
    <xf numFmtId="166" fontId="14" fillId="0" borderId="0" xfId="5" applyNumberFormat="1" applyFont="1" applyFill="1" applyAlignment="1">
      <alignment horizontal="right" vertical="center" wrapText="1"/>
    </xf>
    <xf numFmtId="0" fontId="16" fillId="0" borderId="0" xfId="3" applyFont="1" applyFill="1" applyAlignment="1">
      <alignment horizontal="center" vertical="center" wrapText="1"/>
    </xf>
    <xf numFmtId="0" fontId="14" fillId="0" borderId="0" xfId="3" applyFont="1" applyFill="1" applyAlignment="1">
      <alignment horizontal="center" vertical="center" wrapText="1"/>
    </xf>
    <xf numFmtId="0" fontId="14" fillId="0" borderId="0" xfId="3" applyNumberFormat="1" applyFont="1" applyFill="1" applyAlignment="1">
      <alignment horizontal="right" vertical="center" wrapText="1"/>
    </xf>
    <xf numFmtId="0" fontId="14" fillId="0" borderId="0" xfId="3" applyFont="1" applyFill="1" applyAlignment="1">
      <alignment horizontal="right" vertical="center" wrapText="1"/>
    </xf>
    <xf numFmtId="0" fontId="13" fillId="0" borderId="0" xfId="3" applyFont="1" applyFill="1" applyAlignment="1">
      <alignment vertical="center"/>
    </xf>
    <xf numFmtId="0" fontId="13" fillId="0" borderId="0" xfId="3" applyFont="1" applyFill="1" applyAlignment="1">
      <alignment vertical="center" wrapText="1"/>
    </xf>
    <xf numFmtId="0" fontId="14" fillId="0" borderId="0" xfId="0" applyFont="1" applyFill="1" applyAlignment="1">
      <alignment horizontal="center" vertical="center" wrapText="1"/>
    </xf>
    <xf numFmtId="4" fontId="16" fillId="0" borderId="0" xfId="3" applyNumberFormat="1" applyFont="1" applyFill="1" applyAlignment="1">
      <alignment horizontal="center" vertical="center" wrapText="1"/>
    </xf>
    <xf numFmtId="0" fontId="14" fillId="0" borderId="0" xfId="3" applyNumberFormat="1" applyFont="1" applyFill="1" applyAlignment="1">
      <alignment vertical="center" wrapText="1"/>
    </xf>
    <xf numFmtId="166" fontId="13" fillId="0" borderId="0" xfId="5" applyNumberFormat="1" applyFont="1" applyFill="1" applyBorder="1" applyAlignment="1">
      <alignment vertical="center"/>
    </xf>
    <xf numFmtId="0" fontId="14" fillId="0" borderId="0" xfId="6" applyFont="1" applyFill="1" applyAlignment="1">
      <alignment horizontal="left" vertical="center"/>
    </xf>
    <xf numFmtId="0" fontId="14" fillId="0" borderId="0" xfId="6" applyFont="1" applyFill="1" applyBorder="1" applyAlignment="1">
      <alignment horizontal="left" vertical="center"/>
    </xf>
    <xf numFmtId="0" fontId="14" fillId="0" borderId="0" xfId="6" applyFont="1" applyFill="1" applyAlignment="1">
      <alignment horizontal="left" vertical="center" wrapText="1"/>
    </xf>
    <xf numFmtId="0" fontId="13" fillId="0" borderId="0" xfId="7" applyFont="1" applyAlignment="1">
      <alignment horizontal="center" vertical="center"/>
    </xf>
    <xf numFmtId="0" fontId="14" fillId="0" borderId="0" xfId="7" applyFont="1" applyAlignment="1">
      <alignment vertical="center"/>
    </xf>
    <xf numFmtId="0" fontId="14" fillId="0" borderId="0" xfId="7" applyFont="1" applyAlignment="1">
      <alignment horizontal="center" vertical="center"/>
    </xf>
    <xf numFmtId="0" fontId="14" fillId="2" borderId="0" xfId="3" applyFont="1" applyFill="1" applyAlignment="1">
      <alignment horizontal="right" vertical="center" wrapText="1"/>
    </xf>
    <xf numFmtId="0" fontId="14" fillId="0" borderId="0" xfId="3" applyFont="1" applyFill="1" applyAlignment="1">
      <alignment vertical="center"/>
    </xf>
    <xf numFmtId="0" fontId="13" fillId="0" borderId="0" xfId="3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NumberFormat="1" applyFont="1" applyFill="1" applyBorder="1" applyAlignment="1">
      <alignment horizontal="center" vertical="center" wrapText="1"/>
    </xf>
    <xf numFmtId="4" fontId="13" fillId="0" borderId="0" xfId="2" applyNumberFormat="1" applyFont="1" applyFill="1" applyBorder="1" applyAlignment="1">
      <alignment horizontal="center" vertical="center" wrapText="1"/>
    </xf>
    <xf numFmtId="165" fontId="13" fillId="2" borderId="0" xfId="3" applyNumberFormat="1" applyFont="1" applyFill="1" applyBorder="1" applyAlignment="1">
      <alignment horizontal="center" vertical="center" wrapText="1"/>
    </xf>
    <xf numFmtId="0" fontId="2" fillId="0" borderId="0" xfId="3" applyFont="1" applyFill="1" applyAlignment="1">
      <alignment horizontal="left" vertical="center" wrapText="1"/>
    </xf>
    <xf numFmtId="0" fontId="11" fillId="0" borderId="0" xfId="3" applyFont="1" applyFill="1" applyBorder="1" applyAlignment="1">
      <alignment horizontal="left" vertical="top" wrapText="1"/>
    </xf>
    <xf numFmtId="0" fontId="14" fillId="0" borderId="0" xfId="3" applyFont="1" applyFill="1" applyAlignment="1">
      <alignment horizontal="left" vertical="center" wrapText="1"/>
    </xf>
    <xf numFmtId="0" fontId="2" fillId="0" borderId="0" xfId="3" applyFont="1" applyFill="1" applyBorder="1" applyAlignment="1">
      <alignment vertical="top" wrapText="1"/>
    </xf>
    <xf numFmtId="0" fontId="11" fillId="0" borderId="0" xfId="3" applyFont="1" applyFill="1" applyBorder="1" applyAlignment="1">
      <alignment horizontal="left" vertical="top" wrapText="1"/>
    </xf>
    <xf numFmtId="0" fontId="2" fillId="0" borderId="0" xfId="3" applyFont="1" applyFill="1" applyAlignment="1">
      <alignment vertical="center" wrapText="1"/>
    </xf>
    <xf numFmtId="166" fontId="2" fillId="0" borderId="0" xfId="5" applyNumberFormat="1" applyFont="1" applyFill="1" applyAlignment="1">
      <alignment horizontal="right" vertical="center" wrapText="1"/>
    </xf>
    <xf numFmtId="0" fontId="14" fillId="0" borderId="0" xfId="3" applyFont="1" applyAlignment="1">
      <alignment vertical="center" wrapText="1"/>
    </xf>
    <xf numFmtId="0" fontId="13" fillId="0" borderId="0" xfId="7" applyFont="1" applyAlignment="1">
      <alignment vertical="center"/>
    </xf>
    <xf numFmtId="0" fontId="14" fillId="0" borderId="0" xfId="3" applyFont="1" applyFill="1" applyAlignment="1">
      <alignment horizontal="left" vertical="center" wrapText="1"/>
    </xf>
    <xf numFmtId="0" fontId="2" fillId="0" borderId="0" xfId="3" applyFont="1" applyFill="1" applyAlignment="1">
      <alignment vertical="center" wrapText="1"/>
    </xf>
    <xf numFmtId="0" fontId="2" fillId="0" borderId="18" xfId="3" applyFont="1" applyFill="1" applyBorder="1" applyAlignment="1">
      <alignment horizontal="center" vertical="center" wrapText="1"/>
    </xf>
    <xf numFmtId="0" fontId="2" fillId="0" borderId="30" xfId="3" applyFont="1" applyFill="1" applyBorder="1" applyAlignment="1">
      <alignment horizontal="center" vertical="center" wrapText="1"/>
    </xf>
    <xf numFmtId="0" fontId="2" fillId="0" borderId="30" xfId="3" applyNumberFormat="1" applyFont="1" applyFill="1" applyBorder="1" applyAlignment="1">
      <alignment horizontal="center" vertical="center" wrapText="1"/>
    </xf>
    <xf numFmtId="166" fontId="2" fillId="0" borderId="30" xfId="5" applyNumberFormat="1" applyFont="1" applyFill="1" applyBorder="1" applyAlignment="1">
      <alignment horizontal="center" vertical="center" wrapText="1"/>
    </xf>
    <xf numFmtId="166" fontId="2" fillId="0" borderId="31" xfId="5" applyNumberFormat="1" applyFont="1" applyFill="1" applyBorder="1" applyAlignment="1">
      <alignment horizontal="center" vertical="center" wrapText="1"/>
    </xf>
    <xf numFmtId="166" fontId="2" fillId="0" borderId="25" xfId="5" applyNumberFormat="1" applyFont="1" applyFill="1" applyBorder="1" applyAlignment="1">
      <alignment horizontal="center" vertical="center" wrapText="1"/>
    </xf>
    <xf numFmtId="0" fontId="14" fillId="0" borderId="0" xfId="3" applyFont="1" applyFill="1" applyAlignment="1">
      <alignment horizontal="center" vertical="top" wrapText="1"/>
    </xf>
    <xf numFmtId="0" fontId="13" fillId="0" borderId="0" xfId="7" applyFont="1" applyAlignment="1">
      <alignment vertical="center"/>
    </xf>
    <xf numFmtId="2" fontId="2" fillId="0" borderId="0" xfId="3" applyNumberFormat="1" applyFont="1" applyFill="1" applyAlignment="1">
      <alignment vertical="center" wrapText="1"/>
    </xf>
    <xf numFmtId="0" fontId="2" fillId="0" borderId="0" xfId="1" applyFont="1" applyFill="1" applyAlignment="1">
      <alignment horizontal="center" vertical="center"/>
    </xf>
    <xf numFmtId="4" fontId="2" fillId="0" borderId="0" xfId="1" applyNumberFormat="1" applyFont="1" applyFill="1" applyAlignment="1">
      <alignment horizontal="right" vertical="center"/>
    </xf>
    <xf numFmtId="0" fontId="2" fillId="0" borderId="0" xfId="3" applyFont="1" applyFill="1" applyAlignment="1">
      <alignment vertical="center" wrapText="1"/>
    </xf>
    <xf numFmtId="0" fontId="2" fillId="0" borderId="0" xfId="0" applyFont="1" applyBorder="1" applyAlignment="1">
      <alignment vertical="center"/>
    </xf>
    <xf numFmtId="166" fontId="2" fillId="0" borderId="0" xfId="5" applyNumberFormat="1" applyFont="1" applyFill="1" applyAlignment="1">
      <alignment horizontal="right" vertical="center" wrapText="1"/>
    </xf>
    <xf numFmtId="0" fontId="2" fillId="0" borderId="0" xfId="3" applyNumberFormat="1" applyFont="1" applyFill="1" applyAlignment="1">
      <alignment horizontal="right" vertical="center" wrapText="1"/>
    </xf>
    <xf numFmtId="0" fontId="2" fillId="2" borderId="0" xfId="3" applyFont="1" applyFill="1" applyAlignment="1">
      <alignment horizontal="right" vertical="center" wrapText="1"/>
    </xf>
    <xf numFmtId="0" fontId="2" fillId="0" borderId="0" xfId="3" applyNumberFormat="1" applyFont="1" applyFill="1" applyBorder="1" applyAlignment="1">
      <alignment horizontal="right" vertical="center" wrapText="1"/>
    </xf>
    <xf numFmtId="0" fontId="2" fillId="0" borderId="0" xfId="3" applyNumberFormat="1" applyFont="1" applyFill="1" applyAlignment="1">
      <alignment horizontal="right" vertical="center"/>
    </xf>
    <xf numFmtId="0" fontId="3" fillId="0" borderId="0" xfId="3" applyFont="1" applyFill="1" applyAlignment="1">
      <alignment vertical="center" wrapText="1"/>
    </xf>
    <xf numFmtId="4" fontId="3" fillId="0" borderId="0" xfId="1" applyNumberFormat="1" applyFont="1" applyFill="1" applyAlignment="1">
      <alignment horizontal="right" vertical="center"/>
    </xf>
    <xf numFmtId="0" fontId="11" fillId="0" borderId="0" xfId="3" applyFont="1" applyFill="1" applyBorder="1" applyAlignment="1">
      <alignment horizontal="left" vertical="center" wrapText="1"/>
    </xf>
    <xf numFmtId="165" fontId="3" fillId="0" borderId="0" xfId="3" applyNumberFormat="1" applyFont="1" applyFill="1" applyBorder="1" applyAlignment="1">
      <alignment horizontal="center" vertical="center" wrapText="1"/>
    </xf>
    <xf numFmtId="0" fontId="2" fillId="0" borderId="0" xfId="3" applyFont="1" applyFill="1" applyBorder="1" applyAlignment="1">
      <alignment horizontal="left" vertical="center"/>
    </xf>
    <xf numFmtId="4" fontId="14" fillId="0" borderId="0" xfId="2" applyNumberFormat="1" applyFont="1" applyFill="1" applyAlignment="1">
      <alignment horizontal="right" vertical="center"/>
    </xf>
    <xf numFmtId="0" fontId="14" fillId="0" borderId="0" xfId="3" applyFont="1" applyFill="1" applyAlignment="1">
      <alignment vertical="center" wrapText="1"/>
    </xf>
    <xf numFmtId="0" fontId="14" fillId="0" borderId="0" xfId="3" applyNumberFormat="1" applyFont="1" applyFill="1" applyAlignment="1">
      <alignment horizontal="right" vertical="center" wrapText="1"/>
    </xf>
    <xf numFmtId="0" fontId="14" fillId="0" borderId="0" xfId="3" applyFont="1" applyFill="1" applyAlignment="1">
      <alignment horizontal="right" vertical="center" wrapText="1"/>
    </xf>
    <xf numFmtId="0" fontId="13" fillId="0" borderId="0" xfId="3" applyFont="1" applyFill="1" applyAlignment="1">
      <alignment vertical="center" wrapText="1"/>
    </xf>
    <xf numFmtId="4" fontId="14" fillId="0" borderId="0" xfId="6" applyNumberFormat="1" applyFont="1" applyFill="1" applyAlignment="1">
      <alignment horizontal="left" vertical="center"/>
    </xf>
    <xf numFmtId="0" fontId="14" fillId="0" borderId="0" xfId="6" applyFont="1" applyFill="1" applyAlignment="1">
      <alignment horizontal="left" vertical="center" wrapText="1"/>
    </xf>
    <xf numFmtId="0" fontId="14" fillId="0" borderId="0" xfId="3" applyFont="1" applyFill="1" applyBorder="1" applyAlignment="1">
      <alignment vertical="center"/>
    </xf>
    <xf numFmtId="4" fontId="13" fillId="0" borderId="0" xfId="2" applyNumberFormat="1" applyFont="1" applyFill="1" applyBorder="1" applyAlignment="1">
      <alignment horizontal="center" vertical="center" wrapText="1"/>
    </xf>
    <xf numFmtId="0" fontId="2" fillId="0" borderId="0" xfId="3" applyFont="1" applyFill="1" applyBorder="1" applyAlignment="1">
      <alignment vertical="top" wrapText="1"/>
    </xf>
    <xf numFmtId="0" fontId="13" fillId="0" borderId="0" xfId="7" applyFont="1" applyAlignment="1">
      <alignment vertical="center"/>
    </xf>
    <xf numFmtId="0" fontId="2" fillId="0" borderId="0" xfId="3" applyFont="1" applyFill="1" applyBorder="1" applyAlignment="1">
      <alignment horizontal="center" vertical="center" wrapText="1"/>
    </xf>
    <xf numFmtId="0" fontId="11" fillId="0" borderId="0" xfId="3" applyFont="1" applyFill="1" applyBorder="1" applyAlignment="1">
      <alignment horizontal="left" vertical="top" wrapText="1"/>
    </xf>
    <xf numFmtId="0" fontId="14" fillId="0" borderId="0" xfId="3" applyFont="1" applyFill="1" applyAlignment="1">
      <alignment horizontal="left" vertical="center" wrapText="1"/>
    </xf>
    <xf numFmtId="0" fontId="14" fillId="0" borderId="0" xfId="3" applyFont="1" applyFill="1" applyAlignment="1">
      <alignment horizontal="center" vertical="center" wrapText="1"/>
    </xf>
    <xf numFmtId="166" fontId="14" fillId="0" borderId="0" xfId="5" applyNumberFormat="1" applyFont="1" applyFill="1" applyAlignment="1">
      <alignment horizontal="right" vertical="center" wrapText="1"/>
    </xf>
    <xf numFmtId="4" fontId="2" fillId="0" borderId="0" xfId="1" applyNumberFormat="1" applyFont="1" applyAlignment="1">
      <alignment horizontal="right" vertical="center"/>
    </xf>
    <xf numFmtId="0" fontId="2" fillId="4" borderId="0" xfId="3" applyFont="1" applyFill="1" applyAlignment="1">
      <alignment vertical="center" wrapText="1"/>
    </xf>
    <xf numFmtId="4" fontId="2" fillId="4" borderId="0" xfId="3" applyNumberFormat="1" applyFont="1" applyFill="1" applyAlignment="1">
      <alignment vertical="center" wrapText="1"/>
    </xf>
    <xf numFmtId="0" fontId="33" fillId="0" borderId="0" xfId="3" applyFont="1" applyFill="1" applyAlignment="1">
      <alignment vertical="center" wrapText="1"/>
    </xf>
    <xf numFmtId="49" fontId="14" fillId="0" borderId="0" xfId="0" applyNumberFormat="1" applyFont="1" applyFill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14" fillId="0" borderId="0" xfId="3" applyFont="1" applyFill="1" applyAlignment="1">
      <alignment horizontal="left" vertical="top" wrapText="1"/>
    </xf>
    <xf numFmtId="0" fontId="34" fillId="0" borderId="0" xfId="3" applyFont="1" applyFill="1" applyAlignment="1">
      <alignment vertical="center" wrapText="1"/>
    </xf>
    <xf numFmtId="0" fontId="35" fillId="0" borderId="18" xfId="3" applyFont="1" applyFill="1" applyBorder="1" applyAlignment="1">
      <alignment horizontal="center" vertical="center" wrapText="1"/>
    </xf>
    <xf numFmtId="0" fontId="35" fillId="0" borderId="30" xfId="3" applyFont="1" applyFill="1" applyBorder="1" applyAlignment="1">
      <alignment horizontal="center" vertical="center" wrapText="1"/>
    </xf>
    <xf numFmtId="4" fontId="35" fillId="0" borderId="30" xfId="3" applyNumberFormat="1" applyFont="1" applyBorder="1" applyAlignment="1">
      <alignment vertical="center" wrapText="1"/>
    </xf>
    <xf numFmtId="0" fontId="35" fillId="0" borderId="31" xfId="3" applyFont="1" applyFill="1" applyBorder="1" applyAlignment="1">
      <alignment horizontal="center" vertical="center" wrapText="1"/>
    </xf>
    <xf numFmtId="0" fontId="11" fillId="0" borderId="0" xfId="3" applyFont="1" applyFill="1" applyBorder="1" applyAlignment="1">
      <alignment horizontal="left" vertical="top" wrapText="1"/>
    </xf>
    <xf numFmtId="2" fontId="2" fillId="0" borderId="2" xfId="5" applyNumberFormat="1" applyFont="1" applyFill="1" applyBorder="1" applyAlignment="1">
      <alignment horizontal="center" vertical="center" wrapText="1"/>
    </xf>
    <xf numFmtId="0" fontId="2" fillId="0" borderId="18" xfId="3" applyNumberFormat="1" applyFont="1" applyFill="1" applyBorder="1" applyAlignment="1">
      <alignment horizontal="center" vertical="center" wrapText="1"/>
    </xf>
    <xf numFmtId="2" fontId="2" fillId="0" borderId="34" xfId="5" applyNumberFormat="1" applyFont="1" applyFill="1" applyBorder="1" applyAlignment="1">
      <alignment horizontal="center" vertical="center" wrapText="1"/>
    </xf>
    <xf numFmtId="2" fontId="2" fillId="0" borderId="37" xfId="5" applyNumberFormat="1" applyFont="1" applyFill="1" applyBorder="1" applyAlignment="1">
      <alignment horizontal="center" vertical="center" wrapText="1"/>
    </xf>
    <xf numFmtId="2" fontId="3" fillId="3" borderId="14" xfId="3" applyNumberFormat="1" applyFont="1" applyFill="1" applyBorder="1" applyAlignment="1">
      <alignment horizontal="center" vertical="center" wrapText="1"/>
    </xf>
    <xf numFmtId="2" fontId="2" fillId="3" borderId="14" xfId="1" applyNumberFormat="1" applyFont="1" applyFill="1" applyBorder="1" applyAlignment="1">
      <alignment horizontal="center" vertical="center" wrapText="1"/>
    </xf>
    <xf numFmtId="2" fontId="2" fillId="3" borderId="14" xfId="2" applyNumberFormat="1" applyFont="1" applyFill="1" applyBorder="1" applyAlignment="1">
      <alignment horizontal="left" vertical="center" wrapText="1"/>
    </xf>
    <xf numFmtId="2" fontId="2" fillId="3" borderId="14" xfId="2" applyNumberFormat="1" applyFont="1" applyFill="1" applyBorder="1" applyAlignment="1">
      <alignment horizontal="center" vertical="center" wrapText="1"/>
    </xf>
    <xf numFmtId="2" fontId="3" fillId="0" borderId="14" xfId="3" applyNumberFormat="1" applyFont="1" applyFill="1" applyBorder="1" applyAlignment="1">
      <alignment horizontal="center" vertical="center" wrapText="1"/>
    </xf>
    <xf numFmtId="2" fontId="3" fillId="0" borderId="14" xfId="5" applyNumberFormat="1" applyFont="1" applyFill="1" applyBorder="1" applyAlignment="1">
      <alignment vertical="center"/>
    </xf>
    <xf numFmtId="2" fontId="9" fillId="0" borderId="14" xfId="0" applyNumberFormat="1" applyFont="1" applyFill="1" applyBorder="1" applyAlignment="1">
      <alignment horizontal="left" vertical="center" wrapText="1"/>
    </xf>
    <xf numFmtId="2" fontId="9" fillId="0" borderId="14" xfId="0" applyNumberFormat="1" applyFont="1" applyFill="1" applyBorder="1" applyAlignment="1">
      <alignment horizontal="center" vertical="center" wrapText="1"/>
    </xf>
    <xf numFmtId="2" fontId="3" fillId="0" borderId="13" xfId="3" applyNumberFormat="1" applyFont="1" applyFill="1" applyBorder="1" applyAlignment="1">
      <alignment horizontal="center" vertical="center" wrapText="1"/>
    </xf>
    <xf numFmtId="2" fontId="3" fillId="0" borderId="13" xfId="5" applyNumberFormat="1" applyFont="1" applyFill="1" applyBorder="1" applyAlignment="1">
      <alignment vertical="center"/>
    </xf>
    <xf numFmtId="2" fontId="9" fillId="0" borderId="13" xfId="0" applyNumberFormat="1" applyFont="1" applyFill="1" applyBorder="1" applyAlignment="1">
      <alignment horizontal="left" vertical="center" wrapText="1"/>
    </xf>
    <xf numFmtId="2" fontId="9" fillId="0" borderId="13" xfId="0" applyNumberFormat="1" applyFont="1" applyFill="1" applyBorder="1" applyAlignment="1">
      <alignment horizontal="center" vertical="center" wrapText="1"/>
    </xf>
    <xf numFmtId="2" fontId="2" fillId="0" borderId="2" xfId="3" applyNumberFormat="1" applyFont="1" applyFill="1" applyBorder="1" applyAlignment="1">
      <alignment vertical="center" wrapText="1"/>
    </xf>
    <xf numFmtId="2" fontId="2" fillId="0" borderId="9" xfId="3" applyNumberFormat="1" applyFont="1" applyFill="1" applyBorder="1" applyAlignment="1">
      <alignment vertical="center" wrapText="1"/>
    </xf>
    <xf numFmtId="2" fontId="2" fillId="4" borderId="2" xfId="3" applyNumberFormat="1" applyFont="1" applyFill="1" applyBorder="1" applyAlignment="1">
      <alignment vertical="center" wrapText="1"/>
    </xf>
    <xf numFmtId="2" fontId="2" fillId="4" borderId="1" xfId="3" applyNumberFormat="1" applyFont="1" applyFill="1" applyBorder="1" applyAlignment="1">
      <alignment vertical="center" wrapText="1"/>
    </xf>
    <xf numFmtId="2" fontId="35" fillId="0" borderId="2" xfId="3" applyNumberFormat="1" applyFont="1" applyFill="1" applyBorder="1" applyAlignment="1">
      <alignment horizontal="center" vertical="center" wrapText="1"/>
    </xf>
    <xf numFmtId="2" fontId="35" fillId="0" borderId="2" xfId="0" applyNumberFormat="1" applyFont="1" applyFill="1" applyBorder="1" applyAlignment="1">
      <alignment horizontal="center" vertical="center" wrapText="1"/>
    </xf>
    <xf numFmtId="2" fontId="36" fillId="0" borderId="2" xfId="0" applyNumberFormat="1" applyFont="1" applyFill="1" applyBorder="1" applyAlignment="1">
      <alignment horizontal="center" vertical="center" wrapText="1"/>
    </xf>
    <xf numFmtId="2" fontId="35" fillId="0" borderId="2" xfId="3" applyNumberFormat="1" applyFont="1" applyBorder="1" applyAlignment="1">
      <alignment horizontal="center" vertical="center" wrapText="1"/>
    </xf>
    <xf numFmtId="2" fontId="35" fillId="0" borderId="34" xfId="3" applyNumberFormat="1" applyFont="1" applyFill="1" applyBorder="1" applyAlignment="1">
      <alignment horizontal="center" vertical="center" wrapText="1"/>
    </xf>
    <xf numFmtId="2" fontId="24" fillId="0" borderId="5" xfId="3" applyNumberFormat="1" applyFont="1" applyFill="1" applyBorder="1" applyAlignment="1">
      <alignment horizontal="center" vertical="center" wrapText="1"/>
    </xf>
    <xf numFmtId="2" fontId="24" fillId="0" borderId="5" xfId="5" applyNumberFormat="1" applyFont="1" applyFill="1" applyBorder="1" applyAlignment="1">
      <alignment vertical="center"/>
    </xf>
    <xf numFmtId="2" fontId="38" fillId="0" borderId="5" xfId="0" applyNumberFormat="1" applyFont="1" applyFill="1" applyBorder="1" applyAlignment="1">
      <alignment horizontal="left" vertical="center" wrapText="1"/>
    </xf>
    <xf numFmtId="2" fontId="38" fillId="0" borderId="5" xfId="0" applyNumberFormat="1" applyFont="1" applyFill="1" applyBorder="1" applyAlignment="1">
      <alignment horizontal="center" vertical="center" wrapText="1"/>
    </xf>
    <xf numFmtId="2" fontId="24" fillId="0" borderId="5" xfId="2" applyNumberFormat="1" applyFont="1" applyFill="1" applyBorder="1" applyAlignment="1">
      <alignment horizontal="center" vertical="center" wrapText="1"/>
    </xf>
    <xf numFmtId="0" fontId="2" fillId="0" borderId="43" xfId="3" applyNumberFormat="1" applyFont="1" applyFill="1" applyBorder="1" applyAlignment="1">
      <alignment horizontal="center" vertical="center" wrapText="1"/>
    </xf>
    <xf numFmtId="0" fontId="2" fillId="0" borderId="9" xfId="3" applyNumberFormat="1" applyFont="1" applyFill="1" applyBorder="1" applyAlignment="1">
      <alignment horizontal="center" vertical="center" wrapText="1"/>
    </xf>
    <xf numFmtId="166" fontId="2" fillId="0" borderId="9" xfId="5" applyNumberFormat="1" applyFont="1" applyFill="1" applyBorder="1" applyAlignment="1">
      <alignment horizontal="center" vertical="center" wrapText="1"/>
    </xf>
    <xf numFmtId="0" fontId="2" fillId="0" borderId="30" xfId="3" applyFont="1" applyFill="1" applyBorder="1" applyAlignment="1">
      <alignment vertical="center" wrapText="1"/>
    </xf>
    <xf numFmtId="2" fontId="3" fillId="0" borderId="45" xfId="3" applyNumberFormat="1" applyFont="1" applyFill="1" applyBorder="1" applyAlignment="1">
      <alignment horizontal="center" vertical="center" wrapText="1"/>
    </xf>
    <xf numFmtId="2" fontId="3" fillId="0" borderId="11" xfId="3" applyNumberFormat="1" applyFont="1" applyFill="1" applyBorder="1" applyAlignment="1">
      <alignment horizontal="center" vertical="center" wrapText="1"/>
    </xf>
    <xf numFmtId="4" fontId="14" fillId="4" borderId="0" xfId="1" applyNumberFormat="1" applyFont="1" applyFill="1" applyAlignment="1">
      <alignment horizontal="right" vertical="center"/>
    </xf>
    <xf numFmtId="0" fontId="14" fillId="0" borderId="0" xfId="3" applyFont="1" applyFill="1" applyAlignment="1">
      <alignment horizontal="left" vertical="center" wrapText="1"/>
    </xf>
    <xf numFmtId="0" fontId="14" fillId="0" borderId="0" xfId="3" applyFont="1" applyFill="1" applyAlignment="1">
      <alignment horizontal="center" vertical="center" wrapText="1"/>
    </xf>
    <xf numFmtId="0" fontId="2" fillId="0" borderId="17" xfId="3" applyFont="1" applyFill="1" applyBorder="1" applyAlignment="1">
      <alignment horizontal="center" vertical="center" wrapText="1"/>
    </xf>
    <xf numFmtId="2" fontId="9" fillId="0" borderId="15" xfId="0" applyNumberFormat="1" applyFont="1" applyFill="1" applyBorder="1" applyAlignment="1">
      <alignment horizontal="center" vertical="center" wrapText="1"/>
    </xf>
    <xf numFmtId="2" fontId="9" fillId="0" borderId="10" xfId="0" applyNumberFormat="1" applyFont="1" applyFill="1" applyBorder="1" applyAlignment="1">
      <alignment horizontal="center" vertical="center" wrapText="1"/>
    </xf>
    <xf numFmtId="2" fontId="2" fillId="0" borderId="35" xfId="3" applyNumberFormat="1" applyFont="1" applyFill="1" applyBorder="1" applyAlignment="1">
      <alignment horizontal="left" vertical="center"/>
    </xf>
    <xf numFmtId="0" fontId="11" fillId="0" borderId="0" xfId="3" applyFont="1" applyFill="1" applyBorder="1" applyAlignment="1">
      <alignment horizontal="left" vertical="top" wrapText="1"/>
    </xf>
    <xf numFmtId="0" fontId="14" fillId="0" borderId="0" xfId="3" applyFont="1" applyFill="1" applyAlignment="1">
      <alignment horizontal="left" vertical="center" wrapText="1"/>
    </xf>
    <xf numFmtId="0" fontId="14" fillId="0" borderId="0" xfId="3" applyFont="1" applyFill="1" applyAlignment="1">
      <alignment horizontal="center" vertical="center" wrapText="1"/>
    </xf>
    <xf numFmtId="0" fontId="14" fillId="0" borderId="0" xfId="3" applyFont="1" applyAlignment="1">
      <alignment horizontal="left" vertical="center"/>
    </xf>
    <xf numFmtId="0" fontId="2" fillId="0" borderId="25" xfId="3" applyNumberFormat="1" applyFont="1" applyFill="1" applyBorder="1" applyAlignment="1">
      <alignment horizontal="center" vertical="center" wrapText="1"/>
    </xf>
    <xf numFmtId="2" fontId="2" fillId="0" borderId="7" xfId="3" applyNumberFormat="1" applyFont="1" applyFill="1" applyBorder="1" applyAlignment="1">
      <alignment horizontal="center" vertical="center"/>
    </xf>
    <xf numFmtId="14" fontId="2" fillId="0" borderId="7" xfId="3" applyNumberFormat="1" applyFont="1" applyFill="1" applyBorder="1" applyAlignment="1">
      <alignment horizontal="center" vertical="center"/>
    </xf>
    <xf numFmtId="0" fontId="11" fillId="0" borderId="12" xfId="3" applyFont="1" applyFill="1" applyBorder="1" applyAlignment="1">
      <alignment horizontal="center" vertical="center" wrapText="1"/>
    </xf>
    <xf numFmtId="0" fontId="2" fillId="0" borderId="24" xfId="3" applyFont="1" applyFill="1" applyBorder="1" applyAlignment="1">
      <alignment horizontal="center" vertical="center" wrapText="1"/>
    </xf>
    <xf numFmtId="0" fontId="11" fillId="0" borderId="0" xfId="3" applyFont="1" applyFill="1" applyBorder="1" applyAlignment="1">
      <alignment horizontal="left" vertical="top" wrapText="1"/>
    </xf>
    <xf numFmtId="2" fontId="2" fillId="4" borderId="41" xfId="3" applyNumberFormat="1" applyFont="1" applyFill="1" applyBorder="1" applyAlignment="1">
      <alignment horizontal="center" vertical="center" wrapText="1"/>
    </xf>
    <xf numFmtId="2" fontId="2" fillId="4" borderId="12" xfId="3" applyNumberFormat="1" applyFont="1" applyFill="1" applyBorder="1" applyAlignment="1">
      <alignment horizontal="center" vertical="center" wrapText="1"/>
    </xf>
    <xf numFmtId="2" fontId="2" fillId="4" borderId="42" xfId="3" applyNumberFormat="1" applyFont="1" applyFill="1" applyBorder="1" applyAlignment="1">
      <alignment horizontal="center" vertical="center" wrapText="1"/>
    </xf>
    <xf numFmtId="2" fontId="2" fillId="4" borderId="41" xfId="3" applyNumberFormat="1" applyFont="1" applyFill="1" applyBorder="1" applyAlignment="1">
      <alignment horizontal="center" vertical="center"/>
    </xf>
    <xf numFmtId="2" fontId="2" fillId="4" borderId="12" xfId="3" applyNumberFormat="1" applyFont="1" applyFill="1" applyBorder="1" applyAlignment="1">
      <alignment horizontal="center" vertical="center"/>
    </xf>
    <xf numFmtId="2" fontId="2" fillId="4" borderId="42" xfId="3" applyNumberFormat="1" applyFont="1" applyFill="1" applyBorder="1" applyAlignment="1">
      <alignment horizontal="center" vertical="center"/>
    </xf>
    <xf numFmtId="2" fontId="2" fillId="4" borderId="12" xfId="3" applyNumberFormat="1" applyFont="1" applyFill="1" applyBorder="1" applyAlignment="1">
      <alignment horizontal="left" vertical="center"/>
    </xf>
    <xf numFmtId="2" fontId="2" fillId="0" borderId="7" xfId="3" applyNumberFormat="1" applyFont="1" applyFill="1" applyBorder="1" applyAlignment="1">
      <alignment horizontal="left" vertical="center"/>
    </xf>
    <xf numFmtId="2" fontId="2" fillId="0" borderId="12" xfId="3" applyNumberFormat="1" applyFont="1" applyFill="1" applyBorder="1" applyAlignment="1">
      <alignment horizontal="left" vertical="center"/>
    </xf>
    <xf numFmtId="166" fontId="2" fillId="0" borderId="8" xfId="5" applyNumberFormat="1" applyFont="1" applyFill="1" applyBorder="1" applyAlignment="1">
      <alignment horizontal="center" vertical="center" wrapText="1"/>
    </xf>
    <xf numFmtId="2" fontId="2" fillId="0" borderId="7" xfId="5" applyNumberFormat="1" applyFont="1" applyFill="1" applyBorder="1" applyAlignment="1">
      <alignment horizontal="center" vertical="center" wrapText="1"/>
    </xf>
    <xf numFmtId="0" fontId="2" fillId="0" borderId="2" xfId="3" applyNumberFormat="1" applyFont="1" applyFill="1" applyBorder="1" applyAlignment="1">
      <alignment horizontal="center" vertical="center" wrapText="1"/>
    </xf>
    <xf numFmtId="166" fontId="2" fillId="0" borderId="2" xfId="5" applyNumberFormat="1" applyFont="1" applyFill="1" applyBorder="1" applyAlignment="1">
      <alignment horizontal="center" vertical="center" wrapText="1"/>
    </xf>
    <xf numFmtId="0" fontId="2" fillId="0" borderId="37" xfId="3" applyNumberFormat="1" applyFont="1" applyFill="1" applyBorder="1" applyAlignment="1">
      <alignment horizontal="center" vertical="center" wrapText="1"/>
    </xf>
    <xf numFmtId="166" fontId="2" fillId="0" borderId="34" xfId="5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7" xfId="180" applyFont="1" applyBorder="1" applyAlignment="1">
      <alignment horizontal="center" vertical="center" wrapText="1"/>
    </xf>
    <xf numFmtId="172" fontId="40" fillId="0" borderId="2" xfId="180" applyNumberFormat="1" applyFont="1" applyBorder="1" applyAlignment="1">
      <alignment horizontal="center" vertical="center"/>
    </xf>
    <xf numFmtId="0" fontId="6" fillId="0" borderId="3" xfId="180" applyFont="1" applyBorder="1" applyAlignment="1">
      <alignment horizontal="center" vertical="center" wrapText="1"/>
    </xf>
    <xf numFmtId="4" fontId="6" fillId="0" borderId="2" xfId="180" applyNumberFormat="1" applyFont="1" applyBorder="1" applyAlignment="1">
      <alignment horizontal="center" vertical="center"/>
    </xf>
    <xf numFmtId="0" fontId="6" fillId="0" borderId="2" xfId="180" applyFont="1" applyBorder="1" applyAlignment="1">
      <alignment horizontal="center" vertical="center" wrapText="1"/>
    </xf>
    <xf numFmtId="2" fontId="2" fillId="3" borderId="15" xfId="2" applyNumberFormat="1" applyFont="1" applyFill="1" applyBorder="1" applyAlignment="1">
      <alignment horizontal="center" vertical="center" wrapText="1"/>
    </xf>
    <xf numFmtId="2" fontId="3" fillId="4" borderId="0" xfId="3" applyNumberFormat="1" applyFont="1" applyFill="1" applyBorder="1" applyAlignment="1">
      <alignment horizontal="left" vertical="center" wrapText="1"/>
    </xf>
    <xf numFmtId="0" fontId="3" fillId="0" borderId="5" xfId="3" applyFont="1" applyFill="1" applyBorder="1" applyAlignment="1">
      <alignment horizontal="left" vertical="center" wrapText="1"/>
    </xf>
    <xf numFmtId="0" fontId="3" fillId="0" borderId="10" xfId="3" applyFont="1" applyFill="1" applyBorder="1" applyAlignment="1">
      <alignment horizontal="left" vertical="center" wrapText="1"/>
    </xf>
    <xf numFmtId="0" fontId="3" fillId="0" borderId="35" xfId="3" applyFont="1" applyFill="1" applyBorder="1" applyAlignment="1">
      <alignment horizontal="center" vertical="center" wrapText="1"/>
    </xf>
    <xf numFmtId="0" fontId="3" fillId="0" borderId="8" xfId="3" applyFont="1" applyFill="1" applyBorder="1" applyAlignment="1">
      <alignment horizontal="center" vertical="center" wrapText="1"/>
    </xf>
    <xf numFmtId="171" fontId="36" fillId="0" borderId="2" xfId="0" applyNumberFormat="1" applyFont="1" applyFill="1" applyBorder="1" applyAlignment="1">
      <alignment horizontal="center" vertical="center" wrapText="1"/>
    </xf>
    <xf numFmtId="0" fontId="14" fillId="0" borderId="0" xfId="3" applyFont="1" applyFill="1" applyAlignment="1">
      <alignment horizontal="left" vertical="top" wrapText="1"/>
    </xf>
    <xf numFmtId="0" fontId="13" fillId="0" borderId="0" xfId="6" applyFont="1" applyFill="1" applyAlignment="1">
      <alignment horizontal="left" vertical="center"/>
    </xf>
    <xf numFmtId="4" fontId="35" fillId="0" borderId="30" xfId="3" applyNumberFormat="1" applyFont="1" applyFill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40" fillId="0" borderId="2" xfId="180" applyFont="1" applyBorder="1" applyAlignment="1">
      <alignment horizontal="center" vertical="center" wrapText="1"/>
    </xf>
    <xf numFmtId="0" fontId="2" fillId="0" borderId="36" xfId="3" applyNumberFormat="1" applyFont="1" applyFill="1" applyBorder="1" applyAlignment="1">
      <alignment horizontal="center" vertical="center" wrapText="1"/>
    </xf>
    <xf numFmtId="0" fontId="6" fillId="0" borderId="35" xfId="180" applyFont="1" applyBorder="1" applyAlignment="1">
      <alignment horizontal="center" vertical="center" wrapText="1"/>
    </xf>
    <xf numFmtId="0" fontId="14" fillId="0" borderId="0" xfId="3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2" fontId="35" fillId="0" borderId="52" xfId="1" applyNumberFormat="1" applyFont="1" applyFill="1" applyBorder="1" applyAlignment="1">
      <alignment horizontal="center" vertical="center" wrapText="1"/>
    </xf>
    <xf numFmtId="2" fontId="24" fillId="0" borderId="52" xfId="2" applyNumberFormat="1" applyFont="1" applyFill="1" applyBorder="1" applyAlignment="1">
      <alignment horizontal="left" vertical="center" wrapText="1"/>
    </xf>
    <xf numFmtId="2" fontId="35" fillId="0" borderId="52" xfId="2" applyNumberFormat="1" applyFont="1" applyFill="1" applyBorder="1" applyAlignment="1">
      <alignment horizontal="center" vertical="center" wrapText="1"/>
    </xf>
    <xf numFmtId="2" fontId="35" fillId="0" borderId="52" xfId="2" applyNumberFormat="1" applyFont="1" applyFill="1" applyBorder="1" applyAlignment="1">
      <alignment horizontal="left" vertical="center" wrapText="1"/>
    </xf>
    <xf numFmtId="2" fontId="37" fillId="0" borderId="52" xfId="0" applyNumberFormat="1" applyFont="1" applyFill="1" applyBorder="1" applyAlignment="1">
      <alignment vertical="center" wrapText="1"/>
    </xf>
    <xf numFmtId="2" fontId="2" fillId="4" borderId="12" xfId="3" applyNumberFormat="1" applyFont="1" applyFill="1" applyBorder="1" applyAlignment="1">
      <alignment horizontal="center" vertical="center" wrapText="1"/>
    </xf>
    <xf numFmtId="2" fontId="2" fillId="4" borderId="12" xfId="3" applyNumberFormat="1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horizontal="left" vertical="top" wrapText="1"/>
    </xf>
    <xf numFmtId="0" fontId="40" fillId="0" borderId="2" xfId="0" applyFont="1" applyFill="1" applyBorder="1" applyAlignment="1">
      <alignment horizontal="center" vertical="center"/>
    </xf>
    <xf numFmtId="0" fontId="2" fillId="0" borderId="3" xfId="3" applyNumberFormat="1" applyFont="1" applyFill="1" applyBorder="1" applyAlignment="1">
      <alignment horizontal="center" vertical="center" wrapText="1"/>
    </xf>
    <xf numFmtId="2" fontId="2" fillId="0" borderId="3" xfId="5" applyNumberFormat="1" applyFont="1" applyFill="1" applyBorder="1" applyAlignment="1">
      <alignment horizontal="center" vertical="center" wrapText="1"/>
    </xf>
    <xf numFmtId="4" fontId="37" fillId="0" borderId="52" xfId="0" applyNumberFormat="1" applyFont="1" applyFill="1" applyBorder="1" applyAlignment="1">
      <alignment vertical="center" wrapText="1"/>
    </xf>
    <xf numFmtId="4" fontId="38" fillId="0" borderId="52" xfId="0" applyNumberFormat="1" applyFont="1" applyFill="1" applyBorder="1" applyAlignment="1">
      <alignment vertical="center" wrapText="1"/>
    </xf>
    <xf numFmtId="4" fontId="24" fillId="0" borderId="53" xfId="2" applyNumberFormat="1" applyFont="1" applyFill="1" applyBorder="1" applyAlignment="1">
      <alignment horizontal="right" vertical="center" wrapText="1"/>
    </xf>
    <xf numFmtId="2" fontId="2" fillId="0" borderId="2" xfId="3" applyNumberFormat="1" applyFont="1" applyFill="1" applyBorder="1" applyAlignment="1">
      <alignment horizontal="center" vertical="center" wrapText="1"/>
    </xf>
    <xf numFmtId="2" fontId="2" fillId="0" borderId="37" xfId="3" applyNumberFormat="1" applyFont="1" applyFill="1" applyBorder="1" applyAlignment="1">
      <alignment horizontal="center" vertical="center" wrapText="1"/>
    </xf>
    <xf numFmtId="2" fontId="2" fillId="0" borderId="3" xfId="3" applyNumberFormat="1" applyFont="1" applyFill="1" applyBorder="1" applyAlignment="1">
      <alignment horizontal="center" vertical="center" wrapText="1"/>
    </xf>
    <xf numFmtId="2" fontId="2" fillId="4" borderId="12" xfId="3" applyNumberFormat="1" applyFont="1" applyFill="1" applyBorder="1" applyAlignment="1">
      <alignment horizontal="left" vertical="center"/>
    </xf>
    <xf numFmtId="2" fontId="2" fillId="4" borderId="12" xfId="3" applyNumberFormat="1" applyFont="1" applyFill="1" applyBorder="1" applyAlignment="1">
      <alignment horizontal="left" vertical="center" wrapText="1"/>
    </xf>
    <xf numFmtId="2" fontId="2" fillId="4" borderId="48" xfId="3" applyNumberFormat="1" applyFont="1" applyFill="1" applyBorder="1" applyAlignment="1">
      <alignment horizontal="left" vertical="center"/>
    </xf>
    <xf numFmtId="2" fontId="2" fillId="4" borderId="54" xfId="3" applyNumberFormat="1" applyFont="1" applyFill="1" applyBorder="1" applyAlignment="1">
      <alignment horizontal="left" vertical="center"/>
    </xf>
    <xf numFmtId="2" fontId="2" fillId="4" borderId="41" xfId="3" applyNumberFormat="1" applyFont="1" applyFill="1" applyBorder="1" applyAlignment="1">
      <alignment horizontal="center" vertical="center" wrapText="1"/>
    </xf>
    <xf numFmtId="2" fontId="2" fillId="0" borderId="37" xfId="3" applyNumberFormat="1" applyFont="1" applyFill="1" applyBorder="1" applyAlignment="1">
      <alignment horizontal="center" vertical="center" wrapText="1"/>
    </xf>
    <xf numFmtId="2" fontId="14" fillId="0" borderId="0" xfId="6" applyNumberFormat="1" applyFont="1" applyFill="1" applyAlignment="1">
      <alignment horizontal="right" vertical="center"/>
    </xf>
    <xf numFmtId="1" fontId="35" fillId="0" borderId="37" xfId="3" applyNumberFormat="1" applyFont="1" applyFill="1" applyBorder="1" applyAlignment="1">
      <alignment horizontal="center" vertical="center" wrapText="1"/>
    </xf>
    <xf numFmtId="1" fontId="35" fillId="0" borderId="49" xfId="3" applyNumberFormat="1" applyFont="1" applyFill="1" applyBorder="1" applyAlignment="1">
      <alignment horizontal="center" vertical="center" wrapText="1"/>
    </xf>
    <xf numFmtId="1" fontId="35" fillId="0" borderId="4" xfId="3" applyNumberFormat="1" applyFont="1" applyFill="1" applyBorder="1" applyAlignment="1">
      <alignment horizontal="center" vertical="center" wrapText="1"/>
    </xf>
    <xf numFmtId="1" fontId="2" fillId="0" borderId="9" xfId="3" applyNumberFormat="1" applyFont="1" applyFill="1" applyBorder="1" applyAlignment="1">
      <alignment horizontal="center" vertical="center" wrapText="1"/>
    </xf>
    <xf numFmtId="2" fontId="2" fillId="0" borderId="8" xfId="3" applyNumberFormat="1" applyFont="1" applyFill="1" applyBorder="1" applyAlignment="1">
      <alignment horizontal="left" vertical="center"/>
    </xf>
    <xf numFmtId="0" fontId="2" fillId="0" borderId="55" xfId="3" applyNumberFormat="1" applyFont="1" applyFill="1" applyBorder="1" applyAlignment="1">
      <alignment horizontal="center" vertical="center" wrapText="1"/>
    </xf>
    <xf numFmtId="1" fontId="2" fillId="0" borderId="37" xfId="3" applyNumberFormat="1" applyFont="1" applyFill="1" applyBorder="1" applyAlignment="1">
      <alignment horizontal="center" vertical="center" wrapText="1"/>
    </xf>
    <xf numFmtId="173" fontId="6" fillId="0" borderId="21" xfId="0" applyNumberFormat="1" applyFont="1" applyBorder="1" applyAlignment="1">
      <alignment horizontal="center" vertical="center" wrapText="1"/>
    </xf>
    <xf numFmtId="171" fontId="2" fillId="3" borderId="56" xfId="2" applyNumberFormat="1" applyFont="1" applyFill="1" applyBorder="1" applyAlignment="1">
      <alignment horizontal="center" vertical="center" wrapText="1"/>
    </xf>
    <xf numFmtId="2" fontId="9" fillId="0" borderId="56" xfId="0" applyNumberFormat="1" applyFont="1" applyFill="1" applyBorder="1" applyAlignment="1">
      <alignment horizontal="right" vertical="center" wrapText="1"/>
    </xf>
    <xf numFmtId="1" fontId="2" fillId="0" borderId="49" xfId="3" applyNumberFormat="1" applyFont="1" applyFill="1" applyBorder="1" applyAlignment="1">
      <alignment horizontal="center" vertical="center" wrapText="1"/>
    </xf>
    <xf numFmtId="2" fontId="3" fillId="0" borderId="44" xfId="5" applyNumberFormat="1" applyFont="1" applyFill="1" applyBorder="1" applyAlignment="1">
      <alignment vertical="center"/>
    </xf>
    <xf numFmtId="2" fontId="2" fillId="4" borderId="2" xfId="3" applyNumberFormat="1" applyFont="1" applyFill="1" applyBorder="1" applyAlignment="1">
      <alignment horizontal="left" vertical="center" wrapText="1"/>
    </xf>
    <xf numFmtId="2" fontId="2" fillId="4" borderId="2" xfId="3" applyNumberFormat="1" applyFont="1" applyFill="1" applyBorder="1" applyAlignment="1">
      <alignment horizontal="left" vertical="center"/>
    </xf>
    <xf numFmtId="2" fontId="2" fillId="4" borderId="34" xfId="3" applyNumberFormat="1" applyFont="1" applyFill="1" applyBorder="1" applyAlignment="1">
      <alignment horizontal="left" vertical="center"/>
    </xf>
    <xf numFmtId="2" fontId="3" fillId="4" borderId="38" xfId="3" applyNumberFormat="1" applyFont="1" applyFill="1" applyBorder="1" applyAlignment="1">
      <alignment horizontal="left" vertical="center" wrapText="1"/>
    </xf>
    <xf numFmtId="2" fontId="2" fillId="0" borderId="57" xfId="3" applyNumberFormat="1" applyFont="1" applyFill="1" applyBorder="1" applyAlignment="1">
      <alignment horizontal="left" vertical="center"/>
    </xf>
    <xf numFmtId="2" fontId="2" fillId="0" borderId="2" xfId="3" applyNumberFormat="1" applyFont="1" applyFill="1" applyBorder="1" applyAlignment="1">
      <alignment horizontal="left" vertical="center"/>
    </xf>
    <xf numFmtId="0" fontId="3" fillId="0" borderId="13" xfId="3" applyFont="1" applyFill="1" applyBorder="1" applyAlignment="1">
      <alignment horizontal="left" vertical="center" wrapText="1"/>
    </xf>
    <xf numFmtId="0" fontId="3" fillId="0" borderId="9" xfId="3" applyFont="1" applyFill="1" applyBorder="1" applyAlignment="1">
      <alignment horizontal="center" vertical="center" wrapText="1"/>
    </xf>
    <xf numFmtId="0" fontId="11" fillId="0" borderId="2" xfId="3" applyFont="1" applyFill="1" applyBorder="1" applyAlignment="1">
      <alignment horizontal="center" vertical="center" wrapText="1"/>
    </xf>
    <xf numFmtId="2" fontId="2" fillId="4" borderId="2" xfId="3" applyNumberFormat="1" applyFont="1" applyFill="1" applyBorder="1" applyAlignment="1">
      <alignment horizontal="center" vertical="center" wrapText="1"/>
    </xf>
    <xf numFmtId="2" fontId="2" fillId="4" borderId="34" xfId="3" applyNumberFormat="1" applyFont="1" applyFill="1" applyBorder="1" applyAlignment="1">
      <alignment horizontal="center" vertical="center" wrapText="1"/>
    </xf>
    <xf numFmtId="2" fontId="2" fillId="4" borderId="37" xfId="3" applyNumberFormat="1" applyFont="1" applyFill="1" applyBorder="1" applyAlignment="1">
      <alignment horizontal="center" vertical="center" wrapText="1"/>
    </xf>
    <xf numFmtId="2" fontId="3" fillId="4" borderId="37" xfId="3" applyNumberFormat="1" applyFont="1" applyFill="1" applyBorder="1" applyAlignment="1">
      <alignment horizontal="center" vertical="center" wrapText="1"/>
    </xf>
    <xf numFmtId="2" fontId="3" fillId="4" borderId="2" xfId="3" applyNumberFormat="1" applyFont="1" applyFill="1" applyBorder="1" applyAlignment="1">
      <alignment horizontal="center" vertical="center" wrapText="1"/>
    </xf>
    <xf numFmtId="2" fontId="3" fillId="4" borderId="34" xfId="3" applyNumberFormat="1" applyFont="1" applyFill="1" applyBorder="1" applyAlignment="1">
      <alignment horizontal="center" vertical="center" wrapText="1"/>
    </xf>
    <xf numFmtId="0" fontId="3" fillId="4" borderId="4" xfId="3" applyFont="1" applyFill="1" applyBorder="1" applyAlignment="1">
      <alignment horizontal="center" vertical="center" wrapText="1"/>
    </xf>
    <xf numFmtId="0" fontId="3" fillId="4" borderId="13" xfId="3" applyFont="1" applyFill="1" applyBorder="1" applyAlignment="1">
      <alignment horizontal="center" vertical="center" wrapText="1"/>
    </xf>
    <xf numFmtId="0" fontId="3" fillId="4" borderId="10" xfId="3" applyFont="1" applyFill="1" applyBorder="1" applyAlignment="1">
      <alignment horizontal="center" vertical="center" wrapText="1"/>
    </xf>
    <xf numFmtId="4" fontId="8" fillId="3" borderId="46" xfId="0" applyNumberFormat="1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center" vertical="center" wrapText="1"/>
    </xf>
    <xf numFmtId="4" fontId="8" fillId="3" borderId="48" xfId="0" applyNumberFormat="1" applyFont="1" applyFill="1" applyBorder="1" applyAlignment="1">
      <alignment horizontal="center" vertical="center" wrapText="1"/>
    </xf>
    <xf numFmtId="4" fontId="3" fillId="0" borderId="18" xfId="2" applyNumberFormat="1" applyFont="1" applyFill="1" applyBorder="1" applyAlignment="1">
      <alignment horizontal="center" vertical="center" wrapText="1"/>
    </xf>
    <xf numFmtId="4" fontId="3" fillId="0" borderId="30" xfId="2" applyNumberFormat="1" applyFont="1" applyFill="1" applyBorder="1" applyAlignment="1">
      <alignment horizontal="center" vertical="center" wrapText="1"/>
    </xf>
    <xf numFmtId="4" fontId="3" fillId="0" borderId="31" xfId="2" applyNumberFormat="1" applyFont="1" applyFill="1" applyBorder="1" applyAlignment="1">
      <alignment horizontal="center" vertical="center" wrapText="1"/>
    </xf>
    <xf numFmtId="4" fontId="3" fillId="4" borderId="4" xfId="2" applyNumberFormat="1" applyFont="1" applyFill="1" applyBorder="1" applyAlignment="1">
      <alignment horizontal="center" vertical="center" wrapText="1"/>
    </xf>
    <xf numFmtId="4" fontId="3" fillId="4" borderId="13" xfId="2" applyNumberFormat="1" applyFont="1" applyFill="1" applyBorder="1" applyAlignment="1">
      <alignment horizontal="center" vertical="center" wrapText="1"/>
    </xf>
    <xf numFmtId="4" fontId="3" fillId="4" borderId="44" xfId="2" applyNumberFormat="1" applyFont="1" applyFill="1" applyBorder="1" applyAlignment="1">
      <alignment horizontal="center" vertical="center" wrapText="1"/>
    </xf>
    <xf numFmtId="2" fontId="2" fillId="4" borderId="43" xfId="3" applyNumberFormat="1" applyFont="1" applyFill="1" applyBorder="1" applyAlignment="1">
      <alignment horizontal="center" vertical="center" wrapText="1"/>
    </xf>
    <xf numFmtId="2" fontId="2" fillId="4" borderId="9" xfId="3" applyNumberFormat="1" applyFont="1" applyFill="1" applyBorder="1" applyAlignment="1">
      <alignment horizontal="center" vertical="center" wrapText="1"/>
    </xf>
    <xf numFmtId="2" fontId="2" fillId="4" borderId="21" xfId="3" applyNumberFormat="1" applyFont="1" applyFill="1" applyBorder="1" applyAlignment="1">
      <alignment horizontal="center" vertical="center" wrapText="1"/>
    </xf>
    <xf numFmtId="2" fontId="2" fillId="4" borderId="37" xfId="3" applyNumberFormat="1" applyFont="1" applyFill="1" applyBorder="1" applyAlignment="1">
      <alignment horizontal="center" vertical="center"/>
    </xf>
    <xf numFmtId="2" fontId="2" fillId="4" borderId="2" xfId="3" applyNumberFormat="1" applyFont="1" applyFill="1" applyBorder="1" applyAlignment="1">
      <alignment horizontal="center" vertical="center"/>
    </xf>
    <xf numFmtId="2" fontId="2" fillId="4" borderId="34" xfId="3" applyNumberFormat="1" applyFont="1" applyFill="1" applyBorder="1" applyAlignment="1">
      <alignment horizontal="center" vertical="center"/>
    </xf>
    <xf numFmtId="4" fontId="3" fillId="4" borderId="28" xfId="2" applyNumberFormat="1" applyFont="1" applyFill="1" applyBorder="1" applyAlignment="1">
      <alignment horizontal="center" vertical="center" wrapText="1"/>
    </xf>
    <xf numFmtId="4" fontId="3" fillId="4" borderId="16" xfId="2" applyNumberFormat="1" applyFont="1" applyFill="1" applyBorder="1" applyAlignment="1">
      <alignment horizontal="center" vertical="center" wrapText="1"/>
    </xf>
    <xf numFmtId="4" fontId="3" fillId="4" borderId="29" xfId="2" applyNumberFormat="1" applyFont="1" applyFill="1" applyBorder="1" applyAlignment="1">
      <alignment horizontal="center" vertical="center" wrapText="1"/>
    </xf>
    <xf numFmtId="4" fontId="3" fillId="4" borderId="23" xfId="2" applyNumberFormat="1" applyFont="1" applyFill="1" applyBorder="1" applyAlignment="1">
      <alignment horizontal="center" vertical="center" wrapText="1"/>
    </xf>
    <xf numFmtId="4" fontId="3" fillId="4" borderId="5" xfId="2" applyNumberFormat="1" applyFont="1" applyFill="1" applyBorder="1" applyAlignment="1">
      <alignment horizontal="center" vertical="center" wrapText="1"/>
    </xf>
    <xf numFmtId="4" fontId="3" fillId="4" borderId="6" xfId="2" applyNumberFormat="1" applyFont="1" applyFill="1" applyBorder="1" applyAlignment="1">
      <alignment horizontal="center" vertical="center" wrapText="1"/>
    </xf>
    <xf numFmtId="2" fontId="2" fillId="4" borderId="39" xfId="3" applyNumberFormat="1" applyFont="1" applyFill="1" applyBorder="1" applyAlignment="1">
      <alignment horizontal="center" vertical="center" wrapText="1"/>
    </xf>
    <xf numFmtId="2" fontId="2" fillId="4" borderId="27" xfId="3" applyNumberFormat="1" applyFont="1" applyFill="1" applyBorder="1" applyAlignment="1">
      <alignment horizontal="center" vertical="center" wrapText="1"/>
    </xf>
    <xf numFmtId="2" fontId="2" fillId="4" borderId="40" xfId="3" applyNumberFormat="1" applyFont="1" applyFill="1" applyBorder="1" applyAlignment="1">
      <alignment horizontal="center" vertical="center" wrapText="1"/>
    </xf>
    <xf numFmtId="2" fontId="2" fillId="4" borderId="41" xfId="3" applyNumberFormat="1" applyFont="1" applyFill="1" applyBorder="1" applyAlignment="1">
      <alignment horizontal="center" vertical="center" wrapText="1"/>
    </xf>
    <xf numFmtId="2" fontId="2" fillId="4" borderId="12" xfId="3" applyNumberFormat="1" applyFont="1" applyFill="1" applyBorder="1" applyAlignment="1">
      <alignment horizontal="center" vertical="center" wrapText="1"/>
    </xf>
    <xf numFmtId="2" fontId="2" fillId="4" borderId="42" xfId="3" applyNumberFormat="1" applyFont="1" applyFill="1" applyBorder="1" applyAlignment="1">
      <alignment horizontal="center" vertical="center" wrapText="1"/>
    </xf>
    <xf numFmtId="2" fontId="2" fillId="4" borderId="3" xfId="3" applyNumberFormat="1" applyFont="1" applyFill="1" applyBorder="1" applyAlignment="1">
      <alignment horizontal="center" vertical="center" wrapText="1"/>
    </xf>
    <xf numFmtId="4" fontId="3" fillId="0" borderId="23" xfId="3" applyNumberFormat="1" applyFont="1" applyFill="1" applyBorder="1" applyAlignment="1">
      <alignment horizontal="center" vertical="center" wrapText="1"/>
    </xf>
    <xf numFmtId="4" fontId="3" fillId="0" borderId="5" xfId="3" applyNumberFormat="1" applyFont="1" applyFill="1" applyBorder="1" applyAlignment="1">
      <alignment horizontal="center" vertical="center" wrapText="1"/>
    </xf>
    <xf numFmtId="4" fontId="3" fillId="0" borderId="6" xfId="3" applyNumberFormat="1" applyFont="1" applyFill="1" applyBorder="1" applyAlignment="1">
      <alignment horizontal="center" vertical="center" wrapText="1"/>
    </xf>
    <xf numFmtId="4" fontId="2" fillId="0" borderId="7" xfId="3" applyNumberFormat="1" applyFont="1" applyFill="1" applyBorder="1" applyAlignment="1">
      <alignment horizontal="center" vertical="center" wrapText="1"/>
    </xf>
    <xf numFmtId="4" fontId="2" fillId="0" borderId="12" xfId="3" applyNumberFormat="1" applyFont="1" applyFill="1" applyBorder="1" applyAlignment="1">
      <alignment horizontal="center" vertical="center" wrapText="1"/>
    </xf>
    <xf numFmtId="0" fontId="2" fillId="0" borderId="12" xfId="3" applyFont="1" applyFill="1" applyBorder="1" applyAlignment="1">
      <alignment horizontal="center" vertical="center" wrapText="1"/>
    </xf>
    <xf numFmtId="0" fontId="2" fillId="0" borderId="3" xfId="3" applyFont="1" applyFill="1" applyBorder="1" applyAlignment="1">
      <alignment horizontal="center" vertical="center" wrapText="1"/>
    </xf>
    <xf numFmtId="2" fontId="2" fillId="4" borderId="32" xfId="3" applyNumberFormat="1" applyFont="1" applyFill="1" applyBorder="1" applyAlignment="1">
      <alignment horizontal="center" vertical="center" wrapText="1"/>
    </xf>
    <xf numFmtId="2" fontId="2" fillId="4" borderId="22" xfId="3" applyNumberFormat="1" applyFont="1" applyFill="1" applyBorder="1" applyAlignment="1">
      <alignment horizontal="center" vertical="center" wrapText="1"/>
    </xf>
    <xf numFmtId="2" fontId="2" fillId="4" borderId="33" xfId="3" applyNumberFormat="1" applyFont="1" applyFill="1" applyBorder="1" applyAlignment="1">
      <alignment horizontal="center" vertical="center" wrapText="1"/>
    </xf>
    <xf numFmtId="4" fontId="2" fillId="0" borderId="24" xfId="3" applyNumberFormat="1" applyFont="1" applyFill="1" applyBorder="1" applyAlignment="1">
      <alignment horizontal="center" vertical="center" wrapText="1"/>
    </xf>
    <xf numFmtId="4" fontId="2" fillId="0" borderId="27" xfId="3" applyNumberFormat="1" applyFont="1" applyFill="1" applyBorder="1" applyAlignment="1">
      <alignment horizontal="center" vertical="center" wrapText="1"/>
    </xf>
    <xf numFmtId="4" fontId="2" fillId="0" borderId="26" xfId="3" applyNumberFormat="1" applyFont="1" applyFill="1" applyBorder="1" applyAlignment="1">
      <alignment horizontal="center" vertical="center" wrapText="1"/>
    </xf>
    <xf numFmtId="4" fontId="2" fillId="0" borderId="3" xfId="3" applyNumberFormat="1" applyFont="1" applyFill="1" applyBorder="1" applyAlignment="1">
      <alignment horizontal="center" vertical="center" wrapText="1"/>
    </xf>
    <xf numFmtId="4" fontId="2" fillId="0" borderId="8" xfId="3" applyNumberFormat="1" applyFont="1" applyFill="1" applyBorder="1" applyAlignment="1">
      <alignment horizontal="center" vertical="center" wrapText="1"/>
    </xf>
    <xf numFmtId="4" fontId="2" fillId="0" borderId="35" xfId="3" applyNumberFormat="1" applyFont="1" applyFill="1" applyBorder="1" applyAlignment="1">
      <alignment horizontal="center" vertical="center" wrapText="1"/>
    </xf>
    <xf numFmtId="4" fontId="2" fillId="0" borderId="36" xfId="3" applyNumberFormat="1" applyFont="1" applyFill="1" applyBorder="1" applyAlignment="1">
      <alignment horizontal="center" vertical="center" wrapText="1"/>
    </xf>
    <xf numFmtId="2" fontId="2" fillId="4" borderId="49" xfId="3" applyNumberFormat="1" applyFont="1" applyFill="1" applyBorder="1" applyAlignment="1">
      <alignment horizontal="center" vertical="center" wrapText="1"/>
    </xf>
    <xf numFmtId="2" fontId="2" fillId="4" borderId="20" xfId="3" applyNumberFormat="1" applyFont="1" applyFill="1" applyBorder="1" applyAlignment="1">
      <alignment horizontal="center" vertical="center" wrapText="1"/>
    </xf>
    <xf numFmtId="2" fontId="2" fillId="4" borderId="38" xfId="3" applyNumberFormat="1" applyFont="1" applyFill="1" applyBorder="1" applyAlignment="1">
      <alignment horizontal="center" vertical="center" wrapText="1"/>
    </xf>
    <xf numFmtId="2" fontId="2" fillId="4" borderId="50" xfId="3" applyNumberFormat="1" applyFont="1" applyFill="1" applyBorder="1" applyAlignment="1">
      <alignment horizontal="center" vertical="center" wrapText="1"/>
    </xf>
    <xf numFmtId="4" fontId="3" fillId="4" borderId="4" xfId="3" applyNumberFormat="1" applyFont="1" applyFill="1" applyBorder="1" applyAlignment="1">
      <alignment horizontal="center" vertical="center" wrapText="1"/>
    </xf>
    <xf numFmtId="4" fontId="3" fillId="4" borderId="11" xfId="3" applyNumberFormat="1" applyFont="1" applyFill="1" applyBorder="1" applyAlignment="1">
      <alignment horizontal="center" vertical="center" wrapText="1"/>
    </xf>
    <xf numFmtId="4" fontId="3" fillId="4" borderId="13" xfId="3" applyNumberFormat="1" applyFont="1" applyFill="1" applyBorder="1" applyAlignment="1">
      <alignment horizontal="center" vertical="center" wrapText="1"/>
    </xf>
    <xf numFmtId="4" fontId="3" fillId="4" borderId="44" xfId="3" applyNumberFormat="1" applyFont="1" applyFill="1" applyBorder="1" applyAlignment="1">
      <alignment horizontal="center" vertical="center" wrapText="1"/>
    </xf>
    <xf numFmtId="0" fontId="3" fillId="0" borderId="23" xfId="3" applyFont="1" applyFill="1" applyBorder="1" applyAlignment="1">
      <alignment horizontal="center" vertical="center" wrapText="1"/>
    </xf>
    <xf numFmtId="0" fontId="3" fillId="0" borderId="5" xfId="3" applyFont="1" applyFill="1" applyBorder="1" applyAlignment="1">
      <alignment horizontal="center" vertical="center" wrapText="1"/>
    </xf>
    <xf numFmtId="0" fontId="3" fillId="0" borderId="6" xfId="3" applyFont="1" applyFill="1" applyBorder="1" applyAlignment="1">
      <alignment horizontal="center" vertical="center" wrapText="1"/>
    </xf>
    <xf numFmtId="4" fontId="8" fillId="3" borderId="32" xfId="0" applyNumberFormat="1" applyFont="1" applyFill="1" applyBorder="1" applyAlignment="1">
      <alignment horizontal="center" vertical="center" wrapText="1"/>
    </xf>
    <xf numFmtId="4" fontId="8" fillId="3" borderId="22" xfId="0" applyNumberFormat="1" applyFont="1" applyFill="1" applyBorder="1" applyAlignment="1">
      <alignment horizontal="center" vertical="center" wrapText="1"/>
    </xf>
    <xf numFmtId="4" fontId="8" fillId="3" borderId="33" xfId="0" applyNumberFormat="1" applyFont="1" applyFill="1" applyBorder="1" applyAlignment="1">
      <alignment horizontal="center" vertical="center" wrapText="1"/>
    </xf>
    <xf numFmtId="4" fontId="9" fillId="4" borderId="28" xfId="0" applyNumberFormat="1" applyFont="1" applyFill="1" applyBorder="1" applyAlignment="1">
      <alignment horizontal="center" vertical="center" wrapText="1"/>
    </xf>
    <xf numFmtId="4" fontId="9" fillId="4" borderId="16" xfId="0" applyNumberFormat="1" applyFont="1" applyFill="1" applyBorder="1" applyAlignment="1">
      <alignment horizontal="center" vertical="center" wrapText="1"/>
    </xf>
    <xf numFmtId="4" fontId="9" fillId="4" borderId="29" xfId="0" applyNumberFormat="1" applyFont="1" applyFill="1" applyBorder="1" applyAlignment="1">
      <alignment horizontal="center" vertical="center" wrapText="1"/>
    </xf>
    <xf numFmtId="2" fontId="8" fillId="4" borderId="39" xfId="0" applyNumberFormat="1" applyFont="1" applyFill="1" applyBorder="1" applyAlignment="1">
      <alignment horizontal="center" vertical="center" wrapText="1"/>
    </xf>
    <xf numFmtId="2" fontId="8" fillId="4" borderId="27" xfId="0" applyNumberFormat="1" applyFont="1" applyFill="1" applyBorder="1" applyAlignment="1">
      <alignment horizontal="center" vertical="center" wrapText="1"/>
    </xf>
    <xf numFmtId="2" fontId="8" fillId="4" borderId="40" xfId="0" applyNumberFormat="1" applyFont="1" applyFill="1" applyBorder="1" applyAlignment="1">
      <alignment horizontal="center" vertical="center" wrapText="1"/>
    </xf>
    <xf numFmtId="2" fontId="2" fillId="0" borderId="41" xfId="3" applyNumberFormat="1" applyFont="1" applyFill="1" applyBorder="1" applyAlignment="1">
      <alignment horizontal="center" vertical="center" wrapText="1"/>
    </xf>
    <xf numFmtId="2" fontId="2" fillId="0" borderId="12" xfId="3" applyNumberFormat="1" applyFont="1" applyFill="1" applyBorder="1" applyAlignment="1">
      <alignment horizontal="center" vertical="center" wrapText="1"/>
    </xf>
    <xf numFmtId="2" fontId="2" fillId="0" borderId="42" xfId="3" applyNumberFormat="1" applyFont="1" applyFill="1" applyBorder="1" applyAlignment="1">
      <alignment horizontal="center" vertical="center" wrapText="1"/>
    </xf>
    <xf numFmtId="2" fontId="3" fillId="4" borderId="41" xfId="3" applyNumberFormat="1" applyFont="1" applyFill="1" applyBorder="1" applyAlignment="1">
      <alignment horizontal="center" vertical="center" wrapText="1"/>
    </xf>
    <xf numFmtId="2" fontId="3" fillId="4" borderId="12" xfId="3" applyNumberFormat="1" applyFont="1" applyFill="1" applyBorder="1" applyAlignment="1">
      <alignment horizontal="center" vertical="center" wrapText="1"/>
    </xf>
    <xf numFmtId="2" fontId="3" fillId="4" borderId="42" xfId="3" applyNumberFormat="1" applyFont="1" applyFill="1" applyBorder="1" applyAlignment="1">
      <alignment horizontal="center" vertical="center" wrapText="1"/>
    </xf>
    <xf numFmtId="2" fontId="8" fillId="4" borderId="41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2" fontId="8" fillId="4" borderId="42" xfId="0" applyNumberFormat="1" applyFont="1" applyFill="1" applyBorder="1" applyAlignment="1">
      <alignment horizontal="center" vertical="center" wrapText="1"/>
    </xf>
    <xf numFmtId="2" fontId="2" fillId="0" borderId="43" xfId="3" applyNumberFormat="1" applyFont="1" applyFill="1" applyBorder="1" applyAlignment="1">
      <alignment horizontal="center" vertical="center" wrapText="1"/>
    </xf>
    <xf numFmtId="2" fontId="2" fillId="0" borderId="36" xfId="3" applyNumberFormat="1" applyFont="1" applyFill="1" applyBorder="1" applyAlignment="1">
      <alignment horizontal="center" vertical="center" wrapText="1"/>
    </xf>
    <xf numFmtId="2" fontId="2" fillId="0" borderId="9" xfId="3" applyNumberFormat="1" applyFont="1" applyFill="1" applyBorder="1" applyAlignment="1">
      <alignment horizontal="center" vertical="center" wrapText="1"/>
    </xf>
    <xf numFmtId="2" fontId="2" fillId="0" borderId="21" xfId="3" applyNumberFormat="1" applyFont="1" applyFill="1" applyBorder="1" applyAlignment="1">
      <alignment horizontal="center" vertical="center" wrapText="1"/>
    </xf>
    <xf numFmtId="2" fontId="2" fillId="0" borderId="37" xfId="3" applyNumberFormat="1" applyFont="1" applyFill="1" applyBorder="1" applyAlignment="1">
      <alignment horizontal="center" vertical="center" wrapText="1"/>
    </xf>
    <xf numFmtId="2" fontId="2" fillId="0" borderId="3" xfId="3" applyNumberFormat="1" applyFont="1" applyFill="1" applyBorder="1" applyAlignment="1">
      <alignment horizontal="center" vertical="center" wrapText="1"/>
    </xf>
    <xf numFmtId="2" fontId="2" fillId="0" borderId="2" xfId="3" applyNumberFormat="1" applyFont="1" applyFill="1" applyBorder="1" applyAlignment="1">
      <alignment horizontal="center" vertical="center" wrapText="1"/>
    </xf>
    <xf numFmtId="2" fontId="2" fillId="0" borderId="34" xfId="3" applyNumberFormat="1" applyFont="1" applyFill="1" applyBorder="1" applyAlignment="1">
      <alignment horizontal="center" vertical="center" wrapText="1"/>
    </xf>
    <xf numFmtId="0" fontId="24" fillId="0" borderId="0" xfId="3" applyFont="1" applyFill="1" applyBorder="1" applyAlignment="1">
      <alignment horizontal="left" vertical="top" wrapText="1"/>
    </xf>
    <xf numFmtId="2" fontId="2" fillId="0" borderId="8" xfId="3" applyNumberFormat="1" applyFont="1" applyFill="1" applyBorder="1" applyAlignment="1">
      <alignment horizontal="left" vertical="center"/>
    </xf>
    <xf numFmtId="2" fontId="2" fillId="0" borderId="35" xfId="3" applyNumberFormat="1" applyFont="1" applyFill="1" applyBorder="1" applyAlignment="1">
      <alignment horizontal="left" vertical="center"/>
    </xf>
    <xf numFmtId="2" fontId="2" fillId="0" borderId="36" xfId="3" applyNumberFormat="1" applyFont="1" applyFill="1" applyBorder="1" applyAlignment="1">
      <alignment horizontal="left" vertical="center"/>
    </xf>
    <xf numFmtId="0" fontId="2" fillId="0" borderId="16" xfId="3" applyFont="1" applyFill="1" applyBorder="1" applyAlignment="1">
      <alignment horizontal="left" vertical="top" wrapText="1"/>
    </xf>
    <xf numFmtId="0" fontId="3" fillId="4" borderId="11" xfId="3" applyFont="1" applyFill="1" applyBorder="1" applyAlignment="1">
      <alignment horizontal="center" vertical="center" wrapText="1"/>
    </xf>
    <xf numFmtId="4" fontId="8" fillId="3" borderId="51" xfId="0" applyNumberFormat="1" applyFont="1" applyFill="1" applyBorder="1" applyAlignment="1">
      <alignment horizontal="center" vertical="center" wrapText="1"/>
    </xf>
    <xf numFmtId="4" fontId="3" fillId="0" borderId="25" xfId="2" applyNumberFormat="1" applyFont="1" applyFill="1" applyBorder="1" applyAlignment="1">
      <alignment horizontal="center" vertical="center" wrapText="1"/>
    </xf>
    <xf numFmtId="4" fontId="3" fillId="4" borderId="11" xfId="2" applyNumberFormat="1" applyFont="1" applyFill="1" applyBorder="1" applyAlignment="1">
      <alignment horizontal="center" vertical="center" wrapText="1"/>
    </xf>
    <xf numFmtId="2" fontId="2" fillId="4" borderId="36" xfId="3" applyNumberFormat="1" applyFont="1" applyFill="1" applyBorder="1" applyAlignment="1">
      <alignment horizontal="center" vertical="center" wrapText="1"/>
    </xf>
    <xf numFmtId="2" fontId="2" fillId="0" borderId="7" xfId="3" applyNumberFormat="1" applyFont="1" applyFill="1" applyBorder="1" applyAlignment="1">
      <alignment horizontal="left" vertical="center"/>
    </xf>
    <xf numFmtId="2" fontId="2" fillId="0" borderId="12" xfId="3" applyNumberFormat="1" applyFont="1" applyFill="1" applyBorder="1" applyAlignment="1">
      <alignment horizontal="left" vertical="center"/>
    </xf>
    <xf numFmtId="2" fontId="2" fillId="0" borderId="3" xfId="3" applyNumberFormat="1" applyFont="1" applyFill="1" applyBorder="1" applyAlignment="1">
      <alignment horizontal="left" vertical="center"/>
    </xf>
    <xf numFmtId="0" fontId="3" fillId="0" borderId="10" xfId="3" applyFont="1" applyFill="1" applyBorder="1" applyAlignment="1">
      <alignment horizontal="left" vertical="center" wrapText="1"/>
    </xf>
    <xf numFmtId="0" fontId="3" fillId="0" borderId="5" xfId="3" applyFont="1" applyFill="1" applyBorder="1" applyAlignment="1">
      <alignment horizontal="left" vertical="center" wrapText="1"/>
    </xf>
    <xf numFmtId="0" fontId="3" fillId="0" borderId="11" xfId="3" applyFont="1" applyFill="1" applyBorder="1" applyAlignment="1">
      <alignment horizontal="left" vertical="center" wrapText="1"/>
    </xf>
    <xf numFmtId="2" fontId="3" fillId="4" borderId="19" xfId="3" applyNumberFormat="1" applyFont="1" applyFill="1" applyBorder="1" applyAlignment="1">
      <alignment horizontal="left" vertical="center" wrapText="1"/>
    </xf>
    <xf numFmtId="2" fontId="3" fillId="4" borderId="22" xfId="3" applyNumberFormat="1" applyFont="1" applyFill="1" applyBorder="1" applyAlignment="1">
      <alignment horizontal="left" vertical="center" wrapText="1"/>
    </xf>
    <xf numFmtId="2" fontId="3" fillId="4" borderId="20" xfId="3" applyNumberFormat="1" applyFont="1" applyFill="1" applyBorder="1" applyAlignment="1">
      <alignment horizontal="left" vertical="center" wrapText="1"/>
    </xf>
    <xf numFmtId="0" fontId="11" fillId="0" borderId="7" xfId="3" applyFont="1" applyFill="1" applyBorder="1" applyAlignment="1">
      <alignment horizontal="center" vertical="center" wrapText="1"/>
    </xf>
    <xf numFmtId="0" fontId="11" fillId="0" borderId="12" xfId="3" applyFont="1" applyFill="1" applyBorder="1" applyAlignment="1">
      <alignment horizontal="center" vertical="center" wrapText="1"/>
    </xf>
    <xf numFmtId="0" fontId="11" fillId="0" borderId="3" xfId="3" applyFont="1" applyFill="1" applyBorder="1" applyAlignment="1">
      <alignment horizontal="center" vertical="center" wrapText="1"/>
    </xf>
    <xf numFmtId="0" fontId="3" fillId="0" borderId="24" xfId="3" applyFont="1" applyFill="1" applyBorder="1" applyAlignment="1">
      <alignment horizontal="center" vertical="center" wrapText="1"/>
    </xf>
    <xf numFmtId="0" fontId="3" fillId="0" borderId="27" xfId="3" applyFont="1" applyFill="1" applyBorder="1" applyAlignment="1">
      <alignment horizontal="center" vertical="center" wrapText="1"/>
    </xf>
    <xf numFmtId="0" fontId="3" fillId="0" borderId="26" xfId="3" applyFont="1" applyFill="1" applyBorder="1" applyAlignment="1">
      <alignment horizontal="center" vertical="center" wrapText="1"/>
    </xf>
    <xf numFmtId="0" fontId="11" fillId="0" borderId="0" xfId="3" applyFont="1" applyFill="1" applyBorder="1" applyAlignment="1">
      <alignment horizontal="left" vertical="top" wrapText="1"/>
    </xf>
    <xf numFmtId="2" fontId="2" fillId="4" borderId="46" xfId="3" applyNumberFormat="1" applyFont="1" applyFill="1" applyBorder="1" applyAlignment="1">
      <alignment horizontal="center" vertical="center" wrapText="1"/>
    </xf>
    <xf numFmtId="2" fontId="2" fillId="4" borderId="51" xfId="3" applyNumberFormat="1" applyFont="1" applyFill="1" applyBorder="1" applyAlignment="1">
      <alignment horizontal="center" vertical="center" wrapText="1"/>
    </xf>
    <xf numFmtId="2" fontId="2" fillId="4" borderId="1" xfId="3" applyNumberFormat="1" applyFont="1" applyFill="1" applyBorder="1" applyAlignment="1">
      <alignment horizontal="center" vertical="center" wrapText="1"/>
    </xf>
    <xf numFmtId="2" fontId="2" fillId="4" borderId="47" xfId="3" applyNumberFormat="1" applyFont="1" applyFill="1" applyBorder="1" applyAlignment="1">
      <alignment horizontal="center" vertical="center" wrapText="1"/>
    </xf>
    <xf numFmtId="2" fontId="2" fillId="4" borderId="7" xfId="3" applyNumberFormat="1" applyFont="1" applyFill="1" applyBorder="1" applyAlignment="1">
      <alignment horizontal="left" vertical="center"/>
    </xf>
    <xf numFmtId="2" fontId="2" fillId="4" borderId="12" xfId="3" applyNumberFormat="1" applyFont="1" applyFill="1" applyBorder="1" applyAlignment="1">
      <alignment horizontal="left" vertical="center"/>
    </xf>
    <xf numFmtId="2" fontId="2" fillId="4" borderId="7" xfId="3" applyNumberFormat="1" applyFont="1" applyFill="1" applyBorder="1" applyAlignment="1">
      <alignment horizontal="left" vertical="center" wrapText="1"/>
    </xf>
    <xf numFmtId="2" fontId="2" fillId="4" borderId="12" xfId="3" applyNumberFormat="1" applyFont="1" applyFill="1" applyBorder="1" applyAlignment="1">
      <alignment horizontal="left" vertical="center" wrapText="1"/>
    </xf>
    <xf numFmtId="2" fontId="3" fillId="4" borderId="3" xfId="3" applyNumberFormat="1" applyFont="1" applyFill="1" applyBorder="1" applyAlignment="1">
      <alignment horizontal="center" vertical="center" wrapText="1"/>
    </xf>
    <xf numFmtId="2" fontId="2" fillId="4" borderId="41" xfId="3" applyNumberFormat="1" applyFont="1" applyFill="1" applyBorder="1" applyAlignment="1">
      <alignment horizontal="center" vertical="center"/>
    </xf>
    <xf numFmtId="2" fontId="2" fillId="4" borderId="12" xfId="3" applyNumberFormat="1" applyFont="1" applyFill="1" applyBorder="1" applyAlignment="1">
      <alignment horizontal="center" vertical="center"/>
    </xf>
    <xf numFmtId="2" fontId="2" fillId="4" borderId="42" xfId="3" applyNumberFormat="1" applyFont="1" applyFill="1" applyBorder="1" applyAlignment="1">
      <alignment horizontal="center" vertical="center"/>
    </xf>
    <xf numFmtId="2" fontId="2" fillId="4" borderId="3" xfId="3" applyNumberFormat="1" applyFont="1" applyFill="1" applyBorder="1" applyAlignment="1">
      <alignment horizontal="center" vertical="center"/>
    </xf>
    <xf numFmtId="4" fontId="8" fillId="3" borderId="49" xfId="0" applyNumberFormat="1" applyFont="1" applyFill="1" applyBorder="1" applyAlignment="1">
      <alignment horizontal="center" vertical="center" wrapText="1"/>
    </xf>
    <xf numFmtId="4" fontId="8" fillId="3" borderId="20" xfId="0" applyNumberFormat="1" applyFont="1" applyFill="1" applyBorder="1" applyAlignment="1">
      <alignment horizontal="center" vertical="center" wrapText="1"/>
    </xf>
    <xf numFmtId="4" fontId="8" fillId="3" borderId="38" xfId="0" applyNumberFormat="1" applyFont="1" applyFill="1" applyBorder="1" applyAlignment="1">
      <alignment horizontal="center" vertical="center" wrapText="1"/>
    </xf>
    <xf numFmtId="4" fontId="8" fillId="3" borderId="50" xfId="0" applyNumberFormat="1" applyFont="1" applyFill="1" applyBorder="1" applyAlignment="1">
      <alignment horizontal="center" vertical="center" wrapText="1"/>
    </xf>
    <xf numFmtId="0" fontId="14" fillId="0" borderId="0" xfId="3" applyFont="1" applyFill="1" applyAlignment="1">
      <alignment horizontal="left" vertical="center" wrapText="1"/>
    </xf>
    <xf numFmtId="0" fontId="14" fillId="0" borderId="0" xfId="3" applyFont="1" applyFill="1" applyBorder="1" applyAlignment="1">
      <alignment horizontal="left" vertical="center" wrapText="1"/>
    </xf>
    <xf numFmtId="0" fontId="14" fillId="0" borderId="0" xfId="3" applyFont="1" applyAlignment="1">
      <alignment horizontal="left" vertical="center" wrapText="1"/>
    </xf>
    <xf numFmtId="0" fontId="14" fillId="0" borderId="0" xfId="3" applyFont="1" applyAlignment="1">
      <alignment horizontal="left" vertical="center"/>
    </xf>
    <xf numFmtId="0" fontId="14" fillId="0" borderId="0" xfId="0" applyFont="1" applyFill="1" applyBorder="1" applyAlignment="1">
      <alignment horizontal="left" vertical="center" wrapText="1"/>
    </xf>
    <xf numFmtId="2" fontId="24" fillId="2" borderId="5" xfId="3" applyNumberFormat="1" applyFont="1" applyFill="1" applyBorder="1" applyAlignment="1">
      <alignment horizontal="center" vertical="center" wrapText="1"/>
    </xf>
    <xf numFmtId="2" fontId="24" fillId="2" borderId="6" xfId="3" applyNumberFormat="1" applyFont="1" applyFill="1" applyBorder="1" applyAlignment="1">
      <alignment horizontal="center" vertical="center" wrapText="1"/>
    </xf>
    <xf numFmtId="0" fontId="14" fillId="0" borderId="0" xfId="3" applyFont="1" applyFill="1" applyAlignment="1">
      <alignment horizontal="left" vertical="top" wrapText="1"/>
    </xf>
  </cellXfs>
  <cellStyles count="311">
    <cellStyle name="0,0_x000d__x000a_NA_x000d__x000a_" xfId="95"/>
    <cellStyle name="Excel Built-in Normal" xfId="135"/>
    <cellStyle name="Line_ItemId" xfId="136"/>
    <cellStyle name="Normal 2" xfId="307"/>
    <cellStyle name="Обычный" xfId="0" builtinId="0"/>
    <cellStyle name="Обычный 10" xfId="16"/>
    <cellStyle name="Обычный 10 10 4" xfId="309"/>
    <cellStyle name="Обычный 10 12" xfId="25"/>
    <cellStyle name="Обычный 10 2" xfId="181"/>
    <cellStyle name="Обычный 10 2 2" xfId="240"/>
    <cellStyle name="Обычный 10 2 2 2" xfId="283"/>
    <cellStyle name="Обычный 10 2 3" xfId="226"/>
    <cellStyle name="Обычный 10 2 3 2" xfId="287"/>
    <cellStyle name="Обычный 10 2 4" xfId="211"/>
    <cellStyle name="Обычный 10 2 5" xfId="190"/>
    <cellStyle name="Обычный 10 3" xfId="236"/>
    <cellStyle name="Обычный 10 4" xfId="299"/>
    <cellStyle name="Обычный 11" xfId="184"/>
    <cellStyle name="Обычный 11 2" xfId="238"/>
    <cellStyle name="Обычный 11 3" xfId="227"/>
    <cellStyle name="Обычный 12" xfId="180"/>
    <cellStyle name="Обычный 12 2" xfId="210"/>
    <cellStyle name="Обычный 12 3" xfId="201"/>
    <cellStyle name="Обычный 12 4" xfId="272"/>
    <cellStyle name="Обычный 13" xfId="183"/>
    <cellStyle name="Обычный 13 2" xfId="213"/>
    <cellStyle name="Обычный 13 3" xfId="203"/>
    <cellStyle name="Обычный 13 4" xfId="274"/>
    <cellStyle name="Обычный 14" xfId="26"/>
    <cellStyle name="Обычный 15" xfId="187"/>
    <cellStyle name="Обычный 16" xfId="196"/>
    <cellStyle name="Обычный 16 2" xfId="249"/>
    <cellStyle name="Обычный 16 3" xfId="245"/>
    <cellStyle name="Обычный 17" xfId="235"/>
    <cellStyle name="Обычный 17 2" xfId="247"/>
    <cellStyle name="Обычный 18" xfId="246"/>
    <cellStyle name="Обычный 19" xfId="258"/>
    <cellStyle name="Обычный 2" xfId="8"/>
    <cellStyle name="Обычный 2 10" xfId="269"/>
    <cellStyle name="Обычный 2 2" xfId="10"/>
    <cellStyle name="Обычный 2 2 2" xfId="15"/>
    <cellStyle name="Обычный 2 2 3" xfId="186"/>
    <cellStyle name="Обычный 2 2 3 2" xfId="264"/>
    <cellStyle name="Обычный 2 2 3 2 2" xfId="290"/>
    <cellStyle name="Обычный 2 2 3 3" xfId="188"/>
    <cellStyle name="Обычный 2 2 3 3 2" xfId="289"/>
    <cellStyle name="Обычный 2 2 3 4" xfId="275"/>
    <cellStyle name="Обычный 2 2 4" xfId="229"/>
    <cellStyle name="Обычный 2 2 5" xfId="215"/>
    <cellStyle name="Обычный 2 3" xfId="21"/>
    <cellStyle name="Обычный 2 3 2" xfId="64"/>
    <cellStyle name="Обычный 2 3 3" xfId="35"/>
    <cellStyle name="Обычный 2 3 3 2" xfId="242"/>
    <cellStyle name="Обычный 2 3 3 3" xfId="205"/>
    <cellStyle name="Обычный 2 3 3 4" xfId="193"/>
    <cellStyle name="Обычный 2 3 4" xfId="231"/>
    <cellStyle name="Обычный 2 3 4 2" xfId="282"/>
    <cellStyle name="Обычный 2 3 5" xfId="221"/>
    <cellStyle name="Обычный 2 4" xfId="11"/>
    <cellStyle name="Обычный 2 4 2" xfId="32"/>
    <cellStyle name="Обычный 2 4 3" xfId="252"/>
    <cellStyle name="Обычный 2 4 4" xfId="199"/>
    <cellStyle name="Обычный 2 5" xfId="65"/>
    <cellStyle name="Обычный 2 6" xfId="66"/>
    <cellStyle name="Обычный 2 7" xfId="27"/>
    <cellStyle name="Обычный 2 8" xfId="250"/>
    <cellStyle name="Обычный 2 9" xfId="197"/>
    <cellStyle name="Обычный 2 9 2" xfId="298"/>
    <cellStyle name="Обычный 2_УДК; УКПГ" xfId="1"/>
    <cellStyle name="Обычный 20" xfId="305"/>
    <cellStyle name="Обычный 21" xfId="310"/>
    <cellStyle name="Обычный 3" xfId="20"/>
    <cellStyle name="Обычный 3 2" xfId="13"/>
    <cellStyle name="Обычный 3 2 2" xfId="67"/>
    <cellStyle name="Обычный 3 2 2 2" xfId="239"/>
    <cellStyle name="Обычный 3 2 2 3" xfId="209"/>
    <cellStyle name="Обычный 3 2 2 4" xfId="189"/>
    <cellStyle name="Обычный 3 2 3" xfId="255"/>
    <cellStyle name="Обычный 3 3" xfId="39"/>
    <cellStyle name="Обычный 3 4" xfId="33"/>
    <cellStyle name="Обычный 3 4 2" xfId="260"/>
    <cellStyle name="Обычный 3 5" xfId="185"/>
    <cellStyle name="Обычный 3 5 2" xfId="263"/>
    <cellStyle name="Обычный 3 5 2 2" xfId="291"/>
    <cellStyle name="Обычный 3 5 3" xfId="192"/>
    <cellStyle name="Обычный 3 5 3 2" xfId="288"/>
    <cellStyle name="Обычный 3 5 4" xfId="276"/>
    <cellStyle name="Обычный 3 6" xfId="228"/>
    <cellStyle name="Обычный 3 7" xfId="214"/>
    <cellStyle name="Обычный 3_УДК; УКПГ" xfId="68"/>
    <cellStyle name="Обычный 4" xfId="22"/>
    <cellStyle name="Обычный 4 10" xfId="308"/>
    <cellStyle name="Обычный 4 2" xfId="30"/>
    <cellStyle name="Обычный 4 3" xfId="98"/>
    <cellStyle name="Обычный 4 4" xfId="69"/>
    <cellStyle name="Обычный 4 5" xfId="34"/>
    <cellStyle name="Обычный 4 6" xfId="28"/>
    <cellStyle name="Обычный 4 6 2" xfId="243"/>
    <cellStyle name="Обычный 4 6 3" xfId="204"/>
    <cellStyle name="Обычный 4 6 4" xfId="194"/>
    <cellStyle name="Обычный 4 7" xfId="253"/>
    <cellStyle name="Обычный 4 8" xfId="294"/>
    <cellStyle name="Обычный 4 9" xfId="306"/>
    <cellStyle name="Обычный 5" xfId="12"/>
    <cellStyle name="Обычный 5 2" xfId="14"/>
    <cellStyle name="Обычный 5 3" xfId="29"/>
    <cellStyle name="Обычный 5 4" xfId="296"/>
    <cellStyle name="Обычный 6" xfId="23"/>
    <cellStyle name="Обычный 6 2" xfId="222"/>
    <cellStyle name="Обычный 6 2 2" xfId="297"/>
    <cellStyle name="Обычный 6 3" xfId="230"/>
    <cellStyle name="Обычный 6 3 2" xfId="278"/>
    <cellStyle name="Обычный 6 4" xfId="217"/>
    <cellStyle name="Обычный 7" xfId="9"/>
    <cellStyle name="Обычный 7 2" xfId="70"/>
    <cellStyle name="Обычный 7 2 2" xfId="223"/>
    <cellStyle name="Обычный 7 2 2 2" xfId="256"/>
    <cellStyle name="Обычный 7 2 3" xfId="265"/>
    <cellStyle name="Обычный 7 3" xfId="234"/>
    <cellStyle name="Обычный 7 3 2" xfId="257"/>
    <cellStyle name="Обычный 7 3 3" xfId="279"/>
    <cellStyle name="Обычный 7 4" xfId="218"/>
    <cellStyle name="Обычный 7 4 2" xfId="251"/>
    <cellStyle name="Обычный 7 5" xfId="198"/>
    <cellStyle name="Обычный 7 6" xfId="270"/>
    <cellStyle name="Обычный 7 6 2" xfId="293"/>
    <cellStyle name="Обычный 7 7" xfId="268"/>
    <cellStyle name="Обычный 7 8" xfId="267"/>
    <cellStyle name="Обычный 7 9" xfId="301"/>
    <cellStyle name="Обычный 8" xfId="36"/>
    <cellStyle name="Обычный 8 2" xfId="206"/>
    <cellStyle name="Обычный 8 2 2" xfId="224"/>
    <cellStyle name="Обычный 8 3" xfId="232"/>
    <cellStyle name="Обычный 8 3 2" xfId="280"/>
    <cellStyle name="Обычный 8 4" xfId="219"/>
    <cellStyle name="Обычный 8 5" xfId="200"/>
    <cellStyle name="Обычный 8 6" xfId="271"/>
    <cellStyle name="Обычный 86" xfId="266"/>
    <cellStyle name="Обычный 9" xfId="182"/>
    <cellStyle name="Обычный 9 2" xfId="212"/>
    <cellStyle name="Обычный 9 2 2" xfId="225"/>
    <cellStyle name="Обычный 9 2 27" xfId="292"/>
    <cellStyle name="Обычный 9 3" xfId="237"/>
    <cellStyle name="Обычный 9 3 2" xfId="281"/>
    <cellStyle name="Обычный 9 4" xfId="220"/>
    <cellStyle name="Обычный 9 5" xfId="202"/>
    <cellStyle name="Обычный 9 6" xfId="273"/>
    <cellStyle name="Обычный_ПРОТОКОЛЫ от 29.10.2008" xfId="6"/>
    <cellStyle name="Обычный_ПРОТОКОЛЫ часть1 на 16.10.2008 " xfId="7"/>
    <cellStyle name="Обычный_Цех переработки бурового шлама_1" xfId="4"/>
    <cellStyle name="Пояснение 2" xfId="259"/>
    <cellStyle name="Пояснение 3" xfId="262"/>
    <cellStyle name="Стиль 1" xfId="3"/>
    <cellStyle name="Тысячи [0]_Перечень БД" xfId="17"/>
    <cellStyle name="Тысячи_Перечень БД" xfId="18"/>
    <cellStyle name="Финансовый 10" xfId="38"/>
    <cellStyle name="Финансовый 10 2" xfId="124"/>
    <cellStyle name="Финансовый 10 3" xfId="151"/>
    <cellStyle name="Финансовый 10 4" xfId="115"/>
    <cellStyle name="Финансовый 11" xfId="106"/>
    <cellStyle name="Финансовый 11 2" xfId="134"/>
    <cellStyle name="Финансовый 11 3" xfId="161"/>
    <cellStyle name="Финансовый 11 4" xfId="169"/>
    <cellStyle name="Финансовый 11 5" xfId="174"/>
    <cellStyle name="Финансовый 11 6" xfId="179"/>
    <cellStyle name="Финансовый 12" xfId="105"/>
    <cellStyle name="Финансовый 12 2" xfId="137"/>
    <cellStyle name="Финансовый 12 3" xfId="162"/>
    <cellStyle name="Финансовый 13" xfId="142"/>
    <cellStyle name="Финансовый 14" xfId="116"/>
    <cellStyle name="Финансовый 15" xfId="97"/>
    <cellStyle name="Финансовый 16" xfId="37"/>
    <cellStyle name="Финансовый 16 2" xfId="143"/>
    <cellStyle name="Финансовый 17" xfId="96"/>
    <cellStyle name="Финансовый 18" xfId="56"/>
    <cellStyle name="Финансовый 19" xfId="48"/>
    <cellStyle name="Финансовый 2" xfId="19"/>
    <cellStyle name="Финансовый 2 10" xfId="71"/>
    <cellStyle name="Финансовый 2 11" xfId="57"/>
    <cellStyle name="Финансовый 2 12" xfId="49"/>
    <cellStyle name="Финансовый 2 13" xfId="165"/>
    <cellStyle name="Финансовый 2 14" xfId="170"/>
    <cellStyle name="Финансовый 2 15" xfId="175"/>
    <cellStyle name="Финансовый 2 16" xfId="41"/>
    <cellStyle name="Финансовый 2 16 2" xfId="241"/>
    <cellStyle name="Финансовый 2 16 3" xfId="207"/>
    <cellStyle name="Финансовый 2 16 4" xfId="191"/>
    <cellStyle name="Финансовый 2 17" xfId="233"/>
    <cellStyle name="Финансовый 2 17 2" xfId="277"/>
    <cellStyle name="Финансовый 2 18" xfId="216"/>
    <cellStyle name="Финансовый 2 18 2" xfId="295"/>
    <cellStyle name="Финансовый 2 2" xfId="43"/>
    <cellStyle name="Финансовый 2 2 2" xfId="73"/>
    <cellStyle name="Финансовый 2 2 2 2" xfId="74"/>
    <cellStyle name="Финансовый 2 2 3" xfId="72"/>
    <cellStyle name="Финансовый 2 2 4" xfId="59"/>
    <cellStyle name="Финансовый 2 2 5" xfId="51"/>
    <cellStyle name="Финансовый 2 2 6" xfId="261"/>
    <cellStyle name="Финансовый 2 3" xfId="46"/>
    <cellStyle name="Финансовый 2 3 10" xfId="54"/>
    <cellStyle name="Финансовый 2 3 11" xfId="166"/>
    <cellStyle name="Финансовый 2 3 12" xfId="171"/>
    <cellStyle name="Финансовый 2 3 13" xfId="176"/>
    <cellStyle name="Финансовый 2 3 2" xfId="109"/>
    <cellStyle name="Финансовый 2 3 2 2" xfId="126"/>
    <cellStyle name="Финансовый 2 3 2 3" xfId="153"/>
    <cellStyle name="Финансовый 2 3 3" xfId="131"/>
    <cellStyle name="Финансовый 2 3 3 2" xfId="158"/>
    <cellStyle name="Финансовый 2 3 4" xfId="139"/>
    <cellStyle name="Финансовый 2 3 5" xfId="118"/>
    <cellStyle name="Финансовый 2 3 6" xfId="100"/>
    <cellStyle name="Финансовый 2 3 7" xfId="145"/>
    <cellStyle name="Финансовый 2 3 8" xfId="75"/>
    <cellStyle name="Финансовый 2 3 9" xfId="62"/>
    <cellStyle name="Финансовый 2 4" xfId="47"/>
    <cellStyle name="Финансовый 2 4 2" xfId="125"/>
    <cellStyle name="Финансовый 2 4 3" xfId="152"/>
    <cellStyle name="Финансовый 2 4 4" xfId="108"/>
    <cellStyle name="Финансовый 2 4 5" xfId="63"/>
    <cellStyle name="Финансовый 2 4 6" xfId="55"/>
    <cellStyle name="Финансовый 2 5" xfId="130"/>
    <cellStyle name="Финансовый 2 5 2" xfId="157"/>
    <cellStyle name="Финансовый 2 6" xfId="138"/>
    <cellStyle name="Финансовый 2 7" xfId="117"/>
    <cellStyle name="Финансовый 2 8" xfId="99"/>
    <cellStyle name="Финансовый 2 9" xfId="144"/>
    <cellStyle name="Финансовый 2_протокол 100-2 испр." xfId="76"/>
    <cellStyle name="Финансовый 2_УДК; УКПГ" xfId="2"/>
    <cellStyle name="Финансовый 20" xfId="40"/>
    <cellStyle name="Финансовый 21" xfId="31"/>
    <cellStyle name="Финансовый 22" xfId="248"/>
    <cellStyle name="Финансовый 23" xfId="284"/>
    <cellStyle name="Финансовый 24" xfId="285"/>
    <cellStyle name="Финансовый 25" xfId="286"/>
    <cellStyle name="Финансовый 26" xfId="300"/>
    <cellStyle name="Финансовый 27" xfId="303"/>
    <cellStyle name="Финансовый 28" xfId="304"/>
    <cellStyle name="Финансовый 29" xfId="302"/>
    <cellStyle name="Финансовый 3" xfId="24"/>
    <cellStyle name="Финансовый 3 2" xfId="78"/>
    <cellStyle name="Финансовый 3 3" xfId="77"/>
    <cellStyle name="Финансовый 3 4" xfId="58"/>
    <cellStyle name="Финансовый 3 5" xfId="50"/>
    <cellStyle name="Финансовый 3 6" xfId="42"/>
    <cellStyle name="Финансовый 3 6 2" xfId="244"/>
    <cellStyle name="Финансовый 3 6 3" xfId="208"/>
    <cellStyle name="Финансовый 3 6 4" xfId="195"/>
    <cellStyle name="Финансовый 3 7" xfId="254"/>
    <cellStyle name="Финансовый 4" xfId="45"/>
    <cellStyle name="Финансовый 4 2" xfId="80"/>
    <cellStyle name="Финансовый 4 2 2" xfId="81"/>
    <cellStyle name="Финансовый 4 2 2 2" xfId="82"/>
    <cellStyle name="Финансовый 4 2 2 3" xfId="83"/>
    <cellStyle name="Финансовый 4 2 2 4" xfId="84"/>
    <cellStyle name="Финансовый 4 2 2 5" xfId="85"/>
    <cellStyle name="Финансовый 4 2 2 5 2" xfId="110"/>
    <cellStyle name="Финансовый 4 2 2 5 3" xfId="119"/>
    <cellStyle name="Финансовый 4 2 2 5 4" xfId="101"/>
    <cellStyle name="Финансовый 4 2 2 5 5" xfId="146"/>
    <cellStyle name="Финансовый 4 2 2_УДК; УКПГ" xfId="86"/>
    <cellStyle name="Финансовый 4 2 2_Цех турбодетандоровl Аналитика+протоколы" xfId="5"/>
    <cellStyle name="Финансовый 4 2 3" xfId="87"/>
    <cellStyle name="Финансовый 4 2 3 2" xfId="88"/>
    <cellStyle name="Финансовый 4 2_УДК; УКПГ" xfId="89"/>
    <cellStyle name="Финансовый 4 3" xfId="90"/>
    <cellStyle name="Финансовый 4 4" xfId="79"/>
    <cellStyle name="Финансовый 4 5" xfId="61"/>
    <cellStyle name="Финансовый 4 6" xfId="163"/>
    <cellStyle name="Финансовый 4 7" xfId="53"/>
    <cellStyle name="Финансовый 4 8" xfId="164"/>
    <cellStyle name="Финансовый 4_электрика" xfId="91"/>
    <cellStyle name="Финансовый 5" xfId="44"/>
    <cellStyle name="Финансовый 5 2" xfId="111"/>
    <cellStyle name="Финансовый 5 3" xfId="120"/>
    <cellStyle name="Финансовый 5 4" xfId="102"/>
    <cellStyle name="Финансовый 5 5" xfId="147"/>
    <cellStyle name="Финансовый 5 6" xfId="92"/>
    <cellStyle name="Финансовый 5 7" xfId="60"/>
    <cellStyle name="Финансовый 5 8" xfId="52"/>
    <cellStyle name="Финансовый 6" xfId="93"/>
    <cellStyle name="Финансовый 6 10" xfId="177"/>
    <cellStyle name="Финансовый 6 2" xfId="112"/>
    <cellStyle name="Финансовый 6 2 2" xfId="127"/>
    <cellStyle name="Финансовый 6 2 3" xfId="154"/>
    <cellStyle name="Финансовый 6 3" xfId="132"/>
    <cellStyle name="Финансовый 6 3 2" xfId="159"/>
    <cellStyle name="Финансовый 6 4" xfId="140"/>
    <cellStyle name="Финансовый 6 5" xfId="121"/>
    <cellStyle name="Финансовый 6 6" xfId="103"/>
    <cellStyle name="Финансовый 6 7" xfId="148"/>
    <cellStyle name="Финансовый 6 8" xfId="167"/>
    <cellStyle name="Финансовый 6 9" xfId="172"/>
    <cellStyle name="Финансовый 7" xfId="94"/>
    <cellStyle name="Финансовый 7 10" xfId="178"/>
    <cellStyle name="Финансовый 7 2" xfId="113"/>
    <cellStyle name="Финансовый 7 2 2" xfId="128"/>
    <cellStyle name="Финансовый 7 2 3" xfId="155"/>
    <cellStyle name="Финансовый 7 3" xfId="133"/>
    <cellStyle name="Финансовый 7 3 2" xfId="160"/>
    <cellStyle name="Финансовый 7 4" xfId="141"/>
    <cellStyle name="Финансовый 7 5" xfId="122"/>
    <cellStyle name="Финансовый 7 6" xfId="104"/>
    <cellStyle name="Финансовый 7 7" xfId="149"/>
    <cellStyle name="Финансовый 7 8" xfId="168"/>
    <cellStyle name="Финансовый 7 9" xfId="173"/>
    <cellStyle name="Финансовый 8" xfId="114"/>
    <cellStyle name="Финансовый 8 2" xfId="123"/>
    <cellStyle name="Финансовый 8 3" xfId="150"/>
    <cellStyle name="Финансовый 9" xfId="107"/>
    <cellStyle name="Финансовый 9 2" xfId="129"/>
    <cellStyle name="Финансовый 9 3" xfId="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15875</xdr:colOff>
      <xdr:row>50</xdr:row>
      <xdr:rowOff>47625</xdr:rowOff>
    </xdr:from>
    <xdr:to>
      <xdr:col>19</xdr:col>
      <xdr:colOff>417828</xdr:colOff>
      <xdr:row>69</xdr:row>
      <xdr:rowOff>15304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D92EBAB-64B3-4E4C-9439-6C2F8396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250" y="221154625"/>
          <a:ext cx="10171428" cy="4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V52"/>
  <sheetViews>
    <sheetView topLeftCell="W1" zoomScale="70" zoomScaleNormal="70" zoomScaleSheetLayoutView="70" workbookViewId="0">
      <selection activeCell="W40" sqref="W40:AA40"/>
    </sheetView>
  </sheetViews>
  <sheetFormatPr defaultColWidth="9.109375" defaultRowHeight="13.2"/>
  <cols>
    <col min="1" max="1" width="4.5546875" style="98" customWidth="1"/>
    <col min="2" max="2" width="6.5546875" style="8" customWidth="1"/>
    <col min="3" max="3" width="15.6640625" style="8" customWidth="1"/>
    <col min="4" max="4" width="25.109375" style="8" customWidth="1"/>
    <col min="5" max="5" width="35.88671875" style="8" customWidth="1"/>
    <col min="6" max="6" width="44.6640625" style="8" customWidth="1"/>
    <col min="7" max="7" width="9.88671875" style="8" customWidth="1"/>
    <col min="8" max="8" width="32.109375" style="8" customWidth="1"/>
    <col min="9" max="9" width="27.109375" style="76" bestFit="1" customWidth="1"/>
    <col min="10" max="10" width="16.109375" style="76" bestFit="1" customWidth="1"/>
    <col min="11" max="11" width="7.5546875" style="14" customWidth="1"/>
    <col min="12" max="12" width="9.109375" style="14" customWidth="1"/>
    <col min="13" max="13" width="7.5546875" style="14" customWidth="1"/>
    <col min="14" max="14" width="12.109375" style="15" customWidth="1"/>
    <col min="15" max="15" width="33" style="101" customWidth="1"/>
    <col min="16" max="16" width="15.44140625" style="100" customWidth="1"/>
    <col min="17" max="17" width="18.6640625" style="102" customWidth="1"/>
    <col min="18" max="18" width="29.6640625" style="15" bestFit="1" customWidth="1"/>
    <col min="19" max="19" width="25.6640625" style="101" bestFit="1" customWidth="1"/>
    <col min="20" max="20" width="15.109375" style="101" customWidth="1"/>
    <col min="21" max="21" width="15.44140625" style="12" customWidth="1"/>
    <col min="22" max="22" width="18.6640625" style="16" customWidth="1"/>
    <col min="23" max="23" width="29.6640625" style="102" bestFit="1" customWidth="1"/>
    <col min="24" max="24" width="25.6640625" style="102" bestFit="1" customWidth="1"/>
    <col min="25" max="25" width="15.109375" style="102" customWidth="1"/>
    <col min="26" max="26" width="15.33203125" style="102" customWidth="1"/>
    <col min="27" max="27" width="15.44140625" style="102" customWidth="1"/>
    <col min="28" max="28" width="29.6640625" style="102" bestFit="1" customWidth="1"/>
    <col min="29" max="29" width="25.6640625" style="102" bestFit="1" customWidth="1"/>
    <col min="30" max="30" width="15.109375" style="102" customWidth="1"/>
    <col min="31" max="31" width="15.44140625" style="102" customWidth="1"/>
    <col min="32" max="32" width="18.6640625" style="102" customWidth="1"/>
    <col min="33" max="33" width="29.6640625" style="16" bestFit="1" customWidth="1"/>
    <col min="34" max="35" width="12.44140625" style="102" customWidth="1"/>
    <col min="36" max="36" width="16.109375" style="12" customWidth="1"/>
    <col min="37" max="37" width="17" style="16" customWidth="1"/>
    <col min="38" max="38" width="13.109375" style="13" customWidth="1"/>
    <col min="39" max="39" width="25.33203125" style="8" customWidth="1"/>
    <col min="40" max="40" width="12.5546875" style="8" customWidth="1"/>
    <col min="41" max="41" width="14.88671875" style="8" customWidth="1"/>
    <col min="42" max="16384" width="9.109375" style="8"/>
  </cols>
  <sheetData>
    <row r="1" spans="2:48" s="7" customFormat="1" ht="20.25" customHeight="1">
      <c r="B1" s="2"/>
      <c r="C1" s="1"/>
      <c r="D1" s="1"/>
      <c r="E1" s="1"/>
      <c r="F1" s="1"/>
      <c r="G1" s="1"/>
      <c r="H1" s="1"/>
      <c r="I1" s="2"/>
      <c r="J1" s="3"/>
      <c r="K1" s="3"/>
      <c r="L1" s="3"/>
      <c r="M1" s="3"/>
      <c r="N1" s="4"/>
      <c r="O1" s="96"/>
      <c r="P1" s="6"/>
      <c r="Q1" s="106"/>
      <c r="R1" s="4"/>
      <c r="S1" s="96"/>
      <c r="T1" s="96"/>
      <c r="U1" s="6"/>
      <c r="V1" s="28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28"/>
      <c r="AH1" s="106"/>
      <c r="AI1" s="106"/>
      <c r="AJ1" s="6"/>
      <c r="AK1" s="28" t="s">
        <v>23</v>
      </c>
      <c r="AL1" s="6"/>
      <c r="AM1" s="6"/>
      <c r="AN1" s="6"/>
      <c r="AO1" s="6"/>
      <c r="AP1" s="6"/>
      <c r="AQ1" s="6"/>
      <c r="AR1" s="6"/>
      <c r="AS1" s="6"/>
      <c r="AT1" s="6"/>
      <c r="AU1" s="5"/>
      <c r="AV1" s="5"/>
    </row>
    <row r="2" spans="2:48" ht="14.25" customHeight="1">
      <c r="J2" s="9"/>
      <c r="K2" s="10"/>
      <c r="L2" s="10"/>
      <c r="M2" s="10"/>
      <c r="N2" s="11"/>
      <c r="O2" s="99"/>
      <c r="Q2" s="97"/>
      <c r="R2" s="11"/>
      <c r="S2" s="99"/>
      <c r="T2" s="99"/>
      <c r="V2" s="5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5"/>
      <c r="AH2" s="97"/>
      <c r="AI2" s="97"/>
      <c r="AK2" s="126" t="s">
        <v>68</v>
      </c>
    </row>
    <row r="3" spans="2:48" ht="18.75" customHeight="1" thickBot="1">
      <c r="B3" s="27" t="s">
        <v>167</v>
      </c>
      <c r="C3" s="26"/>
      <c r="D3" s="26"/>
      <c r="E3" s="26"/>
      <c r="F3" s="26"/>
      <c r="G3" s="26"/>
      <c r="H3" s="26"/>
      <c r="I3" s="26"/>
      <c r="J3" s="26"/>
      <c r="K3" s="26"/>
      <c r="L3" s="105"/>
      <c r="M3" s="105"/>
      <c r="N3" s="26"/>
      <c r="O3" s="105"/>
      <c r="P3" s="105"/>
      <c r="Q3" s="105"/>
      <c r="R3" s="26"/>
      <c r="S3" s="105"/>
      <c r="T3" s="105"/>
      <c r="U3" s="26"/>
      <c r="V3" s="26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26"/>
      <c r="AH3" s="105"/>
      <c r="AI3" s="105"/>
      <c r="AJ3" s="26"/>
      <c r="AK3" s="26"/>
    </row>
    <row r="4" spans="2:48" ht="50.25" customHeight="1" thickBot="1">
      <c r="B4" s="370" t="s">
        <v>69</v>
      </c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281" t="s">
        <v>185</v>
      </c>
      <c r="P4" s="282"/>
      <c r="Q4" s="283"/>
      <c r="R4" s="281" t="s">
        <v>142</v>
      </c>
      <c r="S4" s="371"/>
      <c r="T4" s="282"/>
      <c r="U4" s="282"/>
      <c r="V4" s="283"/>
      <c r="W4" s="337" t="s">
        <v>83</v>
      </c>
      <c r="X4" s="338"/>
      <c r="Y4" s="338"/>
      <c r="Z4" s="338"/>
      <c r="AA4" s="339"/>
      <c r="AB4" s="338" t="s">
        <v>85</v>
      </c>
      <c r="AC4" s="338"/>
      <c r="AD4" s="338"/>
      <c r="AE4" s="338"/>
      <c r="AF4" s="339"/>
      <c r="AG4" s="337" t="s">
        <v>189</v>
      </c>
      <c r="AH4" s="338"/>
      <c r="AI4" s="338"/>
      <c r="AJ4" s="338"/>
      <c r="AK4" s="339"/>
    </row>
    <row r="5" spans="2:48" ht="57.75" customHeight="1">
      <c r="B5" s="87" t="s">
        <v>0</v>
      </c>
      <c r="C5" s="88" t="s">
        <v>55</v>
      </c>
      <c r="D5" s="88" t="s">
        <v>52</v>
      </c>
      <c r="E5" s="88" t="s">
        <v>57</v>
      </c>
      <c r="F5" s="88" t="s">
        <v>9</v>
      </c>
      <c r="G5" s="88" t="s">
        <v>53</v>
      </c>
      <c r="H5" s="88" t="s">
        <v>54</v>
      </c>
      <c r="I5" s="88" t="s">
        <v>1</v>
      </c>
      <c r="J5" s="88" t="s">
        <v>2</v>
      </c>
      <c r="K5" s="88" t="s">
        <v>3</v>
      </c>
      <c r="L5" s="178" t="s">
        <v>70</v>
      </c>
      <c r="M5" s="190" t="s">
        <v>73</v>
      </c>
      <c r="N5" s="259" t="s">
        <v>74</v>
      </c>
      <c r="O5" s="169" t="s">
        <v>51</v>
      </c>
      <c r="P5" s="171" t="s">
        <v>4</v>
      </c>
      <c r="Q5" s="201" t="s">
        <v>5</v>
      </c>
      <c r="R5" s="169" t="s">
        <v>51</v>
      </c>
      <c r="S5" s="226" t="s">
        <v>76</v>
      </c>
      <c r="T5" s="170" t="s">
        <v>82</v>
      </c>
      <c r="U5" s="171" t="s">
        <v>4</v>
      </c>
      <c r="V5" s="201" t="s">
        <v>5</v>
      </c>
      <c r="W5" s="205" t="s">
        <v>51</v>
      </c>
      <c r="X5" s="239" t="s">
        <v>76</v>
      </c>
      <c r="Y5" s="203" t="s">
        <v>82</v>
      </c>
      <c r="Z5" s="204" t="s">
        <v>4</v>
      </c>
      <c r="AA5" s="206" t="s">
        <v>5</v>
      </c>
      <c r="AB5" s="186" t="s">
        <v>51</v>
      </c>
      <c r="AC5" s="186" t="s">
        <v>76</v>
      </c>
      <c r="AD5" s="89" t="s">
        <v>82</v>
      </c>
      <c r="AE5" s="90" t="s">
        <v>4</v>
      </c>
      <c r="AF5" s="91" t="s">
        <v>5</v>
      </c>
      <c r="AG5" s="140" t="s">
        <v>51</v>
      </c>
      <c r="AH5" s="186" t="s">
        <v>3</v>
      </c>
      <c r="AI5" s="89" t="s">
        <v>64</v>
      </c>
      <c r="AJ5" s="92" t="s">
        <v>4</v>
      </c>
      <c r="AK5" s="91" t="s">
        <v>5</v>
      </c>
    </row>
    <row r="6" spans="2:48" s="98" customFormat="1" ht="48.75" customHeight="1">
      <c r="B6" s="260">
        <v>1</v>
      </c>
      <c r="C6" s="224" t="s">
        <v>110</v>
      </c>
      <c r="D6" s="225" t="s">
        <v>111</v>
      </c>
      <c r="E6" s="213" t="s">
        <v>89</v>
      </c>
      <c r="F6" s="207" t="s">
        <v>112</v>
      </c>
      <c r="G6" s="238" t="s">
        <v>113</v>
      </c>
      <c r="H6" s="207" t="s">
        <v>114</v>
      </c>
      <c r="I6" s="208" t="s">
        <v>115</v>
      </c>
      <c r="J6" s="208" t="s">
        <v>116</v>
      </c>
      <c r="K6" s="207" t="s">
        <v>93</v>
      </c>
      <c r="L6" s="229">
        <v>16</v>
      </c>
      <c r="M6" s="207">
        <v>3.3</v>
      </c>
      <c r="N6" s="261">
        <f t="shared" ref="N6:N24" si="0">M6*L6/1000</f>
        <v>5.28E-2</v>
      </c>
      <c r="O6" s="209" t="s">
        <v>168</v>
      </c>
      <c r="P6" s="210">
        <v>2800</v>
      </c>
      <c r="Q6" s="202">
        <f t="shared" ref="Q6:Q24" si="1">ROUND(P6*L6,2)</f>
        <v>44800</v>
      </c>
      <c r="R6" s="209" t="s">
        <v>115</v>
      </c>
      <c r="S6" s="227" t="s">
        <v>116</v>
      </c>
      <c r="T6" s="244" t="s">
        <v>143</v>
      </c>
      <c r="U6" s="210">
        <f t="shared" ref="U6:U24" si="2">ROUND(T6/1.2,2)</f>
        <v>3326.38</v>
      </c>
      <c r="V6" s="202">
        <f t="shared" ref="V6:V24" si="3">ROUND(U6*L6,2)</f>
        <v>53222.080000000002</v>
      </c>
      <c r="W6" s="142" t="s">
        <v>115</v>
      </c>
      <c r="X6" s="240" t="s">
        <v>116</v>
      </c>
      <c r="Y6" s="139">
        <v>3471</v>
      </c>
      <c r="Z6" s="139">
        <f t="shared" ref="Z6:Z24" si="4">ROUND(Y6/1.2,2)</f>
        <v>2892.5</v>
      </c>
      <c r="AA6" s="141">
        <f t="shared" ref="AA6:AA24" si="5">ROUND(Z6*L6,2)</f>
        <v>46280</v>
      </c>
      <c r="AB6" s="211" t="s">
        <v>115</v>
      </c>
      <c r="AC6" s="211" t="s">
        <v>116</v>
      </c>
      <c r="AD6" s="139">
        <v>3852.81</v>
      </c>
      <c r="AE6" s="212">
        <f t="shared" ref="AE6:AE24" si="6">ROUND(AD6/1.2,2)</f>
        <v>3210.68</v>
      </c>
      <c r="AF6" s="141">
        <f t="shared" ref="AF6:AF24" si="7">ROUND(AE6*L6,2)</f>
        <v>51370.879999999997</v>
      </c>
      <c r="AG6" s="245" t="str">
        <f>O6</f>
        <v>Пластина Ф-4 20x250x300 мм</v>
      </c>
      <c r="AH6" s="246" t="str">
        <f t="shared" ref="AH6:AH24" si="8">K6</f>
        <v>шт.</v>
      </c>
      <c r="AI6" s="246">
        <f t="shared" ref="AI6:AI24" si="9">L6</f>
        <v>16</v>
      </c>
      <c r="AJ6" s="139">
        <f>P6</f>
        <v>2800</v>
      </c>
      <c r="AK6" s="141">
        <f>Q6</f>
        <v>44800</v>
      </c>
      <c r="AL6" s="13"/>
    </row>
    <row r="7" spans="2:48" s="98" customFormat="1" ht="48.75" customHeight="1">
      <c r="B7" s="260">
        <v>2</v>
      </c>
      <c r="C7" s="224" t="s">
        <v>110</v>
      </c>
      <c r="D7" s="225" t="s">
        <v>111</v>
      </c>
      <c r="E7" s="213" t="s">
        <v>89</v>
      </c>
      <c r="F7" s="207" t="s">
        <v>112</v>
      </c>
      <c r="G7" s="238" t="s">
        <v>113</v>
      </c>
      <c r="H7" s="207" t="s">
        <v>114</v>
      </c>
      <c r="I7" s="208" t="s">
        <v>117</v>
      </c>
      <c r="J7" s="208" t="s">
        <v>116</v>
      </c>
      <c r="K7" s="207" t="s">
        <v>93</v>
      </c>
      <c r="L7" s="229">
        <v>32</v>
      </c>
      <c r="M7" s="207">
        <v>0.6</v>
      </c>
      <c r="N7" s="261">
        <f t="shared" si="0"/>
        <v>1.9199999999999998E-2</v>
      </c>
      <c r="O7" s="209" t="s">
        <v>169</v>
      </c>
      <c r="P7" s="210">
        <v>490</v>
      </c>
      <c r="Q7" s="202">
        <f t="shared" si="1"/>
        <v>15680</v>
      </c>
      <c r="R7" s="209" t="s">
        <v>117</v>
      </c>
      <c r="S7" s="227" t="s">
        <v>116</v>
      </c>
      <c r="T7" s="244" t="s">
        <v>144</v>
      </c>
      <c r="U7" s="210">
        <f t="shared" si="2"/>
        <v>552</v>
      </c>
      <c r="V7" s="202">
        <f t="shared" si="3"/>
        <v>17664</v>
      </c>
      <c r="W7" s="142" t="s">
        <v>117</v>
      </c>
      <c r="X7" s="240" t="s">
        <v>116</v>
      </c>
      <c r="Y7" s="139">
        <v>576</v>
      </c>
      <c r="Z7" s="139">
        <f t="shared" si="4"/>
        <v>480</v>
      </c>
      <c r="AA7" s="141">
        <f t="shared" si="5"/>
        <v>15360</v>
      </c>
      <c r="AB7" s="211" t="s">
        <v>117</v>
      </c>
      <c r="AC7" s="211" t="s">
        <v>116</v>
      </c>
      <c r="AD7" s="139">
        <v>639.36</v>
      </c>
      <c r="AE7" s="212">
        <f t="shared" si="6"/>
        <v>532.79999999999995</v>
      </c>
      <c r="AF7" s="141">
        <f t="shared" si="7"/>
        <v>17049.599999999999</v>
      </c>
      <c r="AG7" s="252" t="str">
        <f t="shared" ref="AG7:AG24" si="10">O7</f>
        <v>Пластина Ф-4 20x50x250 мм</v>
      </c>
      <c r="AH7" s="246" t="str">
        <f t="shared" si="8"/>
        <v>шт.</v>
      </c>
      <c r="AI7" s="246">
        <f t="shared" si="9"/>
        <v>32</v>
      </c>
      <c r="AJ7" s="139">
        <f t="shared" ref="AJ7:AJ24" si="11">P7</f>
        <v>490</v>
      </c>
      <c r="AK7" s="141">
        <f t="shared" ref="AK7:AK24" si="12">Q7</f>
        <v>15680</v>
      </c>
      <c r="AL7" s="13"/>
    </row>
    <row r="8" spans="2:48" s="98" customFormat="1" ht="48.75" customHeight="1">
      <c r="B8" s="260">
        <v>3</v>
      </c>
      <c r="C8" s="224" t="s">
        <v>110</v>
      </c>
      <c r="D8" s="225" t="s">
        <v>111</v>
      </c>
      <c r="E8" s="213" t="s">
        <v>89</v>
      </c>
      <c r="F8" s="207" t="s">
        <v>112</v>
      </c>
      <c r="G8" s="238" t="s">
        <v>113</v>
      </c>
      <c r="H8" s="207" t="s">
        <v>114</v>
      </c>
      <c r="I8" s="208" t="s">
        <v>118</v>
      </c>
      <c r="J8" s="208" t="s">
        <v>116</v>
      </c>
      <c r="K8" s="207" t="s">
        <v>93</v>
      </c>
      <c r="L8" s="229">
        <v>32</v>
      </c>
      <c r="M8" s="207">
        <v>0.8</v>
      </c>
      <c r="N8" s="261">
        <f t="shared" si="0"/>
        <v>2.5600000000000001E-2</v>
      </c>
      <c r="O8" s="209" t="s">
        <v>170</v>
      </c>
      <c r="P8" s="210">
        <v>680</v>
      </c>
      <c r="Q8" s="202">
        <f t="shared" si="1"/>
        <v>21760</v>
      </c>
      <c r="R8" s="209" t="s">
        <v>118</v>
      </c>
      <c r="S8" s="227" t="s">
        <v>116</v>
      </c>
      <c r="T8" s="244" t="s">
        <v>145</v>
      </c>
      <c r="U8" s="210">
        <f t="shared" si="2"/>
        <v>752.29</v>
      </c>
      <c r="V8" s="202">
        <f t="shared" si="3"/>
        <v>24073.279999999999</v>
      </c>
      <c r="W8" s="142" t="s">
        <v>118</v>
      </c>
      <c r="X8" s="240" t="s">
        <v>116</v>
      </c>
      <c r="Y8" s="139">
        <v>785</v>
      </c>
      <c r="Z8" s="139">
        <f t="shared" si="4"/>
        <v>654.16999999999996</v>
      </c>
      <c r="AA8" s="141">
        <f t="shared" si="5"/>
        <v>20933.439999999999</v>
      </c>
      <c r="AB8" s="211" t="s">
        <v>118</v>
      </c>
      <c r="AC8" s="211" t="s">
        <v>116</v>
      </c>
      <c r="AD8" s="139">
        <v>871.35</v>
      </c>
      <c r="AE8" s="212">
        <f t="shared" si="6"/>
        <v>726.13</v>
      </c>
      <c r="AF8" s="141">
        <f t="shared" si="7"/>
        <v>23236.16</v>
      </c>
      <c r="AG8" s="252" t="str">
        <f t="shared" si="10"/>
        <v>Пластина Ф-4 20x50x340 мм</v>
      </c>
      <c r="AH8" s="246" t="str">
        <f t="shared" si="8"/>
        <v>шт.</v>
      </c>
      <c r="AI8" s="246">
        <f t="shared" si="9"/>
        <v>32</v>
      </c>
      <c r="AJ8" s="139">
        <f t="shared" si="11"/>
        <v>680</v>
      </c>
      <c r="AK8" s="141">
        <f t="shared" si="12"/>
        <v>21760</v>
      </c>
      <c r="AL8" s="13"/>
    </row>
    <row r="9" spans="2:48" s="98" customFormat="1" ht="48.75" customHeight="1">
      <c r="B9" s="260">
        <v>4</v>
      </c>
      <c r="C9" s="224" t="s">
        <v>110</v>
      </c>
      <c r="D9" s="225" t="s">
        <v>111</v>
      </c>
      <c r="E9" s="213" t="s">
        <v>89</v>
      </c>
      <c r="F9" s="207" t="s">
        <v>119</v>
      </c>
      <c r="G9" s="238" t="s">
        <v>113</v>
      </c>
      <c r="H9" s="207" t="s">
        <v>120</v>
      </c>
      <c r="I9" s="208" t="s">
        <v>115</v>
      </c>
      <c r="J9" s="208" t="s">
        <v>116</v>
      </c>
      <c r="K9" s="207" t="s">
        <v>93</v>
      </c>
      <c r="L9" s="229">
        <v>7</v>
      </c>
      <c r="M9" s="207">
        <v>3.3</v>
      </c>
      <c r="N9" s="261">
        <f t="shared" si="0"/>
        <v>2.3099999999999999E-2</v>
      </c>
      <c r="O9" s="209" t="s">
        <v>168</v>
      </c>
      <c r="P9" s="210">
        <v>2800</v>
      </c>
      <c r="Q9" s="202">
        <f t="shared" si="1"/>
        <v>19600</v>
      </c>
      <c r="R9" s="209" t="s">
        <v>115</v>
      </c>
      <c r="S9" s="227" t="s">
        <v>116</v>
      </c>
      <c r="T9" s="244" t="s">
        <v>143</v>
      </c>
      <c r="U9" s="210">
        <f t="shared" si="2"/>
        <v>3326.38</v>
      </c>
      <c r="V9" s="202">
        <f t="shared" si="3"/>
        <v>23284.66</v>
      </c>
      <c r="W9" s="142" t="s">
        <v>115</v>
      </c>
      <c r="X9" s="240" t="s">
        <v>116</v>
      </c>
      <c r="Y9" s="139">
        <v>3471</v>
      </c>
      <c r="Z9" s="139">
        <f t="shared" si="4"/>
        <v>2892.5</v>
      </c>
      <c r="AA9" s="141">
        <f t="shared" si="5"/>
        <v>20247.5</v>
      </c>
      <c r="AB9" s="211" t="s">
        <v>115</v>
      </c>
      <c r="AC9" s="211" t="s">
        <v>116</v>
      </c>
      <c r="AD9" s="139">
        <v>3852.81</v>
      </c>
      <c r="AE9" s="212">
        <f t="shared" si="6"/>
        <v>3210.68</v>
      </c>
      <c r="AF9" s="141">
        <f t="shared" si="7"/>
        <v>22474.76</v>
      </c>
      <c r="AG9" s="252" t="str">
        <f t="shared" si="10"/>
        <v>Пластина Ф-4 20x250x300 мм</v>
      </c>
      <c r="AH9" s="246" t="str">
        <f t="shared" si="8"/>
        <v>шт.</v>
      </c>
      <c r="AI9" s="246">
        <f t="shared" si="9"/>
        <v>7</v>
      </c>
      <c r="AJ9" s="139">
        <f t="shared" si="11"/>
        <v>2800</v>
      </c>
      <c r="AK9" s="141">
        <f t="shared" si="12"/>
        <v>19600</v>
      </c>
      <c r="AL9" s="13"/>
    </row>
    <row r="10" spans="2:48" s="98" customFormat="1" ht="48.75" customHeight="1">
      <c r="B10" s="260">
        <v>5</v>
      </c>
      <c r="C10" s="224" t="s">
        <v>110</v>
      </c>
      <c r="D10" s="225" t="s">
        <v>111</v>
      </c>
      <c r="E10" s="213" t="s">
        <v>89</v>
      </c>
      <c r="F10" s="207" t="s">
        <v>119</v>
      </c>
      <c r="G10" s="238" t="s">
        <v>113</v>
      </c>
      <c r="H10" s="207" t="s">
        <v>120</v>
      </c>
      <c r="I10" s="208" t="s">
        <v>117</v>
      </c>
      <c r="J10" s="208" t="s">
        <v>116</v>
      </c>
      <c r="K10" s="207" t="s">
        <v>93</v>
      </c>
      <c r="L10" s="229">
        <v>14</v>
      </c>
      <c r="M10" s="207">
        <v>0.6</v>
      </c>
      <c r="N10" s="261">
        <f t="shared" si="0"/>
        <v>8.4000000000000012E-3</v>
      </c>
      <c r="O10" s="209" t="s">
        <v>169</v>
      </c>
      <c r="P10" s="210">
        <v>490</v>
      </c>
      <c r="Q10" s="202">
        <f t="shared" si="1"/>
        <v>6860</v>
      </c>
      <c r="R10" s="209" t="s">
        <v>117</v>
      </c>
      <c r="S10" s="227" t="s">
        <v>116</v>
      </c>
      <c r="T10" s="244" t="s">
        <v>144</v>
      </c>
      <c r="U10" s="210">
        <f t="shared" si="2"/>
        <v>552</v>
      </c>
      <c r="V10" s="202">
        <f t="shared" si="3"/>
        <v>7728</v>
      </c>
      <c r="W10" s="142" t="s">
        <v>117</v>
      </c>
      <c r="X10" s="240" t="s">
        <v>116</v>
      </c>
      <c r="Y10" s="139">
        <v>576</v>
      </c>
      <c r="Z10" s="139">
        <f t="shared" si="4"/>
        <v>480</v>
      </c>
      <c r="AA10" s="141">
        <f t="shared" si="5"/>
        <v>6720</v>
      </c>
      <c r="AB10" s="211" t="s">
        <v>117</v>
      </c>
      <c r="AC10" s="211" t="s">
        <v>116</v>
      </c>
      <c r="AD10" s="139">
        <v>639.36</v>
      </c>
      <c r="AE10" s="212">
        <f t="shared" si="6"/>
        <v>532.79999999999995</v>
      </c>
      <c r="AF10" s="141">
        <f t="shared" si="7"/>
        <v>7459.2</v>
      </c>
      <c r="AG10" s="252" t="str">
        <f t="shared" si="10"/>
        <v>Пластина Ф-4 20x50x250 мм</v>
      </c>
      <c r="AH10" s="246" t="str">
        <f t="shared" si="8"/>
        <v>шт.</v>
      </c>
      <c r="AI10" s="246">
        <f t="shared" si="9"/>
        <v>14</v>
      </c>
      <c r="AJ10" s="139">
        <f t="shared" si="11"/>
        <v>490</v>
      </c>
      <c r="AK10" s="141">
        <f t="shared" si="12"/>
        <v>6860</v>
      </c>
      <c r="AL10" s="13"/>
    </row>
    <row r="11" spans="2:48" s="98" customFormat="1" ht="48.75" customHeight="1">
      <c r="B11" s="260">
        <v>6</v>
      </c>
      <c r="C11" s="224" t="s">
        <v>110</v>
      </c>
      <c r="D11" s="225" t="s">
        <v>111</v>
      </c>
      <c r="E11" s="213" t="s">
        <v>89</v>
      </c>
      <c r="F11" s="207" t="s">
        <v>119</v>
      </c>
      <c r="G11" s="238" t="s">
        <v>113</v>
      </c>
      <c r="H11" s="207" t="s">
        <v>120</v>
      </c>
      <c r="I11" s="208" t="s">
        <v>118</v>
      </c>
      <c r="J11" s="208" t="s">
        <v>116</v>
      </c>
      <c r="K11" s="207" t="s">
        <v>93</v>
      </c>
      <c r="L11" s="229">
        <v>14</v>
      </c>
      <c r="M11" s="207">
        <v>0.6</v>
      </c>
      <c r="N11" s="261">
        <f t="shared" si="0"/>
        <v>8.4000000000000012E-3</v>
      </c>
      <c r="O11" s="209" t="s">
        <v>170</v>
      </c>
      <c r="P11" s="210">
        <v>680</v>
      </c>
      <c r="Q11" s="202">
        <f t="shared" si="1"/>
        <v>9520</v>
      </c>
      <c r="R11" s="209" t="s">
        <v>118</v>
      </c>
      <c r="S11" s="227" t="s">
        <v>116</v>
      </c>
      <c r="T11" s="244" t="s">
        <v>145</v>
      </c>
      <c r="U11" s="210">
        <f t="shared" si="2"/>
        <v>752.29</v>
      </c>
      <c r="V11" s="202">
        <f t="shared" si="3"/>
        <v>10532.06</v>
      </c>
      <c r="W11" s="142" t="s">
        <v>118</v>
      </c>
      <c r="X11" s="240" t="s">
        <v>116</v>
      </c>
      <c r="Y11" s="139">
        <v>785</v>
      </c>
      <c r="Z11" s="139">
        <f t="shared" si="4"/>
        <v>654.16999999999996</v>
      </c>
      <c r="AA11" s="141">
        <f t="shared" si="5"/>
        <v>9158.3799999999992</v>
      </c>
      <c r="AB11" s="211" t="s">
        <v>118</v>
      </c>
      <c r="AC11" s="211" t="s">
        <v>116</v>
      </c>
      <c r="AD11" s="139">
        <v>871.35</v>
      </c>
      <c r="AE11" s="212">
        <f t="shared" si="6"/>
        <v>726.13</v>
      </c>
      <c r="AF11" s="141">
        <f t="shared" si="7"/>
        <v>10165.82</v>
      </c>
      <c r="AG11" s="252" t="str">
        <f t="shared" si="10"/>
        <v>Пластина Ф-4 20x50x340 мм</v>
      </c>
      <c r="AH11" s="246" t="str">
        <f t="shared" si="8"/>
        <v>шт.</v>
      </c>
      <c r="AI11" s="246">
        <f t="shared" si="9"/>
        <v>14</v>
      </c>
      <c r="AJ11" s="139">
        <f t="shared" si="11"/>
        <v>680</v>
      </c>
      <c r="AK11" s="141">
        <f t="shared" si="12"/>
        <v>9520</v>
      </c>
      <c r="AL11" s="13"/>
    </row>
    <row r="12" spans="2:48" s="98" customFormat="1" ht="48.75" customHeight="1">
      <c r="B12" s="260">
        <v>7</v>
      </c>
      <c r="C12" s="224" t="s">
        <v>87</v>
      </c>
      <c r="D12" s="225" t="s">
        <v>88</v>
      </c>
      <c r="E12" s="213" t="s">
        <v>89</v>
      </c>
      <c r="F12" s="207" t="s">
        <v>90</v>
      </c>
      <c r="G12" s="238" t="s">
        <v>91</v>
      </c>
      <c r="H12" s="207" t="s">
        <v>92</v>
      </c>
      <c r="I12" s="208" t="s">
        <v>121</v>
      </c>
      <c r="J12" s="208" t="s">
        <v>116</v>
      </c>
      <c r="K12" s="207" t="s">
        <v>93</v>
      </c>
      <c r="L12" s="229">
        <v>14</v>
      </c>
      <c r="M12" s="207">
        <v>12.7</v>
      </c>
      <c r="N12" s="261">
        <f t="shared" si="0"/>
        <v>0.17779999999999999</v>
      </c>
      <c r="O12" s="209" t="s">
        <v>171</v>
      </c>
      <c r="P12" s="210">
        <v>13100</v>
      </c>
      <c r="Q12" s="202">
        <f t="shared" si="1"/>
        <v>183400</v>
      </c>
      <c r="R12" s="209" t="s">
        <v>121</v>
      </c>
      <c r="S12" s="227" t="s">
        <v>116</v>
      </c>
      <c r="T12" s="244" t="s">
        <v>146</v>
      </c>
      <c r="U12" s="210">
        <f t="shared" si="2"/>
        <v>15815.38</v>
      </c>
      <c r="V12" s="202">
        <f t="shared" si="3"/>
        <v>221415.32</v>
      </c>
      <c r="W12" s="142" t="s">
        <v>121</v>
      </c>
      <c r="X12" s="240" t="s">
        <v>116</v>
      </c>
      <c r="Y12" s="139">
        <v>16503</v>
      </c>
      <c r="Z12" s="139">
        <f t="shared" si="4"/>
        <v>13752.5</v>
      </c>
      <c r="AA12" s="141">
        <f t="shared" si="5"/>
        <v>192535</v>
      </c>
      <c r="AB12" s="211" t="s">
        <v>121</v>
      </c>
      <c r="AC12" s="211" t="s">
        <v>116</v>
      </c>
      <c r="AD12" s="139">
        <v>18318.330000000002</v>
      </c>
      <c r="AE12" s="212">
        <f t="shared" si="6"/>
        <v>15265.28</v>
      </c>
      <c r="AF12" s="141">
        <f t="shared" si="7"/>
        <v>213713.92000000001</v>
      </c>
      <c r="AG12" s="252" t="str">
        <f t="shared" si="10"/>
        <v>Пластина Ф-4 85x250x300 мм</v>
      </c>
      <c r="AH12" s="246" t="str">
        <f t="shared" si="8"/>
        <v>шт.</v>
      </c>
      <c r="AI12" s="246">
        <f t="shared" si="9"/>
        <v>14</v>
      </c>
      <c r="AJ12" s="139">
        <f t="shared" si="11"/>
        <v>13100</v>
      </c>
      <c r="AK12" s="141">
        <f t="shared" si="12"/>
        <v>183400</v>
      </c>
      <c r="AL12" s="13"/>
    </row>
    <row r="13" spans="2:48" s="98" customFormat="1" ht="48.75" customHeight="1">
      <c r="B13" s="260">
        <v>8</v>
      </c>
      <c r="C13" s="224" t="s">
        <v>87</v>
      </c>
      <c r="D13" s="225" t="s">
        <v>88</v>
      </c>
      <c r="E13" s="213" t="s">
        <v>89</v>
      </c>
      <c r="F13" s="207" t="s">
        <v>90</v>
      </c>
      <c r="G13" s="238" t="s">
        <v>91</v>
      </c>
      <c r="H13" s="207" t="s">
        <v>92</v>
      </c>
      <c r="I13" s="208" t="s">
        <v>122</v>
      </c>
      <c r="J13" s="208" t="s">
        <v>116</v>
      </c>
      <c r="K13" s="207" t="s">
        <v>93</v>
      </c>
      <c r="L13" s="229">
        <v>31</v>
      </c>
      <c r="M13" s="207">
        <v>6.3</v>
      </c>
      <c r="N13" s="261">
        <f t="shared" si="0"/>
        <v>0.19529999999999997</v>
      </c>
      <c r="O13" s="209" t="s">
        <v>172</v>
      </c>
      <c r="P13" s="210">
        <v>6400</v>
      </c>
      <c r="Q13" s="202">
        <f t="shared" si="1"/>
        <v>198400</v>
      </c>
      <c r="R13" s="209" t="s">
        <v>122</v>
      </c>
      <c r="S13" s="227" t="s">
        <v>116</v>
      </c>
      <c r="T13" s="244" t="s">
        <v>147</v>
      </c>
      <c r="U13" s="210">
        <f t="shared" si="2"/>
        <v>9184.67</v>
      </c>
      <c r="V13" s="202">
        <f t="shared" si="3"/>
        <v>284724.77</v>
      </c>
      <c r="W13" s="142" t="s">
        <v>122</v>
      </c>
      <c r="X13" s="240" t="s">
        <v>116</v>
      </c>
      <c r="Y13" s="139">
        <v>9584</v>
      </c>
      <c r="Z13" s="139">
        <f t="shared" si="4"/>
        <v>7986.67</v>
      </c>
      <c r="AA13" s="141">
        <f t="shared" si="5"/>
        <v>247586.77</v>
      </c>
      <c r="AB13" s="211" t="s">
        <v>122</v>
      </c>
      <c r="AC13" s="211" t="s">
        <v>116</v>
      </c>
      <c r="AD13" s="139">
        <v>10638.24</v>
      </c>
      <c r="AE13" s="212">
        <f t="shared" si="6"/>
        <v>8865.2000000000007</v>
      </c>
      <c r="AF13" s="141">
        <f t="shared" si="7"/>
        <v>274821.2</v>
      </c>
      <c r="AG13" s="252" t="str">
        <f t="shared" si="10"/>
        <v>Пластина Ф-4 85x250x150 мм</v>
      </c>
      <c r="AH13" s="246" t="str">
        <f t="shared" si="8"/>
        <v>шт.</v>
      </c>
      <c r="AI13" s="246">
        <f t="shared" si="9"/>
        <v>31</v>
      </c>
      <c r="AJ13" s="139">
        <f t="shared" si="11"/>
        <v>6400</v>
      </c>
      <c r="AK13" s="141">
        <f t="shared" si="12"/>
        <v>198400</v>
      </c>
      <c r="AL13" s="13"/>
    </row>
    <row r="14" spans="2:48" s="98" customFormat="1" ht="48.75" customHeight="1">
      <c r="B14" s="260">
        <v>9</v>
      </c>
      <c r="C14" s="224" t="s">
        <v>87</v>
      </c>
      <c r="D14" s="225" t="s">
        <v>96</v>
      </c>
      <c r="E14" s="213" t="s">
        <v>97</v>
      </c>
      <c r="F14" s="207" t="s">
        <v>98</v>
      </c>
      <c r="G14" s="238" t="s">
        <v>95</v>
      </c>
      <c r="H14" s="207" t="s">
        <v>99</v>
      </c>
      <c r="I14" s="208" t="s">
        <v>123</v>
      </c>
      <c r="J14" s="208" t="s">
        <v>116</v>
      </c>
      <c r="K14" s="207" t="s">
        <v>93</v>
      </c>
      <c r="L14" s="229">
        <v>8</v>
      </c>
      <c r="M14" s="207">
        <v>28</v>
      </c>
      <c r="N14" s="261">
        <f t="shared" si="0"/>
        <v>0.224</v>
      </c>
      <c r="O14" s="209" t="s">
        <v>173</v>
      </c>
      <c r="P14" s="210">
        <v>22200</v>
      </c>
      <c r="Q14" s="202">
        <f t="shared" si="1"/>
        <v>177600</v>
      </c>
      <c r="R14" s="209" t="s">
        <v>123</v>
      </c>
      <c r="S14" s="227" t="s">
        <v>116</v>
      </c>
      <c r="T14" s="244" t="s">
        <v>148</v>
      </c>
      <c r="U14" s="210">
        <f t="shared" si="2"/>
        <v>27669</v>
      </c>
      <c r="V14" s="202">
        <f t="shared" si="3"/>
        <v>221352</v>
      </c>
      <c r="W14" s="142" t="s">
        <v>123</v>
      </c>
      <c r="X14" s="240" t="s">
        <v>116</v>
      </c>
      <c r="Y14" s="139">
        <v>28872</v>
      </c>
      <c r="Z14" s="139">
        <f t="shared" si="4"/>
        <v>24060</v>
      </c>
      <c r="AA14" s="141">
        <f t="shared" si="5"/>
        <v>192480</v>
      </c>
      <c r="AB14" s="211" t="s">
        <v>123</v>
      </c>
      <c r="AC14" s="211" t="s">
        <v>116</v>
      </c>
      <c r="AD14" s="139">
        <v>32047.919999999998</v>
      </c>
      <c r="AE14" s="212">
        <f t="shared" si="6"/>
        <v>26706.6</v>
      </c>
      <c r="AF14" s="141">
        <f t="shared" si="7"/>
        <v>213652.8</v>
      </c>
      <c r="AG14" s="252" t="str">
        <f t="shared" si="10"/>
        <v>Пластина Ф-4 20x800x800 мм</v>
      </c>
      <c r="AH14" s="246" t="str">
        <f t="shared" si="8"/>
        <v>шт.</v>
      </c>
      <c r="AI14" s="246">
        <f t="shared" si="9"/>
        <v>8</v>
      </c>
      <c r="AJ14" s="139">
        <f t="shared" si="11"/>
        <v>22200</v>
      </c>
      <c r="AK14" s="141">
        <f t="shared" si="12"/>
        <v>177600</v>
      </c>
      <c r="AL14" s="13"/>
    </row>
    <row r="15" spans="2:48" s="98" customFormat="1" ht="48.75" customHeight="1">
      <c r="B15" s="260">
        <v>10</v>
      </c>
      <c r="C15" s="224" t="s">
        <v>87</v>
      </c>
      <c r="D15" s="225" t="s">
        <v>96</v>
      </c>
      <c r="E15" s="213" t="s">
        <v>97</v>
      </c>
      <c r="F15" s="207" t="s">
        <v>98</v>
      </c>
      <c r="G15" s="238" t="s">
        <v>95</v>
      </c>
      <c r="H15" s="207" t="s">
        <v>99</v>
      </c>
      <c r="I15" s="208" t="s">
        <v>124</v>
      </c>
      <c r="J15" s="208" t="s">
        <v>116</v>
      </c>
      <c r="K15" s="207" t="s">
        <v>93</v>
      </c>
      <c r="L15" s="229">
        <v>80</v>
      </c>
      <c r="M15" s="207">
        <v>7</v>
      </c>
      <c r="N15" s="261">
        <f t="shared" si="0"/>
        <v>0.56000000000000005</v>
      </c>
      <c r="O15" s="209" t="s">
        <v>175</v>
      </c>
      <c r="P15" s="210">
        <v>6100</v>
      </c>
      <c r="Q15" s="202">
        <f t="shared" si="1"/>
        <v>488000</v>
      </c>
      <c r="R15" s="209" t="s">
        <v>124</v>
      </c>
      <c r="S15" s="227" t="s">
        <v>116</v>
      </c>
      <c r="T15" s="244" t="s">
        <v>149</v>
      </c>
      <c r="U15" s="210">
        <f t="shared" si="2"/>
        <v>7728</v>
      </c>
      <c r="V15" s="202">
        <f t="shared" si="3"/>
        <v>618240</v>
      </c>
      <c r="W15" s="142" t="s">
        <v>124</v>
      </c>
      <c r="X15" s="240" t="s">
        <v>116</v>
      </c>
      <c r="Y15" s="139">
        <v>8064</v>
      </c>
      <c r="Z15" s="139">
        <f t="shared" si="4"/>
        <v>6720</v>
      </c>
      <c r="AA15" s="141">
        <f t="shared" si="5"/>
        <v>537600</v>
      </c>
      <c r="AB15" s="211" t="s">
        <v>124</v>
      </c>
      <c r="AC15" s="211" t="s">
        <v>116</v>
      </c>
      <c r="AD15" s="139">
        <v>8951.0400000000009</v>
      </c>
      <c r="AE15" s="212">
        <f t="shared" si="6"/>
        <v>7459.2</v>
      </c>
      <c r="AF15" s="141">
        <f t="shared" si="7"/>
        <v>596736</v>
      </c>
      <c r="AG15" s="252" t="str">
        <f t="shared" si="10"/>
        <v>Пластина Ф-4 20x400x400 мм</v>
      </c>
      <c r="AH15" s="246" t="str">
        <f t="shared" si="8"/>
        <v>шт.</v>
      </c>
      <c r="AI15" s="246">
        <f t="shared" si="9"/>
        <v>80</v>
      </c>
      <c r="AJ15" s="139">
        <f t="shared" si="11"/>
        <v>6100</v>
      </c>
      <c r="AK15" s="141">
        <f t="shared" si="12"/>
        <v>488000</v>
      </c>
      <c r="AL15" s="13"/>
    </row>
    <row r="16" spans="2:48" s="98" customFormat="1" ht="48.75" customHeight="1">
      <c r="B16" s="260">
        <v>11</v>
      </c>
      <c r="C16" s="224" t="s">
        <v>87</v>
      </c>
      <c r="D16" s="225" t="s">
        <v>96</v>
      </c>
      <c r="E16" s="213" t="s">
        <v>97</v>
      </c>
      <c r="F16" s="207" t="s">
        <v>98</v>
      </c>
      <c r="G16" s="238" t="s">
        <v>95</v>
      </c>
      <c r="H16" s="207" t="s">
        <v>99</v>
      </c>
      <c r="I16" s="208" t="s">
        <v>125</v>
      </c>
      <c r="J16" s="208" t="s">
        <v>116</v>
      </c>
      <c r="K16" s="207" t="s">
        <v>93</v>
      </c>
      <c r="L16" s="229">
        <v>76</v>
      </c>
      <c r="M16" s="207">
        <v>4.5</v>
      </c>
      <c r="N16" s="261">
        <f t="shared" si="0"/>
        <v>0.34200000000000003</v>
      </c>
      <c r="O16" s="209" t="s">
        <v>177</v>
      </c>
      <c r="P16" s="210">
        <v>4200</v>
      </c>
      <c r="Q16" s="202">
        <f t="shared" si="1"/>
        <v>319200</v>
      </c>
      <c r="R16" s="209" t="s">
        <v>125</v>
      </c>
      <c r="S16" s="227" t="s">
        <v>116</v>
      </c>
      <c r="T16" s="244" t="s">
        <v>150</v>
      </c>
      <c r="U16" s="210">
        <f t="shared" si="2"/>
        <v>5409.79</v>
      </c>
      <c r="V16" s="202">
        <f t="shared" si="3"/>
        <v>411144.04</v>
      </c>
      <c r="W16" s="142" t="s">
        <v>125</v>
      </c>
      <c r="X16" s="240" t="s">
        <v>116</v>
      </c>
      <c r="Y16" s="139">
        <v>5645</v>
      </c>
      <c r="Z16" s="139">
        <f t="shared" si="4"/>
        <v>4704.17</v>
      </c>
      <c r="AA16" s="141">
        <f t="shared" si="5"/>
        <v>357516.92</v>
      </c>
      <c r="AB16" s="211" t="s">
        <v>125</v>
      </c>
      <c r="AC16" s="211" t="s">
        <v>116</v>
      </c>
      <c r="AD16" s="139">
        <v>6265.95</v>
      </c>
      <c r="AE16" s="212">
        <f t="shared" si="6"/>
        <v>5221.63</v>
      </c>
      <c r="AF16" s="141">
        <f t="shared" si="7"/>
        <v>396843.88</v>
      </c>
      <c r="AG16" s="252" t="str">
        <f t="shared" si="10"/>
        <v>Пластина Ф-4 20x250x400 мм</v>
      </c>
      <c r="AH16" s="246" t="str">
        <f t="shared" si="8"/>
        <v>шт.</v>
      </c>
      <c r="AI16" s="246">
        <f t="shared" si="9"/>
        <v>76</v>
      </c>
      <c r="AJ16" s="139">
        <f t="shared" si="11"/>
        <v>4200</v>
      </c>
      <c r="AK16" s="141">
        <f t="shared" si="12"/>
        <v>319200</v>
      </c>
      <c r="AL16" s="13"/>
    </row>
    <row r="17" spans="2:39" s="98" customFormat="1" ht="48.75" customHeight="1">
      <c r="B17" s="260">
        <v>12</v>
      </c>
      <c r="C17" s="224" t="s">
        <v>87</v>
      </c>
      <c r="D17" s="225" t="s">
        <v>96</v>
      </c>
      <c r="E17" s="213" t="s">
        <v>97</v>
      </c>
      <c r="F17" s="207" t="s">
        <v>98</v>
      </c>
      <c r="G17" s="238" t="s">
        <v>95</v>
      </c>
      <c r="H17" s="207" t="s">
        <v>99</v>
      </c>
      <c r="I17" s="208" t="s">
        <v>126</v>
      </c>
      <c r="J17" s="208" t="s">
        <v>116</v>
      </c>
      <c r="K17" s="207" t="s">
        <v>93</v>
      </c>
      <c r="L17" s="229">
        <v>120</v>
      </c>
      <c r="M17" s="207">
        <v>2.8</v>
      </c>
      <c r="N17" s="261">
        <f t="shared" si="0"/>
        <v>0.33600000000000002</v>
      </c>
      <c r="O17" s="209" t="s">
        <v>176</v>
      </c>
      <c r="P17" s="210">
        <v>2170</v>
      </c>
      <c r="Q17" s="202">
        <f t="shared" si="1"/>
        <v>260400</v>
      </c>
      <c r="R17" s="209" t="s">
        <v>126</v>
      </c>
      <c r="S17" s="227" t="s">
        <v>116</v>
      </c>
      <c r="T17" s="244" t="s">
        <v>151</v>
      </c>
      <c r="U17" s="210">
        <f t="shared" si="2"/>
        <v>2815.58</v>
      </c>
      <c r="V17" s="202">
        <f t="shared" si="3"/>
        <v>337869.6</v>
      </c>
      <c r="W17" s="142" t="s">
        <v>126</v>
      </c>
      <c r="X17" s="240" t="s">
        <v>116</v>
      </c>
      <c r="Y17" s="139">
        <v>2938</v>
      </c>
      <c r="Z17" s="139">
        <f t="shared" si="4"/>
        <v>2448.33</v>
      </c>
      <c r="AA17" s="141">
        <f t="shared" si="5"/>
        <v>293799.59999999998</v>
      </c>
      <c r="AB17" s="211" t="s">
        <v>126</v>
      </c>
      <c r="AC17" s="211" t="s">
        <v>116</v>
      </c>
      <c r="AD17" s="139">
        <v>3261.18</v>
      </c>
      <c r="AE17" s="212">
        <f t="shared" si="6"/>
        <v>2717.65</v>
      </c>
      <c r="AF17" s="141">
        <f t="shared" si="7"/>
        <v>326118</v>
      </c>
      <c r="AG17" s="252" t="str">
        <f t="shared" si="10"/>
        <v>Пластина Ф-4 20x250x250 мм</v>
      </c>
      <c r="AH17" s="246" t="str">
        <f t="shared" si="8"/>
        <v>шт.</v>
      </c>
      <c r="AI17" s="246">
        <f t="shared" si="9"/>
        <v>120</v>
      </c>
      <c r="AJ17" s="139">
        <f t="shared" si="11"/>
        <v>2170</v>
      </c>
      <c r="AK17" s="141">
        <f t="shared" si="12"/>
        <v>260400</v>
      </c>
      <c r="AL17" s="13"/>
    </row>
    <row r="18" spans="2:39" s="98" customFormat="1" ht="48.75" customHeight="1">
      <c r="B18" s="260">
        <v>13</v>
      </c>
      <c r="C18" s="224" t="s">
        <v>87</v>
      </c>
      <c r="D18" s="225" t="s">
        <v>96</v>
      </c>
      <c r="E18" s="213" t="s">
        <v>100</v>
      </c>
      <c r="F18" s="207" t="s">
        <v>101</v>
      </c>
      <c r="G18" s="238" t="s">
        <v>91</v>
      </c>
      <c r="H18" s="207" t="s">
        <v>102</v>
      </c>
      <c r="I18" s="208" t="s">
        <v>127</v>
      </c>
      <c r="J18" s="208" t="s">
        <v>116</v>
      </c>
      <c r="K18" s="207" t="s">
        <v>93</v>
      </c>
      <c r="L18" s="229">
        <v>2</v>
      </c>
      <c r="M18" s="207">
        <v>10</v>
      </c>
      <c r="N18" s="261">
        <f t="shared" si="0"/>
        <v>0.02</v>
      </c>
      <c r="O18" s="209" t="s">
        <v>178</v>
      </c>
      <c r="P18" s="210">
        <v>10900</v>
      </c>
      <c r="Q18" s="202">
        <f t="shared" si="1"/>
        <v>21800</v>
      </c>
      <c r="R18" s="209" t="s">
        <v>127</v>
      </c>
      <c r="S18" s="227" t="s">
        <v>116</v>
      </c>
      <c r="T18" s="244" t="s">
        <v>152</v>
      </c>
      <c r="U18" s="210">
        <f t="shared" si="2"/>
        <v>11130.08</v>
      </c>
      <c r="V18" s="202">
        <f t="shared" si="3"/>
        <v>22260.16</v>
      </c>
      <c r="W18" s="142" t="s">
        <v>127</v>
      </c>
      <c r="X18" s="240" t="s">
        <v>116</v>
      </c>
      <c r="Y18" s="139">
        <v>11614</v>
      </c>
      <c r="Z18" s="139">
        <f t="shared" si="4"/>
        <v>9678.33</v>
      </c>
      <c r="AA18" s="141">
        <f t="shared" si="5"/>
        <v>19356.66</v>
      </c>
      <c r="AB18" s="211" t="s">
        <v>127</v>
      </c>
      <c r="AC18" s="211" t="s">
        <v>116</v>
      </c>
      <c r="AD18" s="139">
        <v>12891.54</v>
      </c>
      <c r="AE18" s="212">
        <f t="shared" si="6"/>
        <v>10742.95</v>
      </c>
      <c r="AF18" s="141">
        <f t="shared" si="7"/>
        <v>21485.9</v>
      </c>
      <c r="AG18" s="252" t="str">
        <f t="shared" si="10"/>
        <v>Пластина Ф-4 20x280x810 мм</v>
      </c>
      <c r="AH18" s="246" t="str">
        <f t="shared" si="8"/>
        <v>шт.</v>
      </c>
      <c r="AI18" s="246">
        <f t="shared" si="9"/>
        <v>2</v>
      </c>
      <c r="AJ18" s="139">
        <f t="shared" si="11"/>
        <v>10900</v>
      </c>
      <c r="AK18" s="141">
        <f t="shared" si="12"/>
        <v>21800</v>
      </c>
      <c r="AL18" s="13"/>
    </row>
    <row r="19" spans="2:39" s="98" customFormat="1" ht="48.75" customHeight="1">
      <c r="B19" s="260">
        <v>14</v>
      </c>
      <c r="C19" s="224" t="s">
        <v>87</v>
      </c>
      <c r="D19" s="225" t="s">
        <v>96</v>
      </c>
      <c r="E19" s="213" t="s">
        <v>100</v>
      </c>
      <c r="F19" s="207" t="s">
        <v>101</v>
      </c>
      <c r="G19" s="238" t="s">
        <v>91</v>
      </c>
      <c r="H19" s="207" t="s">
        <v>102</v>
      </c>
      <c r="I19" s="208" t="s">
        <v>128</v>
      </c>
      <c r="J19" s="208" t="s">
        <v>116</v>
      </c>
      <c r="K19" s="207" t="s">
        <v>93</v>
      </c>
      <c r="L19" s="229">
        <v>4</v>
      </c>
      <c r="M19" s="207">
        <v>1.8</v>
      </c>
      <c r="N19" s="261">
        <f t="shared" si="0"/>
        <v>7.1999999999999998E-3</v>
      </c>
      <c r="O19" s="209" t="s">
        <v>179</v>
      </c>
      <c r="P19" s="210">
        <v>2000</v>
      </c>
      <c r="Q19" s="202">
        <f t="shared" si="1"/>
        <v>8000</v>
      </c>
      <c r="R19" s="209" t="s">
        <v>128</v>
      </c>
      <c r="S19" s="227" t="s">
        <v>116</v>
      </c>
      <c r="T19" s="244" t="s">
        <v>153</v>
      </c>
      <c r="U19" s="210">
        <f t="shared" si="2"/>
        <v>1932</v>
      </c>
      <c r="V19" s="202">
        <f t="shared" si="3"/>
        <v>7728</v>
      </c>
      <c r="W19" s="142" t="s">
        <v>128</v>
      </c>
      <c r="X19" s="240" t="s">
        <v>116</v>
      </c>
      <c r="Y19" s="139">
        <v>2016</v>
      </c>
      <c r="Z19" s="139">
        <f t="shared" si="4"/>
        <v>1680</v>
      </c>
      <c r="AA19" s="141">
        <f t="shared" si="5"/>
        <v>6720</v>
      </c>
      <c r="AB19" s="211" t="s">
        <v>128</v>
      </c>
      <c r="AC19" s="211" t="s">
        <v>116</v>
      </c>
      <c r="AD19" s="139">
        <v>2237.7600000000002</v>
      </c>
      <c r="AE19" s="212">
        <f t="shared" si="6"/>
        <v>1864.8</v>
      </c>
      <c r="AF19" s="141">
        <f t="shared" si="7"/>
        <v>7459.2</v>
      </c>
      <c r="AG19" s="252" t="str">
        <f t="shared" si="10"/>
        <v>Пластина Ф-4 20x50x810 мм</v>
      </c>
      <c r="AH19" s="246" t="str">
        <f t="shared" si="8"/>
        <v>шт.</v>
      </c>
      <c r="AI19" s="246">
        <f t="shared" si="9"/>
        <v>4</v>
      </c>
      <c r="AJ19" s="139">
        <f t="shared" si="11"/>
        <v>2000</v>
      </c>
      <c r="AK19" s="141">
        <f t="shared" si="12"/>
        <v>8000</v>
      </c>
      <c r="AL19" s="13"/>
    </row>
    <row r="20" spans="2:39" s="98" customFormat="1" ht="48.75" customHeight="1">
      <c r="B20" s="260">
        <v>15</v>
      </c>
      <c r="C20" s="224" t="s">
        <v>87</v>
      </c>
      <c r="D20" s="225" t="s">
        <v>96</v>
      </c>
      <c r="E20" s="213" t="s">
        <v>100</v>
      </c>
      <c r="F20" s="207" t="s">
        <v>101</v>
      </c>
      <c r="G20" s="238" t="s">
        <v>91</v>
      </c>
      <c r="H20" s="207" t="s">
        <v>102</v>
      </c>
      <c r="I20" s="208" t="s">
        <v>129</v>
      </c>
      <c r="J20" s="208" t="s">
        <v>116</v>
      </c>
      <c r="K20" s="207" t="s">
        <v>93</v>
      </c>
      <c r="L20" s="229">
        <v>4</v>
      </c>
      <c r="M20" s="207">
        <v>0.5</v>
      </c>
      <c r="N20" s="261">
        <f t="shared" si="0"/>
        <v>2E-3</v>
      </c>
      <c r="O20" s="209" t="s">
        <v>180</v>
      </c>
      <c r="P20" s="210">
        <v>550</v>
      </c>
      <c r="Q20" s="202">
        <f t="shared" si="1"/>
        <v>2200</v>
      </c>
      <c r="R20" s="209" t="s">
        <v>129</v>
      </c>
      <c r="S20" s="227" t="s">
        <v>116</v>
      </c>
      <c r="T20" s="244" t="s">
        <v>154</v>
      </c>
      <c r="U20" s="210">
        <f t="shared" si="2"/>
        <v>531.88</v>
      </c>
      <c r="V20" s="202">
        <f t="shared" si="3"/>
        <v>2127.52</v>
      </c>
      <c r="W20" s="142" t="s">
        <v>129</v>
      </c>
      <c r="X20" s="240" t="s">
        <v>116</v>
      </c>
      <c r="Y20" s="139">
        <v>555</v>
      </c>
      <c r="Z20" s="139">
        <f t="shared" si="4"/>
        <v>462.5</v>
      </c>
      <c r="AA20" s="141">
        <f t="shared" si="5"/>
        <v>1850</v>
      </c>
      <c r="AB20" s="211" t="s">
        <v>129</v>
      </c>
      <c r="AC20" s="211" t="s">
        <v>116</v>
      </c>
      <c r="AD20" s="139">
        <v>616.04999999999995</v>
      </c>
      <c r="AE20" s="212">
        <f t="shared" si="6"/>
        <v>513.38</v>
      </c>
      <c r="AF20" s="141">
        <f t="shared" si="7"/>
        <v>2053.52</v>
      </c>
      <c r="AG20" s="252" t="str">
        <f t="shared" si="10"/>
        <v>Пластина Ф-4 20x50x240 мм</v>
      </c>
      <c r="AH20" s="246" t="str">
        <f t="shared" si="8"/>
        <v>шт.</v>
      </c>
      <c r="AI20" s="246">
        <f t="shared" si="9"/>
        <v>4</v>
      </c>
      <c r="AJ20" s="139">
        <f t="shared" si="11"/>
        <v>550</v>
      </c>
      <c r="AK20" s="141">
        <f t="shared" si="12"/>
        <v>2200</v>
      </c>
      <c r="AL20" s="13"/>
    </row>
    <row r="21" spans="2:39" s="98" customFormat="1" ht="48.75" customHeight="1">
      <c r="B21" s="260">
        <v>16</v>
      </c>
      <c r="C21" s="224" t="s">
        <v>87</v>
      </c>
      <c r="D21" s="225" t="s">
        <v>103</v>
      </c>
      <c r="E21" s="213" t="s">
        <v>104</v>
      </c>
      <c r="F21" s="207" t="s">
        <v>105</v>
      </c>
      <c r="G21" s="238" t="s">
        <v>94</v>
      </c>
      <c r="H21" s="207" t="s">
        <v>106</v>
      </c>
      <c r="I21" s="208" t="s">
        <v>133</v>
      </c>
      <c r="J21" s="208" t="s">
        <v>116</v>
      </c>
      <c r="K21" s="207" t="s">
        <v>93</v>
      </c>
      <c r="L21" s="229">
        <v>5</v>
      </c>
      <c r="M21" s="207">
        <v>8.5</v>
      </c>
      <c r="N21" s="261">
        <f t="shared" si="0"/>
        <v>4.2500000000000003E-2</v>
      </c>
      <c r="O21" s="209" t="s">
        <v>174</v>
      </c>
      <c r="P21" s="210">
        <v>1500</v>
      </c>
      <c r="Q21" s="202">
        <f t="shared" si="1"/>
        <v>7500</v>
      </c>
      <c r="R21" s="209" t="s">
        <v>135</v>
      </c>
      <c r="S21" s="227" t="s">
        <v>116</v>
      </c>
      <c r="T21" s="244" t="s">
        <v>155</v>
      </c>
      <c r="U21" s="210">
        <f t="shared" si="2"/>
        <v>1856.29</v>
      </c>
      <c r="V21" s="202">
        <f t="shared" si="3"/>
        <v>9281.4500000000007</v>
      </c>
      <c r="W21" s="142" t="s">
        <v>135</v>
      </c>
      <c r="X21" s="240" t="s">
        <v>116</v>
      </c>
      <c r="Y21" s="139">
        <v>1937</v>
      </c>
      <c r="Z21" s="139">
        <f t="shared" si="4"/>
        <v>1614.17</v>
      </c>
      <c r="AA21" s="141">
        <f t="shared" si="5"/>
        <v>8070.85</v>
      </c>
      <c r="AB21" s="211" t="s">
        <v>135</v>
      </c>
      <c r="AC21" s="211" t="s">
        <v>116</v>
      </c>
      <c r="AD21" s="139">
        <v>2150.0700000000002</v>
      </c>
      <c r="AE21" s="212">
        <f t="shared" si="6"/>
        <v>1791.73</v>
      </c>
      <c r="AF21" s="141">
        <f t="shared" si="7"/>
        <v>8958.65</v>
      </c>
      <c r="AG21" s="252" t="str">
        <f t="shared" si="10"/>
        <v>Пластина Ф-4 20x200x200 мм</v>
      </c>
      <c r="AH21" s="246" t="str">
        <f t="shared" si="8"/>
        <v>шт.</v>
      </c>
      <c r="AI21" s="246">
        <f t="shared" si="9"/>
        <v>5</v>
      </c>
      <c r="AJ21" s="139">
        <f t="shared" si="11"/>
        <v>1500</v>
      </c>
      <c r="AK21" s="141">
        <f t="shared" si="12"/>
        <v>7500</v>
      </c>
      <c r="AL21" s="13"/>
    </row>
    <row r="22" spans="2:39" s="98" customFormat="1" ht="48.75" customHeight="1">
      <c r="B22" s="260">
        <v>17</v>
      </c>
      <c r="C22" s="224" t="s">
        <v>87</v>
      </c>
      <c r="D22" s="225" t="s">
        <v>107</v>
      </c>
      <c r="E22" s="213" t="s">
        <v>134</v>
      </c>
      <c r="F22" s="207" t="s">
        <v>108</v>
      </c>
      <c r="G22" s="238" t="s">
        <v>94</v>
      </c>
      <c r="H22" s="207" t="s">
        <v>109</v>
      </c>
      <c r="I22" s="208" t="s">
        <v>130</v>
      </c>
      <c r="J22" s="208" t="s">
        <v>116</v>
      </c>
      <c r="K22" s="207" t="s">
        <v>93</v>
      </c>
      <c r="L22" s="229">
        <v>9</v>
      </c>
      <c r="M22" s="207">
        <v>8.1999999999999993</v>
      </c>
      <c r="N22" s="261">
        <f t="shared" si="0"/>
        <v>7.3799999999999991E-2</v>
      </c>
      <c r="O22" s="209" t="s">
        <v>181</v>
      </c>
      <c r="P22" s="210">
        <v>8200</v>
      </c>
      <c r="Q22" s="202">
        <f t="shared" si="1"/>
        <v>73800</v>
      </c>
      <c r="R22" s="209" t="s">
        <v>130</v>
      </c>
      <c r="S22" s="227" t="s">
        <v>116</v>
      </c>
      <c r="T22" s="244" t="s">
        <v>156</v>
      </c>
      <c r="U22" s="210">
        <f t="shared" si="2"/>
        <v>9232.58</v>
      </c>
      <c r="V22" s="202">
        <f t="shared" si="3"/>
        <v>83093.22</v>
      </c>
      <c r="W22" s="142" t="s">
        <v>130</v>
      </c>
      <c r="X22" s="240" t="s">
        <v>116</v>
      </c>
      <c r="Y22" s="139">
        <v>9634</v>
      </c>
      <c r="Z22" s="139">
        <f t="shared" si="4"/>
        <v>8028.33</v>
      </c>
      <c r="AA22" s="141">
        <f t="shared" si="5"/>
        <v>72254.97</v>
      </c>
      <c r="AB22" s="211" t="s">
        <v>130</v>
      </c>
      <c r="AC22" s="211" t="s">
        <v>116</v>
      </c>
      <c r="AD22" s="139">
        <v>10693.74</v>
      </c>
      <c r="AE22" s="212">
        <f t="shared" si="6"/>
        <v>8911.4500000000007</v>
      </c>
      <c r="AF22" s="141">
        <f t="shared" si="7"/>
        <v>80203.05</v>
      </c>
      <c r="AG22" s="252" t="str">
        <f t="shared" si="10"/>
        <v>Пластина Ф-4 20x240x780 мм</v>
      </c>
      <c r="AH22" s="246" t="str">
        <f t="shared" si="8"/>
        <v>шт.</v>
      </c>
      <c r="AI22" s="246">
        <f t="shared" si="9"/>
        <v>9</v>
      </c>
      <c r="AJ22" s="139">
        <f t="shared" si="11"/>
        <v>8200</v>
      </c>
      <c r="AK22" s="141">
        <f t="shared" si="12"/>
        <v>73800</v>
      </c>
      <c r="AL22" s="13"/>
    </row>
    <row r="23" spans="2:39" s="98" customFormat="1" ht="48.75" customHeight="1">
      <c r="B23" s="260">
        <v>18</v>
      </c>
      <c r="C23" s="224" t="s">
        <v>87</v>
      </c>
      <c r="D23" s="225" t="s">
        <v>107</v>
      </c>
      <c r="E23" s="213" t="s">
        <v>134</v>
      </c>
      <c r="F23" s="207" t="s">
        <v>108</v>
      </c>
      <c r="G23" s="238" t="s">
        <v>94</v>
      </c>
      <c r="H23" s="207" t="s">
        <v>109</v>
      </c>
      <c r="I23" s="208" t="s">
        <v>131</v>
      </c>
      <c r="J23" s="208" t="s">
        <v>116</v>
      </c>
      <c r="K23" s="207" t="s">
        <v>93</v>
      </c>
      <c r="L23" s="229">
        <v>18</v>
      </c>
      <c r="M23" s="207">
        <v>1.72</v>
      </c>
      <c r="N23" s="261">
        <f t="shared" si="0"/>
        <v>3.0960000000000001E-2</v>
      </c>
      <c r="O23" s="209" t="s">
        <v>182</v>
      </c>
      <c r="P23" s="210">
        <v>2000</v>
      </c>
      <c r="Q23" s="202">
        <f t="shared" si="1"/>
        <v>36000</v>
      </c>
      <c r="R23" s="209" t="s">
        <v>131</v>
      </c>
      <c r="S23" s="227" t="s">
        <v>116</v>
      </c>
      <c r="T23" s="244" t="s">
        <v>157</v>
      </c>
      <c r="U23" s="210">
        <f t="shared" si="2"/>
        <v>1725</v>
      </c>
      <c r="V23" s="202">
        <f t="shared" si="3"/>
        <v>31050</v>
      </c>
      <c r="W23" s="142" t="s">
        <v>131</v>
      </c>
      <c r="X23" s="240" t="s">
        <v>116</v>
      </c>
      <c r="Y23" s="139">
        <v>1800</v>
      </c>
      <c r="Z23" s="139">
        <f t="shared" si="4"/>
        <v>1500</v>
      </c>
      <c r="AA23" s="141">
        <f t="shared" si="5"/>
        <v>27000</v>
      </c>
      <c r="AB23" s="211" t="s">
        <v>131</v>
      </c>
      <c r="AC23" s="211" t="s">
        <v>116</v>
      </c>
      <c r="AD23" s="139">
        <v>1998</v>
      </c>
      <c r="AE23" s="212">
        <f t="shared" si="6"/>
        <v>1665</v>
      </c>
      <c r="AF23" s="141">
        <f t="shared" si="7"/>
        <v>29970</v>
      </c>
      <c r="AG23" s="252" t="str">
        <f t="shared" si="10"/>
        <v>Пластина Ф-4 20x50x780 мм</v>
      </c>
      <c r="AH23" s="246" t="str">
        <f t="shared" si="8"/>
        <v>шт.</v>
      </c>
      <c r="AI23" s="246">
        <f t="shared" si="9"/>
        <v>18</v>
      </c>
      <c r="AJ23" s="139">
        <f t="shared" si="11"/>
        <v>2000</v>
      </c>
      <c r="AK23" s="141">
        <f t="shared" si="12"/>
        <v>36000</v>
      </c>
      <c r="AL23" s="13"/>
    </row>
    <row r="24" spans="2:39" s="98" customFormat="1" ht="48.75" customHeight="1">
      <c r="B24" s="260">
        <v>19</v>
      </c>
      <c r="C24" s="224" t="s">
        <v>87</v>
      </c>
      <c r="D24" s="225" t="s">
        <v>107</v>
      </c>
      <c r="E24" s="213" t="s">
        <v>134</v>
      </c>
      <c r="F24" s="207" t="s">
        <v>108</v>
      </c>
      <c r="G24" s="238" t="s">
        <v>94</v>
      </c>
      <c r="H24" s="207" t="s">
        <v>109</v>
      </c>
      <c r="I24" s="208" t="s">
        <v>132</v>
      </c>
      <c r="J24" s="208" t="s">
        <v>116</v>
      </c>
      <c r="K24" s="207" t="s">
        <v>93</v>
      </c>
      <c r="L24" s="229">
        <v>18</v>
      </c>
      <c r="M24" s="207">
        <v>0.48</v>
      </c>
      <c r="N24" s="261">
        <f t="shared" si="0"/>
        <v>8.6400000000000001E-3</v>
      </c>
      <c r="O24" s="209" t="s">
        <v>183</v>
      </c>
      <c r="P24" s="210">
        <v>550</v>
      </c>
      <c r="Q24" s="202">
        <f t="shared" si="1"/>
        <v>9900</v>
      </c>
      <c r="R24" s="209" t="s">
        <v>132</v>
      </c>
      <c r="S24" s="227" t="s">
        <v>116</v>
      </c>
      <c r="T24" s="244" t="s">
        <v>158</v>
      </c>
      <c r="U24" s="210">
        <f t="shared" si="2"/>
        <v>490.67</v>
      </c>
      <c r="V24" s="202">
        <f t="shared" si="3"/>
        <v>8832.06</v>
      </c>
      <c r="W24" s="142" t="s">
        <v>132</v>
      </c>
      <c r="X24" s="240" t="s">
        <v>116</v>
      </c>
      <c r="Y24" s="139">
        <v>512</v>
      </c>
      <c r="Z24" s="139">
        <f t="shared" si="4"/>
        <v>426.67</v>
      </c>
      <c r="AA24" s="141">
        <f t="shared" si="5"/>
        <v>7680.06</v>
      </c>
      <c r="AB24" s="211" t="s">
        <v>132</v>
      </c>
      <c r="AC24" s="211" t="s">
        <v>116</v>
      </c>
      <c r="AD24" s="139">
        <v>568.32000000000005</v>
      </c>
      <c r="AE24" s="212">
        <f t="shared" si="6"/>
        <v>473.6</v>
      </c>
      <c r="AF24" s="141">
        <f t="shared" si="7"/>
        <v>8524.7999999999993</v>
      </c>
      <c r="AG24" s="252" t="str">
        <f t="shared" si="10"/>
        <v>Пластина Ф-4 20x50x220 мм</v>
      </c>
      <c r="AH24" s="246" t="str">
        <f t="shared" si="8"/>
        <v>шт.</v>
      </c>
      <c r="AI24" s="246">
        <f t="shared" si="9"/>
        <v>18</v>
      </c>
      <c r="AJ24" s="139">
        <f t="shared" si="11"/>
        <v>550</v>
      </c>
      <c r="AK24" s="141">
        <f t="shared" si="12"/>
        <v>9900</v>
      </c>
      <c r="AL24" s="13"/>
    </row>
    <row r="25" spans="2:39" s="34" customFormat="1" ht="26.25" customHeight="1" thickBot="1">
      <c r="B25" s="260"/>
      <c r="C25" s="143" t="s">
        <v>30</v>
      </c>
      <c r="D25" s="143"/>
      <c r="E25" s="143"/>
      <c r="F25" s="144"/>
      <c r="G25" s="144"/>
      <c r="H25" s="144"/>
      <c r="I25" s="145"/>
      <c r="J25" s="146"/>
      <c r="K25" s="146" t="s">
        <v>71</v>
      </c>
      <c r="L25" s="214">
        <f>SUM(L6:L24)</f>
        <v>504</v>
      </c>
      <c r="M25" s="214"/>
      <c r="N25" s="262">
        <f>SUM(N6:N24)</f>
        <v>2.1577000000000002</v>
      </c>
      <c r="O25" s="284">
        <f>ROUND(SUM(Q6:Q24),2)</f>
        <v>1904420</v>
      </c>
      <c r="P25" s="285"/>
      <c r="Q25" s="286"/>
      <c r="R25" s="284">
        <f>ROUND(SUM(V6:V24),2)</f>
        <v>2395622.2200000002</v>
      </c>
      <c r="S25" s="372"/>
      <c r="T25" s="285"/>
      <c r="U25" s="285"/>
      <c r="V25" s="286"/>
      <c r="W25" s="405">
        <f>SUM(AA6:AA24)</f>
        <v>2083150.15</v>
      </c>
      <c r="X25" s="406"/>
      <c r="Y25" s="407"/>
      <c r="Z25" s="407"/>
      <c r="AA25" s="408"/>
      <c r="AB25" s="341">
        <f>SUM(AF6:AF24)</f>
        <v>2312297.34</v>
      </c>
      <c r="AC25" s="341"/>
      <c r="AD25" s="341"/>
      <c r="AE25" s="341"/>
      <c r="AF25" s="342"/>
      <c r="AG25" s="340">
        <f t="shared" ref="AG25:AG30" si="13">O25</f>
        <v>1904420</v>
      </c>
      <c r="AH25" s="341"/>
      <c r="AI25" s="341"/>
      <c r="AJ25" s="341" t="e">
        <f>#REF!</f>
        <v>#REF!</v>
      </c>
      <c r="AK25" s="342"/>
      <c r="AL25" s="33"/>
    </row>
    <row r="26" spans="2:39" ht="20.100000000000001" customHeight="1" thickBot="1">
      <c r="B26" s="260"/>
      <c r="C26" s="173" t="s">
        <v>48</v>
      </c>
      <c r="D26" s="147"/>
      <c r="E26" s="147"/>
      <c r="F26" s="147"/>
      <c r="G26" s="147"/>
      <c r="H26" s="147"/>
      <c r="I26" s="148"/>
      <c r="J26" s="149"/>
      <c r="K26" s="150"/>
      <c r="L26" s="179"/>
      <c r="M26" s="179"/>
      <c r="N26" s="263"/>
      <c r="O26" s="287">
        <f>ROUND(O25*0.2,2)</f>
        <v>380884</v>
      </c>
      <c r="P26" s="288"/>
      <c r="Q26" s="289"/>
      <c r="R26" s="287">
        <f>ROUND(R25*0.2,2)</f>
        <v>479124.44</v>
      </c>
      <c r="S26" s="373"/>
      <c r="T26" s="288"/>
      <c r="U26" s="288"/>
      <c r="V26" s="289"/>
      <c r="W26" s="299">
        <f>ROUND(W25*0.2,2)</f>
        <v>416630.03</v>
      </c>
      <c r="X26" s="300"/>
      <c r="Y26" s="300"/>
      <c r="Z26" s="300"/>
      <c r="AA26" s="301"/>
      <c r="AB26" s="302">
        <f>ROUND(AB25*0.2,2)</f>
        <v>462459.47</v>
      </c>
      <c r="AC26" s="303"/>
      <c r="AD26" s="303"/>
      <c r="AE26" s="303"/>
      <c r="AF26" s="304"/>
      <c r="AG26" s="343">
        <f t="shared" si="13"/>
        <v>380884</v>
      </c>
      <c r="AH26" s="344"/>
      <c r="AI26" s="344"/>
      <c r="AJ26" s="344" t="e">
        <f>#REF!</f>
        <v>#REF!</v>
      </c>
      <c r="AK26" s="345"/>
    </row>
    <row r="27" spans="2:39" ht="18.75" customHeight="1" thickBot="1">
      <c r="B27" s="264"/>
      <c r="C27" s="174" t="s">
        <v>10</v>
      </c>
      <c r="D27" s="151"/>
      <c r="E27" s="151"/>
      <c r="F27" s="151"/>
      <c r="G27" s="151"/>
      <c r="H27" s="151"/>
      <c r="I27" s="152"/>
      <c r="J27" s="153"/>
      <c r="K27" s="154"/>
      <c r="L27" s="180"/>
      <c r="M27" s="180"/>
      <c r="N27" s="265"/>
      <c r="O27" s="290">
        <f>ROUND(O25+O26,2)</f>
        <v>2285304</v>
      </c>
      <c r="P27" s="291"/>
      <c r="Q27" s="292"/>
      <c r="R27" s="290">
        <f>ROUND(R25+R26,2)</f>
        <v>2874746.66</v>
      </c>
      <c r="S27" s="374"/>
      <c r="T27" s="291"/>
      <c r="U27" s="291"/>
      <c r="V27" s="292"/>
      <c r="W27" s="302">
        <f>ROUND(W25+W26,2)+0.03</f>
        <v>2499780.21</v>
      </c>
      <c r="X27" s="303"/>
      <c r="Y27" s="303"/>
      <c r="Z27" s="303"/>
      <c r="AA27" s="304"/>
      <c r="AB27" s="302">
        <f>ROUND(AB25+AB26,2)</f>
        <v>2774756.81</v>
      </c>
      <c r="AC27" s="303"/>
      <c r="AD27" s="303"/>
      <c r="AE27" s="303"/>
      <c r="AF27" s="304"/>
      <c r="AG27" s="343">
        <f t="shared" si="13"/>
        <v>2285304</v>
      </c>
      <c r="AH27" s="344"/>
      <c r="AI27" s="344"/>
      <c r="AJ27" s="344" t="e">
        <f>#REF!</f>
        <v>#REF!</v>
      </c>
      <c r="AK27" s="345"/>
      <c r="AL27" s="18"/>
      <c r="AM27" s="19"/>
    </row>
    <row r="28" spans="2:39" ht="34.950000000000003" customHeight="1">
      <c r="B28" s="257"/>
      <c r="C28" s="367" t="s">
        <v>24</v>
      </c>
      <c r="D28" s="368"/>
      <c r="E28" s="368"/>
      <c r="F28" s="368"/>
      <c r="G28" s="368"/>
      <c r="H28" s="368"/>
      <c r="I28" s="368"/>
      <c r="J28" s="368"/>
      <c r="K28" s="369"/>
      <c r="L28" s="270"/>
      <c r="M28" s="181"/>
      <c r="N28" s="258"/>
      <c r="O28" s="293" t="s">
        <v>186</v>
      </c>
      <c r="P28" s="294"/>
      <c r="Q28" s="295"/>
      <c r="R28" s="293" t="s">
        <v>137</v>
      </c>
      <c r="S28" s="375"/>
      <c r="T28" s="294"/>
      <c r="U28" s="294"/>
      <c r="V28" s="295"/>
      <c r="W28" s="305" t="s">
        <v>136</v>
      </c>
      <c r="X28" s="306"/>
      <c r="Y28" s="306"/>
      <c r="Z28" s="306"/>
      <c r="AA28" s="307"/>
      <c r="AB28" s="305" t="s">
        <v>139</v>
      </c>
      <c r="AC28" s="306"/>
      <c r="AD28" s="306"/>
      <c r="AE28" s="306"/>
      <c r="AF28" s="307"/>
      <c r="AG28" s="346" t="str">
        <f t="shared" si="13"/>
        <v>20 календарных дней</v>
      </c>
      <c r="AH28" s="347"/>
      <c r="AI28" s="347"/>
      <c r="AJ28" s="347" t="e">
        <f>#REF!</f>
        <v>#REF!</v>
      </c>
      <c r="AK28" s="348"/>
    </row>
    <row r="29" spans="2:39" ht="34.950000000000003" customHeight="1">
      <c r="B29" s="155" t="s">
        <v>6</v>
      </c>
      <c r="C29" s="376" t="s">
        <v>25</v>
      </c>
      <c r="D29" s="377"/>
      <c r="E29" s="377"/>
      <c r="F29" s="377"/>
      <c r="G29" s="377"/>
      <c r="H29" s="377"/>
      <c r="I29" s="377"/>
      <c r="J29" s="377"/>
      <c r="K29" s="378"/>
      <c r="L29" s="271"/>
      <c r="M29" s="200"/>
      <c r="N29" s="199"/>
      <c r="O29" s="277" t="s">
        <v>198</v>
      </c>
      <c r="P29" s="275"/>
      <c r="Q29" s="276"/>
      <c r="R29" s="277" t="s">
        <v>159</v>
      </c>
      <c r="S29" s="311"/>
      <c r="T29" s="275"/>
      <c r="U29" s="275"/>
      <c r="V29" s="276"/>
      <c r="W29" s="308" t="s">
        <v>137</v>
      </c>
      <c r="X29" s="309"/>
      <c r="Y29" s="309"/>
      <c r="Z29" s="309"/>
      <c r="AA29" s="310"/>
      <c r="AB29" s="308" t="s">
        <v>140</v>
      </c>
      <c r="AC29" s="309"/>
      <c r="AD29" s="309"/>
      <c r="AE29" s="309"/>
      <c r="AF29" s="310"/>
      <c r="AG29" s="355" t="str">
        <f t="shared" si="13"/>
        <v>30 календарных дней</v>
      </c>
      <c r="AH29" s="356"/>
      <c r="AI29" s="356"/>
      <c r="AJ29" s="356" t="e">
        <f>#REF!</f>
        <v>#REF!</v>
      </c>
      <c r="AK29" s="357"/>
    </row>
    <row r="30" spans="2:39" ht="34.950000000000003" customHeight="1">
      <c r="B30" s="156" t="s">
        <v>7</v>
      </c>
      <c r="C30" s="376" t="s">
        <v>32</v>
      </c>
      <c r="D30" s="377"/>
      <c r="E30" s="377"/>
      <c r="F30" s="377"/>
      <c r="G30" s="377"/>
      <c r="H30" s="377"/>
      <c r="I30" s="377"/>
      <c r="J30" s="377"/>
      <c r="K30" s="378"/>
      <c r="L30" s="271"/>
      <c r="M30" s="200"/>
      <c r="N30" s="199"/>
      <c r="O30" s="277" t="s">
        <v>187</v>
      </c>
      <c r="P30" s="275"/>
      <c r="Q30" s="276"/>
      <c r="R30" s="277" t="s">
        <v>138</v>
      </c>
      <c r="S30" s="311"/>
      <c r="T30" s="275"/>
      <c r="U30" s="275"/>
      <c r="V30" s="276"/>
      <c r="W30" s="308" t="s">
        <v>184</v>
      </c>
      <c r="X30" s="309"/>
      <c r="Y30" s="309"/>
      <c r="Z30" s="309"/>
      <c r="AA30" s="310"/>
      <c r="AB30" s="308" t="s">
        <v>141</v>
      </c>
      <c r="AC30" s="309"/>
      <c r="AD30" s="309"/>
      <c r="AE30" s="309"/>
      <c r="AF30" s="310"/>
      <c r="AG30" s="355" t="str">
        <f t="shared" si="13"/>
        <v>50% аванс, 50% в течение 30 дней после поставки</v>
      </c>
      <c r="AH30" s="356"/>
      <c r="AI30" s="356"/>
      <c r="AJ30" s="356" t="e">
        <f>#REF!</f>
        <v>#REF!</v>
      </c>
      <c r="AK30" s="357"/>
    </row>
    <row r="31" spans="2:39" ht="34.950000000000003" customHeight="1">
      <c r="B31" s="155" t="s">
        <v>13</v>
      </c>
      <c r="C31" s="376" t="s">
        <v>31</v>
      </c>
      <c r="D31" s="377"/>
      <c r="E31" s="377"/>
      <c r="F31" s="377"/>
      <c r="G31" s="377"/>
      <c r="H31" s="377"/>
      <c r="I31" s="377"/>
      <c r="J31" s="377"/>
      <c r="K31" s="378"/>
      <c r="L31" s="271"/>
      <c r="M31" s="200"/>
      <c r="N31" s="188">
        <v>43845</v>
      </c>
      <c r="O31" s="296"/>
      <c r="P31" s="297"/>
      <c r="Q31" s="298"/>
      <c r="R31" s="296"/>
      <c r="S31" s="404"/>
      <c r="T31" s="297"/>
      <c r="U31" s="297"/>
      <c r="V31" s="298"/>
      <c r="W31" s="195"/>
      <c r="X31" s="236"/>
      <c r="Y31" s="236"/>
      <c r="Z31" s="196"/>
      <c r="AA31" s="197"/>
      <c r="AB31" s="401"/>
      <c r="AC31" s="402"/>
      <c r="AD31" s="402"/>
      <c r="AE31" s="402"/>
      <c r="AF31" s="403"/>
      <c r="AG31" s="358"/>
      <c r="AH31" s="359"/>
      <c r="AI31" s="359"/>
      <c r="AJ31" s="360"/>
      <c r="AK31" s="361"/>
    </row>
    <row r="32" spans="2:39" ht="34.950000000000003" customHeight="1">
      <c r="B32" s="155"/>
      <c r="C32" s="376" t="s">
        <v>47</v>
      </c>
      <c r="D32" s="377"/>
      <c r="E32" s="377"/>
      <c r="F32" s="377"/>
      <c r="G32" s="377"/>
      <c r="H32" s="377"/>
      <c r="I32" s="377"/>
      <c r="J32" s="377"/>
      <c r="K32" s="378"/>
      <c r="L32" s="271"/>
      <c r="M32" s="200"/>
      <c r="N32" s="188">
        <v>43997</v>
      </c>
      <c r="O32" s="296"/>
      <c r="P32" s="297"/>
      <c r="Q32" s="298"/>
      <c r="R32" s="296"/>
      <c r="S32" s="404"/>
      <c r="T32" s="297"/>
      <c r="U32" s="297"/>
      <c r="V32" s="298"/>
      <c r="W32" s="195"/>
      <c r="X32" s="236"/>
      <c r="Y32" s="236"/>
      <c r="Z32" s="196"/>
      <c r="AA32" s="197"/>
      <c r="AB32" s="401"/>
      <c r="AC32" s="402"/>
      <c r="AD32" s="402"/>
      <c r="AE32" s="402"/>
      <c r="AF32" s="403"/>
      <c r="AG32" s="362"/>
      <c r="AH32" s="363"/>
      <c r="AI32" s="363"/>
      <c r="AJ32" s="364"/>
      <c r="AK32" s="365"/>
    </row>
    <row r="33" spans="2:39" ht="34.950000000000003" customHeight="1">
      <c r="B33" s="155"/>
      <c r="C33" s="376" t="s">
        <v>46</v>
      </c>
      <c r="D33" s="377"/>
      <c r="E33" s="377"/>
      <c r="F33" s="377"/>
      <c r="G33" s="377"/>
      <c r="H33" s="377"/>
      <c r="I33" s="377"/>
      <c r="J33" s="377"/>
      <c r="K33" s="378"/>
      <c r="L33" s="271"/>
      <c r="M33" s="200"/>
      <c r="N33" s="187">
        <f>N25</f>
        <v>2.1577000000000002</v>
      </c>
      <c r="O33" s="251">
        <f>N25</f>
        <v>2.1577000000000002</v>
      </c>
      <c r="P33" s="275"/>
      <c r="Q33" s="276"/>
      <c r="R33" s="308">
        <f>N25</f>
        <v>2.1577000000000002</v>
      </c>
      <c r="S33" s="309"/>
      <c r="T33" s="275"/>
      <c r="U33" s="275"/>
      <c r="V33" s="276"/>
      <c r="W33" s="192">
        <f>N25</f>
        <v>2.1577000000000002</v>
      </c>
      <c r="X33" s="235"/>
      <c r="Y33" s="235"/>
      <c r="Z33" s="193"/>
      <c r="AA33" s="194"/>
      <c r="AB33" s="308">
        <f>N25</f>
        <v>2.1577000000000002</v>
      </c>
      <c r="AC33" s="309"/>
      <c r="AD33" s="309"/>
      <c r="AE33" s="309"/>
      <c r="AF33" s="310"/>
      <c r="AG33" s="349">
        <f>O33</f>
        <v>2.1577000000000002</v>
      </c>
      <c r="AH33" s="350"/>
      <c r="AI33" s="350"/>
      <c r="AJ33" s="350"/>
      <c r="AK33" s="351"/>
    </row>
    <row r="34" spans="2:39" ht="34.950000000000003" customHeight="1">
      <c r="B34" s="155" t="s">
        <v>22</v>
      </c>
      <c r="C34" s="376" t="s">
        <v>21</v>
      </c>
      <c r="D34" s="377"/>
      <c r="E34" s="377"/>
      <c r="F34" s="377"/>
      <c r="G34" s="377"/>
      <c r="H34" s="377"/>
      <c r="I34" s="377"/>
      <c r="J34" s="377"/>
      <c r="K34" s="378"/>
      <c r="L34" s="271"/>
      <c r="M34" s="200"/>
      <c r="N34" s="199"/>
      <c r="O34" s="277" t="s">
        <v>188</v>
      </c>
      <c r="P34" s="275"/>
      <c r="Q34" s="276"/>
      <c r="R34" s="277" t="s">
        <v>160</v>
      </c>
      <c r="S34" s="311"/>
      <c r="T34" s="275"/>
      <c r="U34" s="275"/>
      <c r="V34" s="276"/>
      <c r="W34" s="308" t="s">
        <v>84</v>
      </c>
      <c r="X34" s="309"/>
      <c r="Y34" s="309"/>
      <c r="Z34" s="309"/>
      <c r="AA34" s="310"/>
      <c r="AB34" s="308" t="s">
        <v>79</v>
      </c>
      <c r="AC34" s="309"/>
      <c r="AD34" s="309"/>
      <c r="AE34" s="309"/>
      <c r="AF34" s="310"/>
      <c r="AG34" s="349" t="str">
        <f>O34</f>
        <v>г. Санкт-Петербург</v>
      </c>
      <c r="AH34" s="350"/>
      <c r="AI34" s="350"/>
      <c r="AJ34" s="350"/>
      <c r="AK34" s="351"/>
    </row>
    <row r="35" spans="2:39" ht="34.950000000000003" customHeight="1">
      <c r="B35" s="155" t="s">
        <v>20</v>
      </c>
      <c r="C35" s="376" t="s">
        <v>19</v>
      </c>
      <c r="D35" s="377"/>
      <c r="E35" s="377"/>
      <c r="F35" s="377"/>
      <c r="G35" s="377"/>
      <c r="H35" s="377"/>
      <c r="I35" s="377"/>
      <c r="J35" s="377"/>
      <c r="K35" s="378"/>
      <c r="L35" s="271"/>
      <c r="M35" s="200"/>
      <c r="N35" s="199"/>
      <c r="O35" s="277" t="s">
        <v>27</v>
      </c>
      <c r="P35" s="275"/>
      <c r="Q35" s="276"/>
      <c r="R35" s="277" t="s">
        <v>27</v>
      </c>
      <c r="S35" s="311"/>
      <c r="T35" s="275"/>
      <c r="U35" s="275"/>
      <c r="V35" s="276"/>
      <c r="W35" s="277" t="s">
        <v>27</v>
      </c>
      <c r="X35" s="311"/>
      <c r="Y35" s="275"/>
      <c r="Z35" s="275"/>
      <c r="AA35" s="276"/>
      <c r="AB35" s="308" t="s">
        <v>27</v>
      </c>
      <c r="AC35" s="309"/>
      <c r="AD35" s="309"/>
      <c r="AE35" s="309"/>
      <c r="AF35" s="310"/>
      <c r="AG35" s="349" t="s">
        <v>27</v>
      </c>
      <c r="AH35" s="350"/>
      <c r="AI35" s="350"/>
      <c r="AJ35" s="350"/>
      <c r="AK35" s="351"/>
    </row>
    <row r="36" spans="2:39" ht="34.950000000000003" customHeight="1">
      <c r="B36" s="155" t="s">
        <v>18</v>
      </c>
      <c r="C36" s="376" t="s">
        <v>17</v>
      </c>
      <c r="D36" s="377"/>
      <c r="E36" s="377"/>
      <c r="F36" s="377"/>
      <c r="G36" s="377"/>
      <c r="H36" s="377"/>
      <c r="I36" s="377"/>
      <c r="J36" s="377"/>
      <c r="K36" s="378"/>
      <c r="L36" s="271"/>
      <c r="M36" s="200"/>
      <c r="N36" s="199"/>
      <c r="O36" s="277" t="s">
        <v>50</v>
      </c>
      <c r="P36" s="275"/>
      <c r="Q36" s="276"/>
      <c r="R36" s="277" t="s">
        <v>50</v>
      </c>
      <c r="S36" s="311"/>
      <c r="T36" s="275"/>
      <c r="U36" s="275"/>
      <c r="V36" s="276"/>
      <c r="W36" s="277" t="s">
        <v>50</v>
      </c>
      <c r="X36" s="311"/>
      <c r="Y36" s="275"/>
      <c r="Z36" s="275"/>
      <c r="AA36" s="276"/>
      <c r="AB36" s="308" t="s">
        <v>50</v>
      </c>
      <c r="AC36" s="309"/>
      <c r="AD36" s="309"/>
      <c r="AE36" s="309"/>
      <c r="AF36" s="310"/>
      <c r="AG36" s="349" t="s">
        <v>50</v>
      </c>
      <c r="AH36" s="350"/>
      <c r="AI36" s="350"/>
      <c r="AJ36" s="350"/>
      <c r="AK36" s="351"/>
      <c r="AL36" s="8"/>
    </row>
    <row r="37" spans="2:39" ht="34.950000000000003" customHeight="1">
      <c r="B37" s="155" t="s">
        <v>16</v>
      </c>
      <c r="C37" s="376" t="s">
        <v>161</v>
      </c>
      <c r="D37" s="377"/>
      <c r="E37" s="377"/>
      <c r="F37" s="377"/>
      <c r="G37" s="377"/>
      <c r="H37" s="377"/>
      <c r="I37" s="377"/>
      <c r="J37" s="377"/>
      <c r="K37" s="378"/>
      <c r="L37" s="271"/>
      <c r="M37" s="200"/>
      <c r="N37" s="199"/>
      <c r="O37" s="277">
        <f>O39*O33+O38</f>
        <v>48017.94292466667</v>
      </c>
      <c r="P37" s="275"/>
      <c r="Q37" s="276"/>
      <c r="R37" s="277">
        <f>R39*R33</f>
        <v>6351.2762580000008</v>
      </c>
      <c r="S37" s="311"/>
      <c r="T37" s="275"/>
      <c r="U37" s="275"/>
      <c r="V37" s="276"/>
      <c r="W37" s="277">
        <f>W39*W33</f>
        <v>6351.2762580000008</v>
      </c>
      <c r="X37" s="311"/>
      <c r="Y37" s="275"/>
      <c r="Z37" s="275"/>
      <c r="AA37" s="276"/>
      <c r="AB37" s="308">
        <f>AB39*AB33</f>
        <v>6351.2762580000008</v>
      </c>
      <c r="AC37" s="309"/>
      <c r="AD37" s="309"/>
      <c r="AE37" s="309"/>
      <c r="AF37" s="310"/>
      <c r="AG37" s="308">
        <f t="shared" ref="AG37:AG45" si="14">O37</f>
        <v>48017.94292466667</v>
      </c>
      <c r="AH37" s="309"/>
      <c r="AI37" s="309"/>
      <c r="AJ37" s="309"/>
      <c r="AK37" s="310"/>
      <c r="AL37" s="95"/>
    </row>
    <row r="38" spans="2:39" s="127" customFormat="1" ht="34.950000000000003" customHeight="1">
      <c r="B38" s="157" t="s">
        <v>33</v>
      </c>
      <c r="C38" s="398" t="s">
        <v>66</v>
      </c>
      <c r="D38" s="399"/>
      <c r="E38" s="399"/>
      <c r="F38" s="399"/>
      <c r="G38" s="399"/>
      <c r="H38" s="399"/>
      <c r="I38" s="399"/>
      <c r="J38" s="399"/>
      <c r="K38" s="399"/>
      <c r="L38" s="266"/>
      <c r="M38" s="266"/>
      <c r="N38" s="248"/>
      <c r="O38" s="278">
        <f>50000/1.2</f>
        <v>41666.666666666672</v>
      </c>
      <c r="P38" s="279"/>
      <c r="Q38" s="280"/>
      <c r="R38" s="278" t="s">
        <v>86</v>
      </c>
      <c r="S38" s="400"/>
      <c r="T38" s="279"/>
      <c r="U38" s="279"/>
      <c r="V38" s="280"/>
      <c r="W38" s="352" t="s">
        <v>86</v>
      </c>
      <c r="X38" s="353"/>
      <c r="Y38" s="353"/>
      <c r="Z38" s="353"/>
      <c r="AA38" s="354"/>
      <c r="AB38" s="352" t="s">
        <v>86</v>
      </c>
      <c r="AC38" s="353"/>
      <c r="AD38" s="353"/>
      <c r="AE38" s="353"/>
      <c r="AF38" s="354"/>
      <c r="AG38" s="352">
        <f t="shared" si="14"/>
        <v>41666.666666666672</v>
      </c>
      <c r="AH38" s="353"/>
      <c r="AI38" s="353"/>
      <c r="AJ38" s="353"/>
      <c r="AK38" s="354"/>
      <c r="AM38" s="127">
        <f>(AG38+AG25)/AG25</f>
        <v>1.0218789272674444</v>
      </c>
    </row>
    <row r="39" spans="2:39" s="127" customFormat="1" ht="34.950000000000003" customHeight="1">
      <c r="B39" s="157" t="s">
        <v>43</v>
      </c>
      <c r="C39" s="396" t="s">
        <v>196</v>
      </c>
      <c r="D39" s="397"/>
      <c r="E39" s="397"/>
      <c r="F39" s="397"/>
      <c r="G39" s="397"/>
      <c r="H39" s="397"/>
      <c r="I39" s="397"/>
      <c r="J39" s="198"/>
      <c r="K39" s="198"/>
      <c r="L39" s="267"/>
      <c r="M39" s="267"/>
      <c r="N39" s="247"/>
      <c r="O39" s="277">
        <f>ROUND(O40*O41,2)</f>
        <v>2943.54</v>
      </c>
      <c r="P39" s="275"/>
      <c r="Q39" s="276"/>
      <c r="R39" s="277">
        <f>ROUND(R40*R41,2)</f>
        <v>2943.54</v>
      </c>
      <c r="S39" s="311"/>
      <c r="T39" s="275"/>
      <c r="U39" s="275"/>
      <c r="V39" s="276"/>
      <c r="W39" s="277">
        <f>ROUND(W40*W41,2)</f>
        <v>2943.54</v>
      </c>
      <c r="X39" s="311"/>
      <c r="Y39" s="275"/>
      <c r="Z39" s="275"/>
      <c r="AA39" s="276"/>
      <c r="AB39" s="308">
        <f>ROUND(AB40*AB41,2)</f>
        <v>2943.54</v>
      </c>
      <c r="AC39" s="309"/>
      <c r="AD39" s="309"/>
      <c r="AE39" s="309"/>
      <c r="AF39" s="310"/>
      <c r="AG39" s="308">
        <f t="shared" si="14"/>
        <v>2943.54</v>
      </c>
      <c r="AH39" s="309"/>
      <c r="AI39" s="309"/>
      <c r="AJ39" s="309"/>
      <c r="AK39" s="310"/>
    </row>
    <row r="40" spans="2:39" s="127" customFormat="1" ht="34.950000000000003" customHeight="1">
      <c r="B40" s="157" t="s">
        <v>34</v>
      </c>
      <c r="C40" s="396" t="s">
        <v>162</v>
      </c>
      <c r="D40" s="397"/>
      <c r="E40" s="397"/>
      <c r="F40" s="397"/>
      <c r="G40" s="397"/>
      <c r="H40" s="397"/>
      <c r="I40" s="397"/>
      <c r="J40" s="198"/>
      <c r="K40" s="198"/>
      <c r="L40" s="267"/>
      <c r="M40" s="267"/>
      <c r="N40" s="247"/>
      <c r="O40" s="277">
        <v>79</v>
      </c>
      <c r="P40" s="275"/>
      <c r="Q40" s="276"/>
      <c r="R40" s="277">
        <v>79</v>
      </c>
      <c r="S40" s="311"/>
      <c r="T40" s="275"/>
      <c r="U40" s="275"/>
      <c r="V40" s="276"/>
      <c r="W40" s="277">
        <v>79</v>
      </c>
      <c r="X40" s="311"/>
      <c r="Y40" s="275"/>
      <c r="Z40" s="275"/>
      <c r="AA40" s="276"/>
      <c r="AB40" s="308">
        <v>79</v>
      </c>
      <c r="AC40" s="309"/>
      <c r="AD40" s="309"/>
      <c r="AE40" s="309"/>
      <c r="AF40" s="310"/>
      <c r="AG40" s="308">
        <f t="shared" si="14"/>
        <v>79</v>
      </c>
      <c r="AH40" s="309"/>
      <c r="AI40" s="309"/>
      <c r="AJ40" s="309"/>
      <c r="AK40" s="310"/>
    </row>
    <row r="41" spans="2:39" s="127" customFormat="1" ht="34.950000000000003" customHeight="1">
      <c r="B41" s="157" t="s">
        <v>35</v>
      </c>
      <c r="C41" s="249" t="s">
        <v>197</v>
      </c>
      <c r="D41" s="250"/>
      <c r="E41" s="250"/>
      <c r="F41" s="250"/>
      <c r="G41" s="250"/>
      <c r="H41" s="250"/>
      <c r="I41" s="250"/>
      <c r="J41" s="250"/>
      <c r="K41" s="250"/>
      <c r="L41" s="267"/>
      <c r="M41" s="267"/>
      <c r="N41" s="268"/>
      <c r="O41" s="308">
        <v>37.26</v>
      </c>
      <c r="P41" s="309"/>
      <c r="Q41" s="310"/>
      <c r="R41" s="308">
        <v>37.26</v>
      </c>
      <c r="S41" s="309"/>
      <c r="T41" s="309"/>
      <c r="U41" s="309"/>
      <c r="V41" s="310"/>
      <c r="W41" s="308">
        <v>37.26</v>
      </c>
      <c r="X41" s="309"/>
      <c r="Y41" s="309"/>
      <c r="Z41" s="309"/>
      <c r="AA41" s="310"/>
      <c r="AB41" s="308">
        <v>37.26</v>
      </c>
      <c r="AC41" s="309"/>
      <c r="AD41" s="309"/>
      <c r="AE41" s="309"/>
      <c r="AF41" s="310"/>
      <c r="AG41" s="308">
        <f t="shared" si="14"/>
        <v>37.26</v>
      </c>
      <c r="AH41" s="309"/>
      <c r="AI41" s="309"/>
      <c r="AJ41" s="309"/>
      <c r="AK41" s="310"/>
    </row>
    <row r="42" spans="2:39" s="127" customFormat="1" ht="25.5" customHeight="1" thickBot="1">
      <c r="B42" s="158" t="s">
        <v>36</v>
      </c>
      <c r="C42" s="382" t="s">
        <v>26</v>
      </c>
      <c r="D42" s="383"/>
      <c r="E42" s="383"/>
      <c r="F42" s="383"/>
      <c r="G42" s="383"/>
      <c r="H42" s="383"/>
      <c r="I42" s="383"/>
      <c r="J42" s="383"/>
      <c r="K42" s="384"/>
      <c r="L42" s="269"/>
      <c r="M42" s="269"/>
      <c r="N42" s="215"/>
      <c r="O42" s="392">
        <f>ROUND(O25+O37,2)</f>
        <v>1952437.94</v>
      </c>
      <c r="P42" s="394"/>
      <c r="Q42" s="395"/>
      <c r="R42" s="392">
        <f>ROUND(R25+R37,2)</f>
        <v>2401973.5</v>
      </c>
      <c r="S42" s="393"/>
      <c r="T42" s="394"/>
      <c r="U42" s="394"/>
      <c r="V42" s="395"/>
      <c r="W42" s="329">
        <f>ROUND(W25+W37,2)</f>
        <v>2089501.43</v>
      </c>
      <c r="X42" s="330"/>
      <c r="Y42" s="331"/>
      <c r="Z42" s="331"/>
      <c r="AA42" s="332"/>
      <c r="AB42" s="319">
        <f>ROUND(AB25+AB37,2)</f>
        <v>2318648.62</v>
      </c>
      <c r="AC42" s="320"/>
      <c r="AD42" s="320"/>
      <c r="AE42" s="320"/>
      <c r="AF42" s="321"/>
      <c r="AG42" s="308">
        <f t="shared" si="14"/>
        <v>1952437.94</v>
      </c>
      <c r="AH42" s="309"/>
      <c r="AI42" s="309"/>
      <c r="AJ42" s="309" t="s">
        <v>44</v>
      </c>
      <c r="AK42" s="310"/>
      <c r="AL42" s="128"/>
    </row>
    <row r="43" spans="2:39" ht="25.5" customHeight="1" thickBot="1">
      <c r="B43" s="32" t="s">
        <v>37</v>
      </c>
      <c r="C43" s="379" t="s">
        <v>15</v>
      </c>
      <c r="D43" s="380"/>
      <c r="E43" s="380"/>
      <c r="F43" s="380"/>
      <c r="G43" s="380"/>
      <c r="H43" s="380"/>
      <c r="I43" s="380"/>
      <c r="J43" s="380"/>
      <c r="K43" s="381"/>
      <c r="L43" s="272"/>
      <c r="M43" s="216"/>
      <c r="N43" s="217"/>
      <c r="O43" s="333">
        <f>ROUND(O42*1.2,2)</f>
        <v>2342925.5299999998</v>
      </c>
      <c r="P43" s="335"/>
      <c r="Q43" s="336"/>
      <c r="R43" s="333">
        <f>ROUND(R42*1.2,2)</f>
        <v>2882368.2</v>
      </c>
      <c r="S43" s="334"/>
      <c r="T43" s="335"/>
      <c r="U43" s="335"/>
      <c r="V43" s="336"/>
      <c r="W43" s="333">
        <f>ROUND(W42*1.2,2)</f>
        <v>2507401.7200000002</v>
      </c>
      <c r="X43" s="334"/>
      <c r="Y43" s="335"/>
      <c r="Z43" s="335"/>
      <c r="AA43" s="336"/>
      <c r="AB43" s="312">
        <f>ROUND(AB42*1.2,2)</f>
        <v>2782378.34</v>
      </c>
      <c r="AC43" s="313"/>
      <c r="AD43" s="313"/>
      <c r="AE43" s="313"/>
      <c r="AF43" s="314"/>
      <c r="AG43" s="312">
        <f t="shared" si="14"/>
        <v>2342925.5299999998</v>
      </c>
      <c r="AH43" s="313"/>
      <c r="AI43" s="313"/>
      <c r="AJ43" s="313" t="s">
        <v>44</v>
      </c>
      <c r="AK43" s="314"/>
      <c r="AL43" s="8"/>
    </row>
    <row r="44" spans="2:39" ht="18" customHeight="1">
      <c r="B44" s="172"/>
      <c r="C44" s="388" t="s">
        <v>75</v>
      </c>
      <c r="D44" s="389"/>
      <c r="E44" s="389"/>
      <c r="F44" s="389"/>
      <c r="G44" s="389"/>
      <c r="H44" s="389"/>
      <c r="I44" s="389"/>
      <c r="J44" s="389"/>
      <c r="K44" s="390"/>
      <c r="L44" s="273"/>
      <c r="M44" s="218"/>
      <c r="N44" s="219"/>
      <c r="O44" s="326">
        <f>ROUND(O42/O33,2)</f>
        <v>904869.97</v>
      </c>
      <c r="P44" s="327"/>
      <c r="Q44" s="328"/>
      <c r="R44" s="326">
        <f>ROUND(R42/R33,2)</f>
        <v>1113210.1299999999</v>
      </c>
      <c r="S44" s="327"/>
      <c r="T44" s="327"/>
      <c r="U44" s="327"/>
      <c r="V44" s="328"/>
      <c r="W44" s="326">
        <f>ROUND(W42/W33,2)</f>
        <v>968392.93</v>
      </c>
      <c r="X44" s="327"/>
      <c r="Y44" s="327"/>
      <c r="Z44" s="327"/>
      <c r="AA44" s="328"/>
      <c r="AB44" s="322">
        <f>ROUND(AB42/AB33,2)</f>
        <v>1074592.68</v>
      </c>
      <c r="AC44" s="323"/>
      <c r="AD44" s="323"/>
      <c r="AE44" s="323"/>
      <c r="AF44" s="324"/>
      <c r="AG44" s="315">
        <f t="shared" si="14"/>
        <v>904869.97</v>
      </c>
      <c r="AH44" s="316"/>
      <c r="AI44" s="316"/>
      <c r="AJ44" s="317" t="s">
        <v>44</v>
      </c>
      <c r="AK44" s="318"/>
      <c r="AL44" s="8"/>
    </row>
    <row r="45" spans="2:39" ht="18" customHeight="1">
      <c r="B45" s="31"/>
      <c r="C45" s="385" t="s">
        <v>49</v>
      </c>
      <c r="D45" s="386"/>
      <c r="E45" s="386"/>
      <c r="F45" s="386"/>
      <c r="G45" s="386"/>
      <c r="H45" s="386"/>
      <c r="I45" s="386"/>
      <c r="J45" s="386"/>
      <c r="K45" s="387"/>
      <c r="L45" s="274"/>
      <c r="M45" s="189"/>
      <c r="N45" s="41"/>
      <c r="O45" s="315">
        <f>ROUND(O44*1.2,2)</f>
        <v>1085843.96</v>
      </c>
      <c r="P45" s="316"/>
      <c r="Q45" s="325"/>
      <c r="R45" s="315">
        <f>ROUND(R44*1.2,2)</f>
        <v>1335852.1599999999</v>
      </c>
      <c r="S45" s="316"/>
      <c r="T45" s="316"/>
      <c r="U45" s="316"/>
      <c r="V45" s="325"/>
      <c r="W45" s="315">
        <f>ROUND(W44*1.2,2)</f>
        <v>1162071.52</v>
      </c>
      <c r="X45" s="316"/>
      <c r="Y45" s="316"/>
      <c r="Z45" s="316"/>
      <c r="AA45" s="325"/>
      <c r="AB45" s="315">
        <f>ROUND(AB44*1.2,2)</f>
        <v>1289511.22</v>
      </c>
      <c r="AC45" s="316"/>
      <c r="AD45" s="316"/>
      <c r="AE45" s="316"/>
      <c r="AF45" s="325"/>
      <c r="AG45" s="315">
        <f t="shared" si="14"/>
        <v>1085843.96</v>
      </c>
      <c r="AH45" s="316"/>
      <c r="AI45" s="316"/>
      <c r="AJ45" s="317" t="s">
        <v>44</v>
      </c>
      <c r="AK45" s="318"/>
      <c r="AL45" s="8"/>
    </row>
    <row r="46" spans="2:39" ht="13.8">
      <c r="B46" s="20"/>
      <c r="C46" s="30"/>
      <c r="D46" s="30"/>
      <c r="E46" s="30"/>
      <c r="F46" s="30"/>
      <c r="G46" s="30"/>
      <c r="H46" s="30"/>
      <c r="I46" s="30"/>
      <c r="J46" s="30"/>
      <c r="K46" s="30"/>
      <c r="L46" s="107"/>
      <c r="M46" s="107"/>
      <c r="N46" s="30"/>
      <c r="O46" s="107"/>
      <c r="P46" s="121"/>
      <c r="Q46" s="121"/>
      <c r="R46" s="30"/>
      <c r="S46" s="107"/>
      <c r="T46" s="107"/>
      <c r="U46" s="23"/>
      <c r="V46" s="23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23"/>
      <c r="AH46" s="121"/>
      <c r="AI46" s="121"/>
      <c r="AJ46" s="23"/>
      <c r="AK46" s="23"/>
      <c r="AL46" s="8"/>
    </row>
    <row r="47" spans="2:39" ht="103.5" hidden="1" customHeight="1">
      <c r="B47" s="20"/>
      <c r="C47" s="391" t="s">
        <v>60</v>
      </c>
      <c r="D47" s="391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  <c r="P47" s="391"/>
      <c r="Q47" s="391"/>
      <c r="R47" s="391"/>
      <c r="S47" s="391"/>
      <c r="T47" s="391"/>
      <c r="U47" s="391"/>
      <c r="V47" s="391"/>
      <c r="W47" s="191"/>
      <c r="X47" s="237"/>
      <c r="Y47" s="237"/>
      <c r="Z47" s="191"/>
      <c r="AA47" s="191"/>
      <c r="AB47" s="122"/>
      <c r="AC47" s="237"/>
      <c r="AD47" s="237"/>
      <c r="AE47" s="138"/>
      <c r="AF47" s="122"/>
      <c r="AG47" s="80"/>
      <c r="AH47" s="182"/>
      <c r="AI47" s="182"/>
      <c r="AJ47" s="77"/>
      <c r="AK47" s="77"/>
    </row>
    <row r="48" spans="2:39" hidden="1">
      <c r="B48" s="20"/>
      <c r="C48" s="29" t="s">
        <v>39</v>
      </c>
      <c r="D48" s="29"/>
      <c r="E48" s="29"/>
      <c r="F48" s="20"/>
      <c r="G48" s="35" t="e">
        <f>2*#REF!</f>
        <v>#REF!</v>
      </c>
      <c r="H48" s="35"/>
      <c r="I48" s="21" t="s">
        <v>40</v>
      </c>
      <c r="J48" s="22"/>
      <c r="K48" s="23"/>
      <c r="L48" s="121"/>
      <c r="M48" s="121"/>
      <c r="N48" s="24"/>
      <c r="O48" s="103"/>
      <c r="P48" s="121"/>
      <c r="Q48" s="108"/>
      <c r="R48" s="24"/>
      <c r="S48" s="103"/>
      <c r="T48" s="103"/>
      <c r="U48" s="23"/>
      <c r="V48" s="36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36"/>
      <c r="AH48" s="108"/>
      <c r="AI48" s="108"/>
      <c r="AJ48" s="23"/>
      <c r="AK48" s="36"/>
    </row>
    <row r="49" spans="2:37" hidden="1">
      <c r="B49" s="20"/>
      <c r="C49" s="29" t="s">
        <v>41</v>
      </c>
      <c r="D49" s="29"/>
      <c r="E49" s="29"/>
      <c r="F49" s="40"/>
      <c r="G49" s="37" t="e">
        <f>1*#REF!</f>
        <v>#REF!</v>
      </c>
      <c r="H49" s="37"/>
      <c r="I49" s="21" t="s">
        <v>40</v>
      </c>
      <c r="J49" s="40"/>
      <c r="K49" s="40"/>
      <c r="L49" s="109"/>
      <c r="M49" s="109"/>
      <c r="N49" s="40"/>
      <c r="O49" s="109"/>
      <c r="P49" s="121"/>
      <c r="Q49" s="121"/>
      <c r="R49" s="40"/>
      <c r="S49" s="109"/>
      <c r="T49" s="109"/>
      <c r="U49" s="23"/>
      <c r="V49" s="23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23"/>
      <c r="AH49" s="121"/>
      <c r="AI49" s="121"/>
      <c r="AJ49" s="23"/>
      <c r="AK49" s="23"/>
    </row>
    <row r="50" spans="2:37" ht="13.8" hidden="1">
      <c r="B50" s="20"/>
      <c r="C50" s="38" t="s">
        <v>42</v>
      </c>
      <c r="D50" s="38"/>
      <c r="E50" s="38"/>
      <c r="F50" s="40"/>
      <c r="G50" s="39"/>
      <c r="H50" s="39"/>
      <c r="I50" s="21"/>
      <c r="J50" s="40"/>
      <c r="K50" s="40"/>
      <c r="L50" s="109"/>
      <c r="M50" s="109"/>
      <c r="N50" s="40"/>
      <c r="O50" s="109"/>
      <c r="P50" s="121"/>
      <c r="Q50" s="121"/>
      <c r="R50" s="40"/>
      <c r="S50" s="109"/>
      <c r="T50" s="109"/>
      <c r="U50" s="23"/>
      <c r="V50" s="23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23"/>
      <c r="AH50" s="121"/>
      <c r="AI50" s="121"/>
      <c r="AJ50" s="23"/>
      <c r="AK50" s="23"/>
    </row>
    <row r="51" spans="2:37" ht="15" customHeight="1">
      <c r="B51" s="20"/>
      <c r="C51" s="366" t="s">
        <v>190</v>
      </c>
      <c r="D51" s="366"/>
      <c r="E51" s="366"/>
      <c r="F51" s="366"/>
      <c r="G51" s="366"/>
      <c r="H51" s="366"/>
      <c r="I51" s="366"/>
      <c r="J51" s="366"/>
      <c r="K51" s="366"/>
      <c r="L51" s="366"/>
      <c r="M51" s="366"/>
      <c r="N51" s="366"/>
      <c r="O51" s="109"/>
      <c r="P51" s="121"/>
      <c r="Q51" s="121"/>
      <c r="R51" s="40"/>
      <c r="S51" s="109"/>
      <c r="T51" s="109"/>
      <c r="U51" s="23"/>
      <c r="V51" s="23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23"/>
      <c r="AH51" s="121"/>
      <c r="AI51" s="121"/>
      <c r="AJ51" s="23"/>
      <c r="AK51" s="23"/>
    </row>
    <row r="52" spans="2:37" ht="15.75" customHeight="1">
      <c r="B52" s="20"/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6"/>
      <c r="N52" s="366"/>
      <c r="O52" s="119"/>
      <c r="P52" s="119"/>
      <c r="Q52" s="119"/>
      <c r="R52" s="79"/>
      <c r="S52" s="119"/>
      <c r="T52" s="119"/>
      <c r="U52" s="79"/>
      <c r="V52" s="7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40"/>
      <c r="AH52" s="109"/>
      <c r="AI52" s="109"/>
      <c r="AJ52" s="40"/>
      <c r="AK52" s="40"/>
    </row>
  </sheetData>
  <autoFilter ref="B5:AV45"/>
  <mergeCells count="129">
    <mergeCell ref="W4:AA4"/>
    <mergeCell ref="AB37:AF37"/>
    <mergeCell ref="R36:V36"/>
    <mergeCell ref="R37:V37"/>
    <mergeCell ref="R38:V38"/>
    <mergeCell ref="AB38:AF38"/>
    <mergeCell ref="AB4:AF4"/>
    <mergeCell ref="T33:V33"/>
    <mergeCell ref="AB25:AF25"/>
    <mergeCell ref="AB26:AF26"/>
    <mergeCell ref="AB27:AF27"/>
    <mergeCell ref="AB28:AF28"/>
    <mergeCell ref="AB29:AF29"/>
    <mergeCell ref="AB30:AF30"/>
    <mergeCell ref="AB31:AF31"/>
    <mergeCell ref="AB32:AF32"/>
    <mergeCell ref="AD33:AF33"/>
    <mergeCell ref="R29:V29"/>
    <mergeCell ref="R30:V30"/>
    <mergeCell ref="R31:V31"/>
    <mergeCell ref="R32:V32"/>
    <mergeCell ref="AB33:AC33"/>
    <mergeCell ref="R33:S33"/>
    <mergeCell ref="W25:AA25"/>
    <mergeCell ref="C42:K42"/>
    <mergeCell ref="C45:K45"/>
    <mergeCell ref="C44:K44"/>
    <mergeCell ref="C47:V47"/>
    <mergeCell ref="R42:V42"/>
    <mergeCell ref="R43:V43"/>
    <mergeCell ref="AB34:AF34"/>
    <mergeCell ref="AB35:AF35"/>
    <mergeCell ref="R34:V34"/>
    <mergeCell ref="R35:V35"/>
    <mergeCell ref="C40:I40"/>
    <mergeCell ref="C39:I39"/>
    <mergeCell ref="C38:K38"/>
    <mergeCell ref="C37:K37"/>
    <mergeCell ref="AB39:AF39"/>
    <mergeCell ref="AB36:AF36"/>
    <mergeCell ref="W37:AA37"/>
    <mergeCell ref="W38:AA38"/>
    <mergeCell ref="O41:Q41"/>
    <mergeCell ref="O42:Q42"/>
    <mergeCell ref="O43:Q43"/>
    <mergeCell ref="O44:Q44"/>
    <mergeCell ref="O45:Q45"/>
    <mergeCell ref="AG38:AK38"/>
    <mergeCell ref="AG29:AK29"/>
    <mergeCell ref="AG30:AK30"/>
    <mergeCell ref="AG31:AK31"/>
    <mergeCell ref="AG32:AK32"/>
    <mergeCell ref="AG33:AK33"/>
    <mergeCell ref="C51:N52"/>
    <mergeCell ref="C28:K28"/>
    <mergeCell ref="B4:N4"/>
    <mergeCell ref="R4:V4"/>
    <mergeCell ref="R25:V25"/>
    <mergeCell ref="R26:V26"/>
    <mergeCell ref="R27:V27"/>
    <mergeCell ref="R28:V28"/>
    <mergeCell ref="C36:K36"/>
    <mergeCell ref="C34:K34"/>
    <mergeCell ref="C30:K30"/>
    <mergeCell ref="C33:K33"/>
    <mergeCell ref="C35:K35"/>
    <mergeCell ref="C29:K29"/>
    <mergeCell ref="C32:K32"/>
    <mergeCell ref="C31:K31"/>
    <mergeCell ref="R41:V41"/>
    <mergeCell ref="C43:K43"/>
    <mergeCell ref="AG4:AK4"/>
    <mergeCell ref="AG25:AK25"/>
    <mergeCell ref="AG26:AK26"/>
    <mergeCell ref="AG27:AK27"/>
    <mergeCell ref="AG28:AK28"/>
    <mergeCell ref="AG34:AK34"/>
    <mergeCell ref="AG35:AK35"/>
    <mergeCell ref="AG36:AK36"/>
    <mergeCell ref="AG37:AK37"/>
    <mergeCell ref="AG40:AK40"/>
    <mergeCell ref="AG42:AK42"/>
    <mergeCell ref="AG43:AK43"/>
    <mergeCell ref="AG44:AK44"/>
    <mergeCell ref="AG45:AK45"/>
    <mergeCell ref="R40:V40"/>
    <mergeCell ref="R39:V39"/>
    <mergeCell ref="AB40:AF40"/>
    <mergeCell ref="AB42:AF42"/>
    <mergeCell ref="AB43:AF43"/>
    <mergeCell ref="AB44:AF44"/>
    <mergeCell ref="AB45:AF45"/>
    <mergeCell ref="AG39:AK39"/>
    <mergeCell ref="R44:V44"/>
    <mergeCell ref="R45:V45"/>
    <mergeCell ref="AB41:AF41"/>
    <mergeCell ref="AG41:AK41"/>
    <mergeCell ref="W39:AA39"/>
    <mergeCell ref="W40:AA40"/>
    <mergeCell ref="W42:AA42"/>
    <mergeCell ref="W43:AA43"/>
    <mergeCell ref="W44:AA44"/>
    <mergeCell ref="W45:AA45"/>
    <mergeCell ref="W26:AA26"/>
    <mergeCell ref="W27:AA27"/>
    <mergeCell ref="W28:AA28"/>
    <mergeCell ref="W29:AA29"/>
    <mergeCell ref="W30:AA30"/>
    <mergeCell ref="W34:AA34"/>
    <mergeCell ref="W35:AA35"/>
    <mergeCell ref="W36:AA36"/>
    <mergeCell ref="W41:AA41"/>
    <mergeCell ref="P33:Q33"/>
    <mergeCell ref="O34:Q34"/>
    <mergeCell ref="O35:Q35"/>
    <mergeCell ref="O36:Q36"/>
    <mergeCell ref="O37:Q37"/>
    <mergeCell ref="O38:Q38"/>
    <mergeCell ref="O39:Q39"/>
    <mergeCell ref="O40:Q40"/>
    <mergeCell ref="O4:Q4"/>
    <mergeCell ref="O25:Q25"/>
    <mergeCell ref="O26:Q26"/>
    <mergeCell ref="O27:Q27"/>
    <mergeCell ref="O28:Q28"/>
    <mergeCell ref="O29:Q29"/>
    <mergeCell ref="O30:Q30"/>
    <mergeCell ref="O31:Q31"/>
    <mergeCell ref="O32:Q32"/>
  </mergeCells>
  <phoneticPr fontId="39" type="noConversion"/>
  <pageMargins left="0.78740157480314965" right="0.39370078740157483" top="0.19685039370078741" bottom="0.39370078740157483" header="0" footer="0.19685039370078741"/>
  <pageSetup paperSize="8" scale="25" fitToHeight="0" orientation="landscape" horizontalDpi="300" verticalDpi="300" r:id="rId1"/>
  <headerFooter alignWithMargins="0">
    <oddFooter>&amp;CСтр. &amp;P из &amp;N</oddFooter>
  </headerFooter>
  <ignoredErrors>
    <ignoredError sqref="W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6:AI446"/>
  <sheetViews>
    <sheetView tabSelected="1" zoomScale="60" zoomScaleNormal="60" workbookViewId="0">
      <selection activeCell="C40" sqref="C40:P40"/>
    </sheetView>
  </sheetViews>
  <sheetFormatPr defaultColWidth="9.109375" defaultRowHeight="13.2"/>
  <cols>
    <col min="1" max="1" width="9.109375" style="98"/>
    <col min="2" max="2" width="8.6640625" style="8" customWidth="1"/>
    <col min="3" max="3" width="36.109375" style="8" customWidth="1"/>
    <col min="4" max="4" width="35.44140625" style="8" customWidth="1"/>
    <col min="5" max="5" width="41.5546875" style="8" customWidth="1"/>
    <col min="6" max="6" width="35.109375" style="8" customWidth="1"/>
    <col min="7" max="7" width="11.44140625" style="76" customWidth="1"/>
    <col min="8" max="8" width="37.88671875" style="76" customWidth="1"/>
    <col min="9" max="9" width="31.5546875" style="76" bestFit="1" customWidth="1"/>
    <col min="10" max="10" width="18.6640625" style="15" bestFit="1" customWidth="1"/>
    <col min="11" max="11" width="10.44140625" style="15" customWidth="1"/>
    <col min="12" max="12" width="10.44140625" style="101" customWidth="1"/>
    <col min="13" max="13" width="20.44140625" style="15" customWidth="1"/>
    <col min="14" max="14" width="53.33203125" style="82" bestFit="1" customWidth="1"/>
    <col min="15" max="15" width="12.6640625" style="100" bestFit="1" customWidth="1"/>
    <col min="16" max="16" width="17" style="100" customWidth="1"/>
    <col min="17" max="17" width="20.5546875" style="100" customWidth="1"/>
    <col min="18" max="18" width="20.88671875" style="16" customWidth="1"/>
    <col min="19" max="19" width="22.109375" style="16" customWidth="1"/>
    <col min="20" max="22" width="25.6640625" style="102" customWidth="1"/>
    <col min="23" max="23" width="25.6640625" style="12" customWidth="1"/>
    <col min="24" max="24" width="25.6640625" style="16" customWidth="1"/>
    <col min="25" max="25" width="16.44140625" style="13" customWidth="1"/>
    <col min="26" max="26" width="12.88671875" style="8" bestFit="1" customWidth="1"/>
    <col min="27" max="27" width="12.5546875" style="8" customWidth="1"/>
    <col min="28" max="16384" width="9.109375" style="8"/>
  </cols>
  <sheetData>
    <row r="6" spans="2:35" s="7" customFormat="1" ht="20.25" customHeight="1">
      <c r="B6" s="42"/>
      <c r="C6" s="43"/>
      <c r="D6" s="43"/>
      <c r="E6" s="43"/>
      <c r="F6" s="43"/>
      <c r="G6" s="42"/>
      <c r="H6" s="42"/>
      <c r="I6" s="44"/>
      <c r="J6" s="45"/>
      <c r="K6" s="45"/>
      <c r="L6" s="45"/>
      <c r="M6" s="45"/>
      <c r="N6" s="46"/>
      <c r="O6" s="110"/>
      <c r="P6" s="110"/>
      <c r="Q6" s="110"/>
      <c r="R6" s="47"/>
      <c r="S6" s="47"/>
      <c r="T6" s="47"/>
      <c r="U6" s="47"/>
      <c r="V6" s="47"/>
      <c r="W6" s="46"/>
      <c r="X6" s="48" t="s">
        <v>56</v>
      </c>
      <c r="Y6" s="46"/>
      <c r="Z6" s="46"/>
      <c r="AA6" s="6"/>
      <c r="AB6" s="6"/>
      <c r="AC6" s="6"/>
      <c r="AD6" s="6"/>
      <c r="AE6" s="6"/>
      <c r="AF6" s="6"/>
      <c r="AG6" s="6"/>
      <c r="AH6" s="5"/>
      <c r="AI6" s="5"/>
    </row>
    <row r="7" spans="2:35" ht="14.25" customHeight="1">
      <c r="B7" s="49"/>
      <c r="C7" s="49"/>
      <c r="D7" s="49"/>
      <c r="E7" s="49"/>
      <c r="F7" s="49"/>
      <c r="G7" s="78"/>
      <c r="H7" s="78"/>
      <c r="I7" s="50"/>
      <c r="J7" s="51"/>
      <c r="K7" s="51"/>
      <c r="L7" s="51"/>
      <c r="M7" s="51"/>
      <c r="N7" s="52"/>
      <c r="O7" s="125"/>
      <c r="P7" s="125"/>
      <c r="Q7" s="125"/>
      <c r="R7" s="47"/>
      <c r="S7" s="47"/>
      <c r="T7" s="47"/>
      <c r="U7" s="47"/>
      <c r="V7" s="47"/>
      <c r="W7" s="52"/>
      <c r="X7" s="175" t="str">
        <f>Ан.справка!AK2</f>
        <v>к договору №543-юр/2019  от "09" сентября 2019 г</v>
      </c>
      <c r="Y7" s="53"/>
      <c r="Z7" s="49"/>
    </row>
    <row r="8" spans="2:35" ht="16.5" customHeight="1">
      <c r="B8" s="49"/>
      <c r="C8" s="49"/>
      <c r="D8" s="49"/>
      <c r="E8" s="49"/>
      <c r="F8" s="49"/>
      <c r="G8" s="78"/>
      <c r="H8" s="78"/>
      <c r="I8" s="78"/>
      <c r="J8" s="55"/>
      <c r="K8" s="55"/>
      <c r="L8" s="112"/>
      <c r="M8" s="55"/>
      <c r="N8" s="52"/>
      <c r="O8" s="125"/>
      <c r="P8" s="125"/>
      <c r="Q8" s="125"/>
      <c r="R8" s="56"/>
      <c r="S8" s="56"/>
      <c r="T8" s="113"/>
      <c r="U8" s="113"/>
      <c r="V8" s="113"/>
      <c r="W8" s="52"/>
      <c r="X8" s="56"/>
      <c r="Y8" s="53"/>
      <c r="Z8" s="49"/>
    </row>
    <row r="9" spans="2:35" ht="18.75" customHeight="1">
      <c r="B9" s="57" t="s">
        <v>191</v>
      </c>
      <c r="C9" s="58"/>
      <c r="D9" s="58"/>
      <c r="E9" s="58"/>
      <c r="F9" s="58"/>
      <c r="G9" s="58"/>
      <c r="H9" s="58"/>
      <c r="I9" s="58"/>
      <c r="J9" s="58"/>
      <c r="K9" s="58"/>
      <c r="L9" s="114"/>
      <c r="M9" s="58"/>
      <c r="N9" s="58"/>
      <c r="O9" s="114"/>
      <c r="P9" s="114"/>
      <c r="Q9" s="124"/>
      <c r="R9" s="58"/>
      <c r="S9" s="58"/>
      <c r="T9" s="114"/>
      <c r="U9" s="114"/>
      <c r="V9" s="114"/>
      <c r="W9" s="58"/>
      <c r="X9" s="58"/>
      <c r="Y9" s="53"/>
      <c r="Z9" s="49"/>
    </row>
    <row r="10" spans="2:35" ht="21" customHeight="1">
      <c r="B10" s="57" t="s">
        <v>45</v>
      </c>
      <c r="C10" s="58"/>
      <c r="D10" s="58"/>
      <c r="E10" s="58"/>
      <c r="F10" s="58"/>
      <c r="G10" s="58"/>
      <c r="H10" s="58"/>
      <c r="I10" s="58"/>
      <c r="J10" s="58"/>
      <c r="K10" s="58"/>
      <c r="L10" s="114"/>
      <c r="M10" s="58"/>
      <c r="N10" s="58"/>
      <c r="O10" s="114"/>
      <c r="P10" s="114"/>
      <c r="Q10" s="124"/>
      <c r="R10" s="58"/>
      <c r="S10" s="58"/>
      <c r="T10" s="114"/>
      <c r="U10" s="114"/>
      <c r="V10" s="114"/>
      <c r="W10" s="58"/>
      <c r="X10" s="58"/>
      <c r="Y10" s="53"/>
      <c r="Z10" s="49"/>
    </row>
    <row r="11" spans="2:35" ht="37.5" customHeight="1" thickBot="1">
      <c r="B11" s="413" t="s">
        <v>192</v>
      </c>
      <c r="C11" s="413"/>
      <c r="D11" s="413"/>
      <c r="E11" s="413"/>
      <c r="F11" s="413"/>
      <c r="G11" s="413"/>
      <c r="H11" s="413"/>
      <c r="I11" s="413"/>
      <c r="J11" s="413"/>
      <c r="K11" s="413"/>
      <c r="L11" s="413"/>
      <c r="M11" s="413"/>
      <c r="N11" s="413"/>
      <c r="O11" s="413"/>
      <c r="P11" s="413"/>
      <c r="Q11" s="413"/>
      <c r="R11" s="413"/>
      <c r="S11" s="413"/>
      <c r="T11" s="413"/>
      <c r="U11" s="413"/>
      <c r="V11" s="413"/>
      <c r="W11" s="413"/>
      <c r="X11" s="413"/>
      <c r="Y11" s="59"/>
      <c r="Z11" s="59"/>
      <c r="AA11" s="17"/>
      <c r="AB11" s="17"/>
      <c r="AC11" s="17"/>
      <c r="AD11" s="17"/>
    </row>
    <row r="12" spans="2:35" ht="77.25" customHeight="1">
      <c r="B12" s="134" t="s">
        <v>0</v>
      </c>
      <c r="C12" s="135" t="s">
        <v>55</v>
      </c>
      <c r="D12" s="135" t="s">
        <v>52</v>
      </c>
      <c r="E12" s="135" t="s">
        <v>57</v>
      </c>
      <c r="F12" s="135" t="s">
        <v>9</v>
      </c>
      <c r="G12" s="135" t="s">
        <v>53</v>
      </c>
      <c r="H12" s="135" t="s">
        <v>54</v>
      </c>
      <c r="I12" s="135" t="s">
        <v>1</v>
      </c>
      <c r="J12" s="135" t="s">
        <v>2</v>
      </c>
      <c r="K12" s="135" t="s">
        <v>3</v>
      </c>
      <c r="L12" s="135" t="s">
        <v>72</v>
      </c>
      <c r="M12" s="135" t="s">
        <v>65</v>
      </c>
      <c r="N12" s="135" t="s">
        <v>61</v>
      </c>
      <c r="O12" s="135" t="s">
        <v>3</v>
      </c>
      <c r="P12" s="135" t="s">
        <v>64</v>
      </c>
      <c r="Q12" s="135" t="s">
        <v>4</v>
      </c>
      <c r="R12" s="135" t="str">
        <f>Ан.справка!V5</f>
        <v>Стоимость, 
руб. без НДС</v>
      </c>
      <c r="S12" s="223" t="s">
        <v>38</v>
      </c>
      <c r="T12" s="136" t="s">
        <v>163</v>
      </c>
      <c r="U12" s="136" t="s">
        <v>164</v>
      </c>
      <c r="V12" s="136" t="s">
        <v>165</v>
      </c>
      <c r="W12" s="135" t="s">
        <v>48</v>
      </c>
      <c r="X12" s="137" t="s">
        <v>38</v>
      </c>
      <c r="Y12" s="53"/>
      <c r="Z12" s="49"/>
    </row>
    <row r="13" spans="2:35" s="98" customFormat="1" ht="50.1" customHeight="1">
      <c r="B13" s="254">
        <v>1</v>
      </c>
      <c r="C13" s="160" t="str">
        <f>Ан.справка!C6</f>
        <v>Склад ГСМ</v>
      </c>
      <c r="D13" s="160" t="str">
        <f>Ан.справка!D6</f>
        <v>Резервуары дизельного топлива 
№ № 1, 2, 3, 4</v>
      </c>
      <c r="E13" s="160" t="str">
        <f>Ан.справка!E6</f>
        <v>-</v>
      </c>
      <c r="F13" s="161" t="str">
        <f>Ан.справка!F6</f>
        <v>120.ЮР.2017-5800-03-3-ГСМ-001-МР1-СО2</v>
      </c>
      <c r="G13" s="161" t="str">
        <f>Ан.справка!G6</f>
        <v>04С</v>
      </c>
      <c r="H13" s="161" t="str">
        <f>Ан.справка!H6</f>
        <v>5800-R-NG-839-MP-MTO-0002-00</v>
      </c>
      <c r="I13" s="161" t="str">
        <f>Ан.справка!I6</f>
        <v>Фторопласт-4 ПН (250х300х20)</v>
      </c>
      <c r="J13" s="161" t="str">
        <f>Ан.справка!J6</f>
        <v>ГОСТ 10007-80</v>
      </c>
      <c r="K13" s="161" t="str">
        <f>Ан.справка!K6</f>
        <v>шт.</v>
      </c>
      <c r="L13" s="161">
        <f>Ан.справка!L6</f>
        <v>16</v>
      </c>
      <c r="M13" s="220">
        <f>Ан.справка!N6</f>
        <v>5.28E-2</v>
      </c>
      <c r="N13" s="161" t="str">
        <f>Ан.справка!AG6</f>
        <v>Пластина Ф-4 20x250x300 мм</v>
      </c>
      <c r="O13" s="161" t="str">
        <f>Ан.справка!AH6</f>
        <v>шт.</v>
      </c>
      <c r="P13" s="161">
        <f>Ан.справка!AI6</f>
        <v>16</v>
      </c>
      <c r="Q13" s="161">
        <f>Ан.справка!AJ6*Ан.справка!$AM$38</f>
        <v>2861.2609963488444</v>
      </c>
      <c r="R13" s="159">
        <f t="shared" ref="R13:R17" si="0">ROUND(Q13*P13,2)</f>
        <v>45780.18</v>
      </c>
      <c r="S13" s="159">
        <f t="shared" ref="S13:S17" si="1">ROUND(R13*1.2,2)</f>
        <v>54936.22</v>
      </c>
      <c r="T13" s="162">
        <v>2943.54</v>
      </c>
      <c r="U13" s="159">
        <f t="shared" ref="U13:U31" si="2">ROUND(T13*M13,2)</f>
        <v>155.41999999999999</v>
      </c>
      <c r="V13" s="159">
        <f t="shared" ref="V13:V17" si="3">ROUND(U13*1.2,2)</f>
        <v>186.5</v>
      </c>
      <c r="W13" s="159">
        <f t="shared" ref="W13:W31" si="4">ROUND(((R13+U13)*1.2)-(R13+U13),2)</f>
        <v>9187.1200000000008</v>
      </c>
      <c r="X13" s="163">
        <f t="shared" ref="X13:X31" si="5">ROUND(R13+U13+W13,2)</f>
        <v>55122.720000000001</v>
      </c>
      <c r="Y13" s="53"/>
      <c r="Z13" s="111"/>
    </row>
    <row r="14" spans="2:35" s="98" customFormat="1" ht="50.1" customHeight="1">
      <c r="B14" s="254">
        <v>2</v>
      </c>
      <c r="C14" s="160" t="str">
        <f>Ан.справка!C7</f>
        <v>Склад ГСМ</v>
      </c>
      <c r="D14" s="160" t="str">
        <f>Ан.справка!D7</f>
        <v>Резервуары дизельного топлива 
№ № 1, 2, 3, 4</v>
      </c>
      <c r="E14" s="160" t="str">
        <f>Ан.справка!E7</f>
        <v>-</v>
      </c>
      <c r="F14" s="161" t="str">
        <f>Ан.справка!F7</f>
        <v>120.ЮР.2017-5800-03-3-ГСМ-001-МР1-СО2</v>
      </c>
      <c r="G14" s="161" t="str">
        <f>Ан.справка!G7</f>
        <v>04С</v>
      </c>
      <c r="H14" s="161" t="str">
        <f>Ан.справка!H7</f>
        <v>5800-R-NG-839-MP-MTO-0002-00</v>
      </c>
      <c r="I14" s="161" t="str">
        <f>Ан.справка!I7</f>
        <v>Фторопласт-4 ПН (250х50х20)</v>
      </c>
      <c r="J14" s="161" t="str">
        <f>Ан.справка!J7</f>
        <v>ГОСТ 10007-80</v>
      </c>
      <c r="K14" s="161" t="str">
        <f>Ан.справка!K7</f>
        <v>шт.</v>
      </c>
      <c r="L14" s="161">
        <f>Ан.справка!L7</f>
        <v>32</v>
      </c>
      <c r="M14" s="220">
        <f>Ан.справка!N7</f>
        <v>1.9199999999999998E-2</v>
      </c>
      <c r="N14" s="161" t="str">
        <f>Ан.справка!AG7</f>
        <v>Пластина Ф-4 20x50x250 мм</v>
      </c>
      <c r="O14" s="161" t="str">
        <f>Ан.справка!AH7</f>
        <v>шт.</v>
      </c>
      <c r="P14" s="161">
        <f>Ан.справка!AI7</f>
        <v>32</v>
      </c>
      <c r="Q14" s="161">
        <f>Ан.справка!AJ7*Ан.справка!$AM$38</f>
        <v>500.72067436104777</v>
      </c>
      <c r="R14" s="159">
        <f t="shared" si="0"/>
        <v>16023.06</v>
      </c>
      <c r="S14" s="159">
        <f t="shared" si="1"/>
        <v>19227.669999999998</v>
      </c>
      <c r="T14" s="162">
        <v>2943.54</v>
      </c>
      <c r="U14" s="159">
        <f t="shared" si="2"/>
        <v>56.52</v>
      </c>
      <c r="V14" s="159">
        <f t="shared" si="3"/>
        <v>67.819999999999993</v>
      </c>
      <c r="W14" s="159">
        <f t="shared" si="4"/>
        <v>3215.92</v>
      </c>
      <c r="X14" s="163">
        <f t="shared" si="5"/>
        <v>19295.5</v>
      </c>
      <c r="Y14" s="53"/>
      <c r="Z14" s="111"/>
    </row>
    <row r="15" spans="2:35" s="98" customFormat="1" ht="50.1" customHeight="1">
      <c r="B15" s="254">
        <v>3</v>
      </c>
      <c r="C15" s="160" t="str">
        <f>Ан.справка!C8</f>
        <v>Склад ГСМ</v>
      </c>
      <c r="D15" s="160" t="str">
        <f>Ан.справка!D8</f>
        <v>Резервуары дизельного топлива 
№ № 1, 2, 3, 4</v>
      </c>
      <c r="E15" s="160" t="str">
        <f>Ан.справка!E8</f>
        <v>-</v>
      </c>
      <c r="F15" s="161" t="str">
        <f>Ан.справка!F8</f>
        <v>120.ЮР.2017-5800-03-3-ГСМ-001-МР1-СО2</v>
      </c>
      <c r="G15" s="161" t="str">
        <f>Ан.справка!G8</f>
        <v>04С</v>
      </c>
      <c r="H15" s="161" t="str">
        <f>Ан.справка!H8</f>
        <v>5800-R-NG-839-MP-MTO-0002-00</v>
      </c>
      <c r="I15" s="161" t="str">
        <f>Ан.справка!I8</f>
        <v>Фторопласт-4 ПН (340х50х20)</v>
      </c>
      <c r="J15" s="161" t="str">
        <f>Ан.справка!J8</f>
        <v>ГОСТ 10007-80</v>
      </c>
      <c r="K15" s="161" t="str">
        <f>Ан.справка!K8</f>
        <v>шт.</v>
      </c>
      <c r="L15" s="161">
        <f>Ан.справка!L8</f>
        <v>32</v>
      </c>
      <c r="M15" s="220">
        <f>Ан.справка!N8</f>
        <v>2.5600000000000001E-2</v>
      </c>
      <c r="N15" s="161" t="str">
        <f>Ан.справка!AG8</f>
        <v>Пластина Ф-4 20x50x340 мм</v>
      </c>
      <c r="O15" s="161" t="str">
        <f>Ан.справка!AH8</f>
        <v>шт.</v>
      </c>
      <c r="P15" s="161">
        <f>Ан.справка!AI8</f>
        <v>32</v>
      </c>
      <c r="Q15" s="161">
        <f>Ан.справка!AJ8*Ан.справка!$AM$38</f>
        <v>694.87767054186224</v>
      </c>
      <c r="R15" s="159">
        <f t="shared" si="0"/>
        <v>22236.09</v>
      </c>
      <c r="S15" s="159">
        <f t="shared" si="1"/>
        <v>26683.31</v>
      </c>
      <c r="T15" s="162">
        <v>2943.54</v>
      </c>
      <c r="U15" s="159">
        <f t="shared" si="2"/>
        <v>75.349999999999994</v>
      </c>
      <c r="V15" s="159">
        <f t="shared" si="3"/>
        <v>90.42</v>
      </c>
      <c r="W15" s="159">
        <f t="shared" si="4"/>
        <v>4462.29</v>
      </c>
      <c r="X15" s="163">
        <f t="shared" si="5"/>
        <v>26773.73</v>
      </c>
      <c r="Y15" s="53"/>
      <c r="Z15" s="111"/>
    </row>
    <row r="16" spans="2:35" s="98" customFormat="1" ht="50.1" customHeight="1">
      <c r="B16" s="254">
        <v>4</v>
      </c>
      <c r="C16" s="160" t="str">
        <f>Ан.справка!C9</f>
        <v>Склад ГСМ</v>
      </c>
      <c r="D16" s="160" t="str">
        <f>Ан.справка!D9</f>
        <v>Резервуары дизельного топлива 
№ № 1, 2, 3, 4</v>
      </c>
      <c r="E16" s="160" t="str">
        <f>Ан.справка!E9</f>
        <v>-</v>
      </c>
      <c r="F16" s="161" t="str">
        <f>Ан.справка!F9</f>
        <v>120.ЮР.2017-5800-03-3-ГСМ-001-МР2-СО2</v>
      </c>
      <c r="G16" s="161" t="str">
        <f>Ан.справка!G9</f>
        <v>04С</v>
      </c>
      <c r="H16" s="161" t="str">
        <f>Ан.справка!H9</f>
        <v>5800-R-NG-839-MP-MTO-0004-00</v>
      </c>
      <c r="I16" s="161" t="str">
        <f>Ан.справка!I9</f>
        <v>Фторопласт-4 ПН (250х300х20)</v>
      </c>
      <c r="J16" s="161" t="str">
        <f>Ан.справка!J9</f>
        <v>ГОСТ 10007-80</v>
      </c>
      <c r="K16" s="161" t="str">
        <f>Ан.справка!K9</f>
        <v>шт.</v>
      </c>
      <c r="L16" s="161">
        <f>Ан.справка!L9</f>
        <v>7</v>
      </c>
      <c r="M16" s="220">
        <f>Ан.справка!N9</f>
        <v>2.3099999999999999E-2</v>
      </c>
      <c r="N16" s="161" t="str">
        <f>Ан.справка!AG9</f>
        <v>Пластина Ф-4 20x250x300 мм</v>
      </c>
      <c r="O16" s="161" t="str">
        <f>Ан.справка!AH9</f>
        <v>шт.</v>
      </c>
      <c r="P16" s="161">
        <f>Ан.справка!AI9</f>
        <v>7</v>
      </c>
      <c r="Q16" s="161">
        <f>Ан.справка!AJ9*Ан.справка!$AM$38</f>
        <v>2861.2609963488444</v>
      </c>
      <c r="R16" s="159">
        <f t="shared" si="0"/>
        <v>20028.830000000002</v>
      </c>
      <c r="S16" s="159">
        <f t="shared" si="1"/>
        <v>24034.6</v>
      </c>
      <c r="T16" s="162">
        <v>2943.54</v>
      </c>
      <c r="U16" s="159">
        <f t="shared" si="2"/>
        <v>68</v>
      </c>
      <c r="V16" s="159">
        <f t="shared" si="3"/>
        <v>81.599999999999994</v>
      </c>
      <c r="W16" s="159">
        <f t="shared" si="4"/>
        <v>4019.37</v>
      </c>
      <c r="X16" s="163">
        <f t="shared" si="5"/>
        <v>24116.2</v>
      </c>
      <c r="Y16" s="53"/>
      <c r="Z16" s="111"/>
    </row>
    <row r="17" spans="2:26" s="98" customFormat="1" ht="50.1" customHeight="1">
      <c r="B17" s="254">
        <v>5</v>
      </c>
      <c r="C17" s="160" t="str">
        <f>Ан.справка!C10</f>
        <v>Склад ГСМ</v>
      </c>
      <c r="D17" s="160" t="str">
        <f>Ан.справка!D10</f>
        <v>Резервуары дизельного топлива 
№ № 1, 2, 3, 4</v>
      </c>
      <c r="E17" s="160" t="str">
        <f>Ан.справка!E10</f>
        <v>-</v>
      </c>
      <c r="F17" s="161" t="str">
        <f>Ан.справка!F10</f>
        <v>120.ЮР.2017-5800-03-3-ГСМ-001-МР2-СО2</v>
      </c>
      <c r="G17" s="161" t="str">
        <f>Ан.справка!G10</f>
        <v>04С</v>
      </c>
      <c r="H17" s="161" t="str">
        <f>Ан.справка!H10</f>
        <v>5800-R-NG-839-MP-MTO-0004-00</v>
      </c>
      <c r="I17" s="161" t="str">
        <f>Ан.справка!I10</f>
        <v>Фторопласт-4 ПН (250х50х20)</v>
      </c>
      <c r="J17" s="161" t="str">
        <f>Ан.справка!J10</f>
        <v>ГОСТ 10007-80</v>
      </c>
      <c r="K17" s="161" t="str">
        <f>Ан.справка!K10</f>
        <v>шт.</v>
      </c>
      <c r="L17" s="161">
        <f>Ан.справка!L10</f>
        <v>14</v>
      </c>
      <c r="M17" s="220">
        <f>Ан.справка!N10</f>
        <v>8.4000000000000012E-3</v>
      </c>
      <c r="N17" s="161" t="str">
        <f>Ан.справка!AG10</f>
        <v>Пластина Ф-4 20x50x250 мм</v>
      </c>
      <c r="O17" s="161" t="str">
        <f>Ан.справка!AH10</f>
        <v>шт.</v>
      </c>
      <c r="P17" s="161">
        <f>Ан.справка!AI10</f>
        <v>14</v>
      </c>
      <c r="Q17" s="161">
        <f>Ан.справка!AJ10*Ан.справка!$AM$38</f>
        <v>500.72067436104777</v>
      </c>
      <c r="R17" s="159">
        <f t="shared" si="0"/>
        <v>7010.09</v>
      </c>
      <c r="S17" s="159">
        <f t="shared" si="1"/>
        <v>8412.11</v>
      </c>
      <c r="T17" s="162">
        <v>2943.54</v>
      </c>
      <c r="U17" s="159">
        <f t="shared" si="2"/>
        <v>24.73</v>
      </c>
      <c r="V17" s="159">
        <f t="shared" si="3"/>
        <v>29.68</v>
      </c>
      <c r="W17" s="159">
        <f t="shared" si="4"/>
        <v>1406.96</v>
      </c>
      <c r="X17" s="163">
        <f t="shared" si="5"/>
        <v>8441.7800000000007</v>
      </c>
      <c r="Y17" s="53"/>
      <c r="Z17" s="111"/>
    </row>
    <row r="18" spans="2:26" s="98" customFormat="1" ht="50.1" customHeight="1">
      <c r="B18" s="254">
        <v>6</v>
      </c>
      <c r="C18" s="160" t="str">
        <f>Ан.справка!C11</f>
        <v>Склад ГСМ</v>
      </c>
      <c r="D18" s="160" t="str">
        <f>Ан.справка!D11</f>
        <v>Резервуары дизельного топлива 
№ № 1, 2, 3, 4</v>
      </c>
      <c r="E18" s="160" t="str">
        <f>Ан.справка!E11</f>
        <v>-</v>
      </c>
      <c r="F18" s="161" t="str">
        <f>Ан.справка!F11</f>
        <v>120.ЮР.2017-5800-03-3-ГСМ-001-МР2-СО2</v>
      </c>
      <c r="G18" s="161" t="str">
        <f>Ан.справка!G11</f>
        <v>04С</v>
      </c>
      <c r="H18" s="161" t="str">
        <f>Ан.справка!H11</f>
        <v>5800-R-NG-839-MP-MTO-0004-00</v>
      </c>
      <c r="I18" s="161" t="str">
        <f>Ан.справка!I11</f>
        <v>Фторопласт-4 ПН (340х50х20)</v>
      </c>
      <c r="J18" s="161" t="str">
        <f>Ан.справка!J11</f>
        <v>ГОСТ 10007-80</v>
      </c>
      <c r="K18" s="161" t="str">
        <f>Ан.справка!K11</f>
        <v>шт.</v>
      </c>
      <c r="L18" s="161">
        <f>Ан.справка!L11</f>
        <v>14</v>
      </c>
      <c r="M18" s="220">
        <f>Ан.справка!N11</f>
        <v>8.4000000000000012E-3</v>
      </c>
      <c r="N18" s="161" t="str">
        <f>Ан.справка!AG11</f>
        <v>Пластина Ф-4 20x50x340 мм</v>
      </c>
      <c r="O18" s="161" t="str">
        <f>Ан.справка!AH11</f>
        <v>шт.</v>
      </c>
      <c r="P18" s="161">
        <f>Ан.справка!AI11</f>
        <v>14</v>
      </c>
      <c r="Q18" s="161">
        <f>Ан.справка!AJ11*Ан.справка!$AM$38</f>
        <v>694.87767054186224</v>
      </c>
      <c r="R18" s="159">
        <f t="shared" ref="R18:R31" si="6">ROUND(Q18*P18,2)</f>
        <v>9728.2900000000009</v>
      </c>
      <c r="S18" s="159">
        <f t="shared" ref="S18:S31" si="7">ROUND(R18*1.2,2)</f>
        <v>11673.95</v>
      </c>
      <c r="T18" s="162">
        <v>2943.54</v>
      </c>
      <c r="U18" s="159">
        <f t="shared" si="2"/>
        <v>24.73</v>
      </c>
      <c r="V18" s="159">
        <f t="shared" ref="V18:V31" si="8">ROUND(U18*1.2,2)</f>
        <v>29.68</v>
      </c>
      <c r="W18" s="159">
        <f t="shared" si="4"/>
        <v>1950.6</v>
      </c>
      <c r="X18" s="163">
        <f t="shared" si="5"/>
        <v>11703.62</v>
      </c>
      <c r="Y18" s="53"/>
      <c r="Z18" s="111"/>
    </row>
    <row r="19" spans="2:26" s="98" customFormat="1" ht="50.1" customHeight="1">
      <c r="B19" s="254">
        <v>7</v>
      </c>
      <c r="C19" s="160" t="str">
        <f>Ан.справка!C12</f>
        <v>УКПГ-1</v>
      </c>
      <c r="D19" s="160" t="str">
        <f>Ан.справка!D12</f>
        <v>Узел приема СОД</v>
      </c>
      <c r="E19" s="160" t="str">
        <f>Ан.справка!E12</f>
        <v>-</v>
      </c>
      <c r="F19" s="161" t="str">
        <f>Ан.справка!F12</f>
        <v>120.ЮР.2017-2400-03-1-УКПГ1-001-МР1-СО2</v>
      </c>
      <c r="G19" s="161" t="str">
        <f>Ан.справка!G12</f>
        <v>03C_4</v>
      </c>
      <c r="H19" s="161" t="str">
        <f>Ан.справка!H12</f>
        <v>2400-R-NG-651-MP-MTO-0041-00</v>
      </c>
      <c r="I19" s="161" t="str">
        <f>Ан.справка!I12</f>
        <v>Фторопласт-4 ПН (250х300х85)</v>
      </c>
      <c r="J19" s="161" t="str">
        <f>Ан.справка!J12</f>
        <v>ГОСТ 10007-80</v>
      </c>
      <c r="K19" s="161" t="str">
        <f>Ан.справка!K12</f>
        <v>шт.</v>
      </c>
      <c r="L19" s="161">
        <f>Ан.справка!L12</f>
        <v>14</v>
      </c>
      <c r="M19" s="220">
        <f>Ан.справка!N12</f>
        <v>0.17779999999999999</v>
      </c>
      <c r="N19" s="161" t="str">
        <f>Ан.справка!AG12</f>
        <v>Пластина Ф-4 85x250x300 мм</v>
      </c>
      <c r="O19" s="161" t="str">
        <f>Ан.справка!AH12</f>
        <v>шт.</v>
      </c>
      <c r="P19" s="161">
        <f>Ан.справка!AI12</f>
        <v>14</v>
      </c>
      <c r="Q19" s="161">
        <f>Ан.справка!AJ12*Ан.справка!$AM$38</f>
        <v>13386.613947203523</v>
      </c>
      <c r="R19" s="159">
        <f t="shared" si="6"/>
        <v>187412.6</v>
      </c>
      <c r="S19" s="159">
        <f t="shared" si="7"/>
        <v>224895.12</v>
      </c>
      <c r="T19" s="162">
        <v>2943.54</v>
      </c>
      <c r="U19" s="159">
        <f t="shared" si="2"/>
        <v>523.36</v>
      </c>
      <c r="V19" s="159">
        <f t="shared" si="8"/>
        <v>628.03</v>
      </c>
      <c r="W19" s="159">
        <f t="shared" si="4"/>
        <v>37587.19</v>
      </c>
      <c r="X19" s="163">
        <f t="shared" si="5"/>
        <v>225523.15</v>
      </c>
      <c r="Y19" s="53"/>
      <c r="Z19" s="111"/>
    </row>
    <row r="20" spans="2:26" s="98" customFormat="1" ht="50.1" customHeight="1">
      <c r="B20" s="254">
        <v>8</v>
      </c>
      <c r="C20" s="160" t="str">
        <f>Ан.справка!C13</f>
        <v>УКПГ-1</v>
      </c>
      <c r="D20" s="160" t="str">
        <f>Ан.справка!D13</f>
        <v>Узел приема СОД</v>
      </c>
      <c r="E20" s="160" t="str">
        <f>Ан.справка!E13</f>
        <v>-</v>
      </c>
      <c r="F20" s="161" t="str">
        <f>Ан.справка!F13</f>
        <v>120.ЮР.2017-2400-03-1-УКПГ1-001-МР1-СО2</v>
      </c>
      <c r="G20" s="161" t="str">
        <f>Ан.справка!G13</f>
        <v>03C_4</v>
      </c>
      <c r="H20" s="161" t="str">
        <f>Ан.справка!H13</f>
        <v>2400-R-NG-651-MP-MTO-0041-00</v>
      </c>
      <c r="I20" s="161" t="str">
        <f>Ан.справка!I13</f>
        <v>Фторопласт-4 ПН (250х150х85)</v>
      </c>
      <c r="J20" s="161" t="str">
        <f>Ан.справка!J13</f>
        <v>ГОСТ 10007-80</v>
      </c>
      <c r="K20" s="161" t="str">
        <f>Ан.справка!K13</f>
        <v>шт.</v>
      </c>
      <c r="L20" s="161">
        <f>Ан.справка!L13</f>
        <v>31</v>
      </c>
      <c r="M20" s="220">
        <f>Ан.справка!N13</f>
        <v>0.19529999999999997</v>
      </c>
      <c r="N20" s="161" t="str">
        <f>Ан.справка!AG13</f>
        <v>Пластина Ф-4 85x250x150 мм</v>
      </c>
      <c r="O20" s="161" t="str">
        <f>Ан.справка!AH13</f>
        <v>шт.</v>
      </c>
      <c r="P20" s="161">
        <f>Ан.справка!AI13</f>
        <v>31</v>
      </c>
      <c r="Q20" s="161">
        <f>Ан.справка!AJ13*Ан.справка!$AM$38</f>
        <v>6540.0251345116449</v>
      </c>
      <c r="R20" s="159">
        <f t="shared" si="6"/>
        <v>202740.78</v>
      </c>
      <c r="S20" s="159">
        <f t="shared" si="7"/>
        <v>243288.94</v>
      </c>
      <c r="T20" s="162">
        <v>2943.54</v>
      </c>
      <c r="U20" s="159">
        <f t="shared" si="2"/>
        <v>574.87</v>
      </c>
      <c r="V20" s="159">
        <f t="shared" si="8"/>
        <v>689.84</v>
      </c>
      <c r="W20" s="159">
        <f t="shared" si="4"/>
        <v>40663.129999999997</v>
      </c>
      <c r="X20" s="163">
        <f t="shared" si="5"/>
        <v>243978.78</v>
      </c>
      <c r="Y20" s="53"/>
      <c r="Z20" s="111"/>
    </row>
    <row r="21" spans="2:26" s="98" customFormat="1" ht="50.1" customHeight="1">
      <c r="B21" s="254">
        <v>9</v>
      </c>
      <c r="C21" s="160" t="str">
        <f>Ан.справка!C14</f>
        <v>УКПГ-1</v>
      </c>
      <c r="D21" s="160" t="str">
        <f>Ан.справка!D14</f>
        <v>Установка низкотемпературной сепарации газа (ТДА)</v>
      </c>
      <c r="E21" s="160" t="str">
        <f>Ан.справка!E14</f>
        <v>Наружное оборудование установки НТС</v>
      </c>
      <c r="F21" s="161" t="str">
        <f>Ан.справка!F14</f>
        <v>120.ЮР.2017-2400-03-1-УКПГ1-010-МР2-СО2</v>
      </c>
      <c r="G21" s="161" t="str">
        <f>Ан.справка!G14</f>
        <v>03C_3</v>
      </c>
      <c r="H21" s="161" t="str">
        <f>Ан.справка!H14</f>
        <v>2400-R-NG-652-MP-MTO-0031-00</v>
      </c>
      <c r="I21" s="161" t="str">
        <f>Ан.справка!I14</f>
        <v>Фторопласт-4 ПН (800х800х20)</v>
      </c>
      <c r="J21" s="161" t="str">
        <f>Ан.справка!J14</f>
        <v>ГОСТ 10007-80</v>
      </c>
      <c r="K21" s="161" t="str">
        <f>Ан.справка!K14</f>
        <v>шт.</v>
      </c>
      <c r="L21" s="161">
        <f>Ан.справка!L14</f>
        <v>8</v>
      </c>
      <c r="M21" s="220">
        <f>Ан.справка!N14</f>
        <v>0.224</v>
      </c>
      <c r="N21" s="161" t="str">
        <f>Ан.справка!AG14</f>
        <v>Пластина Ф-4 20x800x800 мм</v>
      </c>
      <c r="O21" s="161" t="str">
        <f>Ан.справка!AH14</f>
        <v>шт.</v>
      </c>
      <c r="P21" s="161">
        <f>Ан.справка!AI14</f>
        <v>8</v>
      </c>
      <c r="Q21" s="161">
        <f>Ан.справка!AJ14*Ан.справка!$AM$38</f>
        <v>22685.712185337266</v>
      </c>
      <c r="R21" s="159">
        <f t="shared" si="6"/>
        <v>181485.7</v>
      </c>
      <c r="S21" s="159">
        <f t="shared" si="7"/>
        <v>217782.84</v>
      </c>
      <c r="T21" s="162">
        <v>2943.54</v>
      </c>
      <c r="U21" s="159">
        <f t="shared" si="2"/>
        <v>659.35</v>
      </c>
      <c r="V21" s="159">
        <f t="shared" si="8"/>
        <v>791.22</v>
      </c>
      <c r="W21" s="159">
        <f t="shared" si="4"/>
        <v>36429.01</v>
      </c>
      <c r="X21" s="163">
        <f t="shared" si="5"/>
        <v>218574.06</v>
      </c>
      <c r="Y21" s="53"/>
      <c r="Z21" s="111"/>
    </row>
    <row r="22" spans="2:26" s="98" customFormat="1" ht="50.1" customHeight="1">
      <c r="B22" s="254">
        <v>10</v>
      </c>
      <c r="C22" s="160" t="str">
        <f>Ан.справка!C15</f>
        <v>УКПГ-1</v>
      </c>
      <c r="D22" s="160" t="str">
        <f>Ан.справка!D15</f>
        <v>Установка низкотемпературной сепарации газа (ТДА)</v>
      </c>
      <c r="E22" s="160" t="str">
        <f>Ан.справка!E15</f>
        <v>Наружное оборудование установки НТС</v>
      </c>
      <c r="F22" s="161" t="str">
        <f>Ан.справка!F15</f>
        <v>120.ЮР.2017-2400-03-1-УКПГ1-010-МР2-СО2</v>
      </c>
      <c r="G22" s="161" t="str">
        <f>Ан.справка!G15</f>
        <v>03C_3</v>
      </c>
      <c r="H22" s="161" t="str">
        <f>Ан.справка!H15</f>
        <v>2400-R-NG-652-MP-MTO-0031-00</v>
      </c>
      <c r="I22" s="161" t="str">
        <f>Ан.справка!I15</f>
        <v>Фторопласт-4 ПН (400х400х20)</v>
      </c>
      <c r="J22" s="161" t="str">
        <f>Ан.справка!J15</f>
        <v>ГОСТ 10007-80</v>
      </c>
      <c r="K22" s="161" t="str">
        <f>Ан.справка!K15</f>
        <v>шт.</v>
      </c>
      <c r="L22" s="161">
        <f>Ан.справка!L15</f>
        <v>80</v>
      </c>
      <c r="M22" s="220">
        <f>Ан.справка!N15</f>
        <v>0.56000000000000005</v>
      </c>
      <c r="N22" s="161" t="str">
        <f>Ан.справка!AG15</f>
        <v>Пластина Ф-4 20x400x400 мм</v>
      </c>
      <c r="O22" s="161" t="str">
        <f>Ан.справка!AH15</f>
        <v>шт.</v>
      </c>
      <c r="P22" s="161">
        <f>Ан.справка!AI15</f>
        <v>80</v>
      </c>
      <c r="Q22" s="161">
        <f>Ан.справка!AJ15*Ан.справка!$AM$38</f>
        <v>6233.4614563314108</v>
      </c>
      <c r="R22" s="159">
        <f t="shared" si="6"/>
        <v>498676.92</v>
      </c>
      <c r="S22" s="159">
        <f t="shared" si="7"/>
        <v>598412.30000000005</v>
      </c>
      <c r="T22" s="162">
        <v>2943.54</v>
      </c>
      <c r="U22" s="159">
        <f t="shared" si="2"/>
        <v>1648.38</v>
      </c>
      <c r="V22" s="159">
        <f>ROUND(U22*1.2,2)-0.02</f>
        <v>1978.04</v>
      </c>
      <c r="W22" s="159">
        <f t="shared" si="4"/>
        <v>100065.06</v>
      </c>
      <c r="X22" s="163">
        <f t="shared" si="5"/>
        <v>600390.36</v>
      </c>
      <c r="Y22" s="53"/>
      <c r="Z22" s="111"/>
    </row>
    <row r="23" spans="2:26" s="98" customFormat="1" ht="50.1" customHeight="1">
      <c r="B23" s="254">
        <v>11</v>
      </c>
      <c r="C23" s="160" t="str">
        <f>Ан.справка!C16</f>
        <v>УКПГ-1</v>
      </c>
      <c r="D23" s="160" t="str">
        <f>Ан.справка!D16</f>
        <v>Установка низкотемпературной сепарации газа (ТДА)</v>
      </c>
      <c r="E23" s="160" t="str">
        <f>Ан.справка!E16</f>
        <v>Наружное оборудование установки НТС</v>
      </c>
      <c r="F23" s="161" t="str">
        <f>Ан.справка!F16</f>
        <v>120.ЮР.2017-2400-03-1-УКПГ1-010-МР2-СО2</v>
      </c>
      <c r="G23" s="161" t="str">
        <f>Ан.справка!G16</f>
        <v>03C_3</v>
      </c>
      <c r="H23" s="161" t="str">
        <f>Ан.справка!H16</f>
        <v>2400-R-NG-652-MP-MTO-0031-00</v>
      </c>
      <c r="I23" s="161" t="str">
        <f>Ан.справка!I16</f>
        <v>Фторопласт-4 ПН (400х250х20)</v>
      </c>
      <c r="J23" s="161" t="str">
        <f>Ан.справка!J16</f>
        <v>ГОСТ 10007-80</v>
      </c>
      <c r="K23" s="161" t="str">
        <f>Ан.справка!K16</f>
        <v>шт.</v>
      </c>
      <c r="L23" s="161">
        <f>Ан.справка!L16</f>
        <v>76</v>
      </c>
      <c r="M23" s="220">
        <f>Ан.справка!N16</f>
        <v>0.34200000000000003</v>
      </c>
      <c r="N23" s="161" t="str">
        <f>Ан.справка!AG16</f>
        <v>Пластина Ф-4 20x250x400 мм</v>
      </c>
      <c r="O23" s="161" t="str">
        <f>Ан.справка!AH16</f>
        <v>шт.</v>
      </c>
      <c r="P23" s="161">
        <f>Ан.справка!AI16</f>
        <v>76</v>
      </c>
      <c r="Q23" s="161">
        <f>Ан.справка!AJ16*Ан.справка!$AM$38</f>
        <v>4291.8914945232664</v>
      </c>
      <c r="R23" s="159">
        <f t="shared" si="6"/>
        <v>326183.75</v>
      </c>
      <c r="S23" s="159">
        <f t="shared" si="7"/>
        <v>391420.5</v>
      </c>
      <c r="T23" s="162">
        <v>2943.54</v>
      </c>
      <c r="U23" s="159">
        <f t="shared" si="2"/>
        <v>1006.69</v>
      </c>
      <c r="V23" s="159">
        <f>ROUND(U23*1.2,2)-0.01</f>
        <v>1208.02</v>
      </c>
      <c r="W23" s="159">
        <f t="shared" si="4"/>
        <v>65438.09</v>
      </c>
      <c r="X23" s="163">
        <f t="shared" si="5"/>
        <v>392628.53</v>
      </c>
      <c r="Y23" s="53"/>
      <c r="Z23" s="111"/>
    </row>
    <row r="24" spans="2:26" s="98" customFormat="1" ht="50.1" customHeight="1">
      <c r="B24" s="254">
        <v>12</v>
      </c>
      <c r="C24" s="160" t="str">
        <f>Ан.справка!C17</f>
        <v>УКПГ-1</v>
      </c>
      <c r="D24" s="160" t="str">
        <f>Ан.справка!D17</f>
        <v>Установка низкотемпературной сепарации газа (ТДА)</v>
      </c>
      <c r="E24" s="160" t="str">
        <f>Ан.справка!E17</f>
        <v>Наружное оборудование установки НТС</v>
      </c>
      <c r="F24" s="161" t="str">
        <f>Ан.справка!F17</f>
        <v>120.ЮР.2017-2400-03-1-УКПГ1-010-МР2-СО2</v>
      </c>
      <c r="G24" s="161" t="str">
        <f>Ан.справка!G17</f>
        <v>03C_3</v>
      </c>
      <c r="H24" s="161" t="str">
        <f>Ан.справка!H17</f>
        <v>2400-R-NG-652-MP-MTO-0031-00</v>
      </c>
      <c r="I24" s="161" t="str">
        <f>Ан.справка!I17</f>
        <v>Фторопласт-4 ПН (250х250х20)</v>
      </c>
      <c r="J24" s="161" t="str">
        <f>Ан.справка!J17</f>
        <v>ГОСТ 10007-80</v>
      </c>
      <c r="K24" s="161" t="str">
        <f>Ан.справка!K17</f>
        <v>шт.</v>
      </c>
      <c r="L24" s="161">
        <f>Ан.справка!L17</f>
        <v>120</v>
      </c>
      <c r="M24" s="220">
        <f>Ан.справка!N17</f>
        <v>0.33600000000000002</v>
      </c>
      <c r="N24" s="161" t="str">
        <f>Ан.справка!AG17</f>
        <v>Пластина Ф-4 20x250x250 мм</v>
      </c>
      <c r="O24" s="161" t="str">
        <f>Ан.справка!AH17</f>
        <v>шт.</v>
      </c>
      <c r="P24" s="161">
        <f>Ан.справка!AI17</f>
        <v>120</v>
      </c>
      <c r="Q24" s="161">
        <f>Ан.справка!AJ17*Ан.справка!$AM$38</f>
        <v>2217.4772721703544</v>
      </c>
      <c r="R24" s="159">
        <f t="shared" si="6"/>
        <v>266097.27</v>
      </c>
      <c r="S24" s="159">
        <f t="shared" si="7"/>
        <v>319316.71999999997</v>
      </c>
      <c r="T24" s="162">
        <v>2943.54</v>
      </c>
      <c r="U24" s="159">
        <f t="shared" si="2"/>
        <v>989.03</v>
      </c>
      <c r="V24" s="159">
        <f t="shared" si="8"/>
        <v>1186.8399999999999</v>
      </c>
      <c r="W24" s="159">
        <f t="shared" si="4"/>
        <v>53417.26</v>
      </c>
      <c r="X24" s="163">
        <f t="shared" si="5"/>
        <v>320503.56</v>
      </c>
      <c r="Y24" s="53"/>
      <c r="Z24" s="111"/>
    </row>
    <row r="25" spans="2:26" s="98" customFormat="1" ht="50.1" customHeight="1">
      <c r="B25" s="254">
        <v>13</v>
      </c>
      <c r="C25" s="160" t="str">
        <f>Ан.справка!C18</f>
        <v>УКПГ-1</v>
      </c>
      <c r="D25" s="160" t="str">
        <f>Ан.справка!D18</f>
        <v>Установка низкотемпературной сепарации газа (ТДА)</v>
      </c>
      <c r="E25" s="160" t="str">
        <f>Ан.справка!E18</f>
        <v>Замерный узел газа</v>
      </c>
      <c r="F25" s="161" t="str">
        <f>Ан.справка!F18</f>
        <v>120.ЮР.2017-2400-03-1-УКПГ1-010-МР5-СО2</v>
      </c>
      <c r="G25" s="161" t="str">
        <f>Ан.справка!G18</f>
        <v>03C_4</v>
      </c>
      <c r="H25" s="161" t="str">
        <f>Ан.справка!H18</f>
        <v>2400-R-NG-652-МР-МТО-0035-00</v>
      </c>
      <c r="I25" s="161" t="str">
        <f>Ан.справка!I18</f>
        <v>Фторопласт-4 ПН (810х280х20)</v>
      </c>
      <c r="J25" s="161" t="str">
        <f>Ан.справка!J18</f>
        <v>ГОСТ 10007-80</v>
      </c>
      <c r="K25" s="161" t="str">
        <f>Ан.справка!K18</f>
        <v>шт.</v>
      </c>
      <c r="L25" s="161">
        <f>Ан.справка!L18</f>
        <v>2</v>
      </c>
      <c r="M25" s="220">
        <f>Ан.справка!N18</f>
        <v>0.02</v>
      </c>
      <c r="N25" s="161" t="str">
        <f>Ан.справка!AG18</f>
        <v>Пластина Ф-4 20x280x810 мм</v>
      </c>
      <c r="O25" s="161" t="str">
        <f>Ан.справка!AH18</f>
        <v>шт.</v>
      </c>
      <c r="P25" s="161">
        <f>Ан.справка!AI18</f>
        <v>2</v>
      </c>
      <c r="Q25" s="161">
        <f>Ан.справка!AJ18*Ан.справка!$AM$38</f>
        <v>11138.480307215144</v>
      </c>
      <c r="R25" s="159">
        <f t="shared" si="6"/>
        <v>22276.959999999999</v>
      </c>
      <c r="S25" s="159">
        <f t="shared" si="7"/>
        <v>26732.35</v>
      </c>
      <c r="T25" s="162">
        <v>2943.54</v>
      </c>
      <c r="U25" s="159">
        <f t="shared" si="2"/>
        <v>58.87</v>
      </c>
      <c r="V25" s="159">
        <f t="shared" si="8"/>
        <v>70.64</v>
      </c>
      <c r="W25" s="159">
        <f t="shared" si="4"/>
        <v>4467.17</v>
      </c>
      <c r="X25" s="163">
        <f t="shared" si="5"/>
        <v>26803</v>
      </c>
      <c r="Y25" s="53"/>
      <c r="Z25" s="111"/>
    </row>
    <row r="26" spans="2:26" s="98" customFormat="1" ht="50.1" customHeight="1">
      <c r="B26" s="254">
        <v>14</v>
      </c>
      <c r="C26" s="160" t="str">
        <f>Ан.справка!C19</f>
        <v>УКПГ-1</v>
      </c>
      <c r="D26" s="160" t="str">
        <f>Ан.справка!D19</f>
        <v>Установка низкотемпературной сепарации газа (ТДА)</v>
      </c>
      <c r="E26" s="160" t="str">
        <f>Ан.справка!E19</f>
        <v>Замерный узел газа</v>
      </c>
      <c r="F26" s="161" t="str">
        <f>Ан.справка!F19</f>
        <v>120.ЮР.2017-2400-03-1-УКПГ1-010-МР5-СО2</v>
      </c>
      <c r="G26" s="161" t="str">
        <f>Ан.справка!G19</f>
        <v>03C_4</v>
      </c>
      <c r="H26" s="161" t="str">
        <f>Ан.справка!H19</f>
        <v>2400-R-NG-652-МР-МТО-0035-00</v>
      </c>
      <c r="I26" s="161" t="str">
        <f>Ан.справка!I19</f>
        <v>Фторопласт-4 ПН (810х50х20)</v>
      </c>
      <c r="J26" s="161" t="str">
        <f>Ан.справка!J19</f>
        <v>ГОСТ 10007-80</v>
      </c>
      <c r="K26" s="161" t="str">
        <f>Ан.справка!K19</f>
        <v>шт.</v>
      </c>
      <c r="L26" s="161">
        <f>Ан.справка!L19</f>
        <v>4</v>
      </c>
      <c r="M26" s="220">
        <f>Ан.справка!N19</f>
        <v>7.1999999999999998E-3</v>
      </c>
      <c r="N26" s="161" t="str">
        <f>Ан.справка!AG19</f>
        <v>Пластина Ф-4 20x50x810 мм</v>
      </c>
      <c r="O26" s="161" t="str">
        <f>Ан.справка!AH19</f>
        <v>шт.</v>
      </c>
      <c r="P26" s="161">
        <f>Ан.справка!AI19</f>
        <v>4</v>
      </c>
      <c r="Q26" s="161">
        <f>Ан.справка!AJ19*Ан.справка!$AM$38</f>
        <v>2043.7578545348888</v>
      </c>
      <c r="R26" s="159">
        <f t="shared" si="6"/>
        <v>8175.03</v>
      </c>
      <c r="S26" s="159">
        <f t="shared" si="7"/>
        <v>9810.0400000000009</v>
      </c>
      <c r="T26" s="162">
        <v>2943.54</v>
      </c>
      <c r="U26" s="159">
        <f t="shared" si="2"/>
        <v>21.19</v>
      </c>
      <c r="V26" s="159">
        <f t="shared" si="8"/>
        <v>25.43</v>
      </c>
      <c r="W26" s="159">
        <f t="shared" si="4"/>
        <v>1639.24</v>
      </c>
      <c r="X26" s="163">
        <f t="shared" si="5"/>
        <v>9835.4599999999991</v>
      </c>
      <c r="Y26" s="53"/>
      <c r="Z26" s="111"/>
    </row>
    <row r="27" spans="2:26" s="98" customFormat="1" ht="50.1" customHeight="1">
      <c r="B27" s="254">
        <v>15</v>
      </c>
      <c r="C27" s="160" t="str">
        <f>Ан.справка!C20</f>
        <v>УКПГ-1</v>
      </c>
      <c r="D27" s="160" t="str">
        <f>Ан.справка!D20</f>
        <v>Установка низкотемпературной сепарации газа (ТДА)</v>
      </c>
      <c r="E27" s="160" t="str">
        <f>Ан.справка!E20</f>
        <v>Замерный узел газа</v>
      </c>
      <c r="F27" s="161" t="str">
        <f>Ан.справка!F20</f>
        <v>120.ЮР.2017-2400-03-1-УКПГ1-010-МР5-СО2</v>
      </c>
      <c r="G27" s="161" t="str">
        <f>Ан.справка!G20</f>
        <v>03C_4</v>
      </c>
      <c r="H27" s="161" t="str">
        <f>Ан.справка!H20</f>
        <v>2400-R-NG-652-МР-МТО-0035-00</v>
      </c>
      <c r="I27" s="161" t="str">
        <f>Ан.справка!I20</f>
        <v>Фторопласт-4 ПН (240х50х20)</v>
      </c>
      <c r="J27" s="161" t="str">
        <f>Ан.справка!J20</f>
        <v>ГОСТ 10007-80</v>
      </c>
      <c r="K27" s="161" t="str">
        <f>Ан.справка!K20</f>
        <v>шт.</v>
      </c>
      <c r="L27" s="161">
        <f>Ан.справка!L20</f>
        <v>4</v>
      </c>
      <c r="M27" s="220">
        <f>Ан.справка!N20</f>
        <v>2E-3</v>
      </c>
      <c r="N27" s="161" t="str">
        <f>Ан.справка!AG20</f>
        <v>Пластина Ф-4 20x50x240 мм</v>
      </c>
      <c r="O27" s="161" t="str">
        <f>Ан.справка!AH20</f>
        <v>шт.</v>
      </c>
      <c r="P27" s="161">
        <f>Ан.справка!AI20</f>
        <v>4</v>
      </c>
      <c r="Q27" s="161">
        <f>Ан.справка!AJ20*Ан.справка!$AM$38</f>
        <v>562.0334099970944</v>
      </c>
      <c r="R27" s="159">
        <f t="shared" si="6"/>
        <v>2248.13</v>
      </c>
      <c r="S27" s="159">
        <f t="shared" si="7"/>
        <v>2697.76</v>
      </c>
      <c r="T27" s="162">
        <v>2943.54</v>
      </c>
      <c r="U27" s="159">
        <f t="shared" si="2"/>
        <v>5.89</v>
      </c>
      <c r="V27" s="159">
        <f t="shared" si="8"/>
        <v>7.07</v>
      </c>
      <c r="W27" s="159">
        <f t="shared" si="4"/>
        <v>450.8</v>
      </c>
      <c r="X27" s="163">
        <f t="shared" si="5"/>
        <v>2704.82</v>
      </c>
      <c r="Y27" s="53"/>
      <c r="Z27" s="111"/>
    </row>
    <row r="28" spans="2:26" s="98" customFormat="1" ht="50.1" customHeight="1">
      <c r="B28" s="254">
        <v>16</v>
      </c>
      <c r="C28" s="160" t="str">
        <f>Ан.справка!C21</f>
        <v>УКПГ-1</v>
      </c>
      <c r="D28" s="160" t="str">
        <f>Ан.справка!D21</f>
        <v>Факельное хозяйство</v>
      </c>
      <c r="E28" s="160" t="str">
        <f>Ан.справка!E21</f>
        <v>Факел низкого давления</v>
      </c>
      <c r="F28" s="161" t="str">
        <f>Ан.справка!F21</f>
        <v>120.ЮР.2017-2400-03-1-УКПГ1-016-МР3-СО2</v>
      </c>
      <c r="G28" s="161" t="str">
        <f>Ан.справка!G21</f>
        <v>02C_3</v>
      </c>
      <c r="H28" s="161" t="str">
        <f>Ан.справка!H21</f>
        <v>2400-R-NG-660-MP-MTO-0016-00</v>
      </c>
      <c r="I28" s="161" t="str">
        <f>Ан.справка!I21</f>
        <v>Фторопласт-4 ПН (200х200х20)</v>
      </c>
      <c r="J28" s="161" t="str">
        <f>Ан.справка!J21</f>
        <v>ГОСТ 10007-80</v>
      </c>
      <c r="K28" s="161" t="str">
        <f>Ан.справка!K21</f>
        <v>шт.</v>
      </c>
      <c r="L28" s="161">
        <f>Ан.справка!L21</f>
        <v>5</v>
      </c>
      <c r="M28" s="220">
        <f>Ан.справка!N21</f>
        <v>4.2500000000000003E-2</v>
      </c>
      <c r="N28" s="161" t="str">
        <f>Ан.справка!AG21</f>
        <v>Пластина Ф-4 20x200x200 мм</v>
      </c>
      <c r="O28" s="161" t="str">
        <f>Ан.справка!AH21</f>
        <v>шт.</v>
      </c>
      <c r="P28" s="161">
        <f>Ан.справка!AI21</f>
        <v>5</v>
      </c>
      <c r="Q28" s="161">
        <f>Ан.справка!AJ21*Ан.справка!$AM$38</f>
        <v>1532.8183909011666</v>
      </c>
      <c r="R28" s="159">
        <f t="shared" si="6"/>
        <v>7664.09</v>
      </c>
      <c r="S28" s="159">
        <f t="shared" si="7"/>
        <v>9196.91</v>
      </c>
      <c r="T28" s="162">
        <v>2943.54</v>
      </c>
      <c r="U28" s="159">
        <f t="shared" si="2"/>
        <v>125.1</v>
      </c>
      <c r="V28" s="159">
        <f t="shared" si="8"/>
        <v>150.12</v>
      </c>
      <c r="W28" s="159">
        <f t="shared" si="4"/>
        <v>1557.84</v>
      </c>
      <c r="X28" s="163">
        <f t="shared" si="5"/>
        <v>9347.0300000000007</v>
      </c>
      <c r="Y28" s="53"/>
      <c r="Z28" s="111"/>
    </row>
    <row r="29" spans="2:26" s="98" customFormat="1" ht="50.1" customHeight="1">
      <c r="B29" s="254">
        <v>17</v>
      </c>
      <c r="C29" s="160" t="str">
        <f>Ан.справка!C22</f>
        <v>УКПГ-1</v>
      </c>
      <c r="D29" s="160" t="str">
        <f>Ан.справка!D22</f>
        <v>Внутриплощадочные сети</v>
      </c>
      <c r="E29" s="160" t="str">
        <f>Ан.справка!E22</f>
        <v>Эстакады сетей внутриплощадочных</v>
      </c>
      <c r="F29" s="161" t="str">
        <f>Ан.справка!F22</f>
        <v>120.ЮР.2017-2400-03-1-УКПГ1-0ВС1-МР3-СО2</v>
      </c>
      <c r="G29" s="161" t="str">
        <f>Ан.справка!G22</f>
        <v>02C_3</v>
      </c>
      <c r="H29" s="161" t="str">
        <f>Ан.справка!H22</f>
        <v>2400-R-NG-660-MP-MTO-0031-00</v>
      </c>
      <c r="I29" s="161" t="str">
        <f>Ан.справка!I22</f>
        <v>Фторопласт-4 ПН (780х240х20)</v>
      </c>
      <c r="J29" s="161" t="str">
        <f>Ан.справка!J22</f>
        <v>ГОСТ 10007-80</v>
      </c>
      <c r="K29" s="161" t="str">
        <f>Ан.справка!K22</f>
        <v>шт.</v>
      </c>
      <c r="L29" s="161">
        <f>Ан.справка!L22</f>
        <v>9</v>
      </c>
      <c r="M29" s="220">
        <f>Ан.справка!N22</f>
        <v>7.3799999999999991E-2</v>
      </c>
      <c r="N29" s="161" t="str">
        <f>Ан.справка!AG22</f>
        <v>Пластина Ф-4 20x240x780 мм</v>
      </c>
      <c r="O29" s="161" t="str">
        <f>Ан.справка!AH22</f>
        <v>шт.</v>
      </c>
      <c r="P29" s="161">
        <f>Ан.справка!AI22</f>
        <v>9</v>
      </c>
      <c r="Q29" s="161">
        <f>Ан.справка!AJ22*Ан.справка!$AM$38</f>
        <v>8379.407203593044</v>
      </c>
      <c r="R29" s="159">
        <f t="shared" si="6"/>
        <v>75414.66</v>
      </c>
      <c r="S29" s="159">
        <f t="shared" si="7"/>
        <v>90497.59</v>
      </c>
      <c r="T29" s="162">
        <v>2943.54</v>
      </c>
      <c r="U29" s="159">
        <f t="shared" si="2"/>
        <v>217.23</v>
      </c>
      <c r="V29" s="159">
        <f t="shared" si="8"/>
        <v>260.68</v>
      </c>
      <c r="W29" s="159">
        <f t="shared" si="4"/>
        <v>15126.38</v>
      </c>
      <c r="X29" s="163">
        <f t="shared" si="5"/>
        <v>90758.27</v>
      </c>
      <c r="Y29" s="53"/>
      <c r="Z29" s="111"/>
    </row>
    <row r="30" spans="2:26" s="98" customFormat="1" ht="50.1" customHeight="1">
      <c r="B30" s="254">
        <v>18</v>
      </c>
      <c r="C30" s="160" t="str">
        <f>Ан.справка!C23</f>
        <v>УКПГ-1</v>
      </c>
      <c r="D30" s="160" t="str">
        <f>Ан.справка!D23</f>
        <v>Внутриплощадочные сети</v>
      </c>
      <c r="E30" s="160" t="str">
        <f>Ан.справка!E23</f>
        <v>Эстакады сетей внутриплощадочных</v>
      </c>
      <c r="F30" s="161" t="str">
        <f>Ан.справка!F23</f>
        <v>120.ЮР.2017-2400-03-1-УКПГ1-0ВС1-МР3-СО2</v>
      </c>
      <c r="G30" s="161" t="str">
        <f>Ан.справка!G23</f>
        <v>02C_3</v>
      </c>
      <c r="H30" s="161" t="str">
        <f>Ан.справка!H23</f>
        <v>2400-R-NG-660-MP-MTO-0031-00</v>
      </c>
      <c r="I30" s="161" t="str">
        <f>Ан.справка!I23</f>
        <v>Фторопласт-4 ПН (780х50х20)</v>
      </c>
      <c r="J30" s="161" t="str">
        <f>Ан.справка!J23</f>
        <v>ГОСТ 10007-80</v>
      </c>
      <c r="K30" s="161" t="str">
        <f>Ан.справка!K23</f>
        <v>шт.</v>
      </c>
      <c r="L30" s="161">
        <f>Ан.справка!L23</f>
        <v>18</v>
      </c>
      <c r="M30" s="220">
        <f>Ан.справка!N23</f>
        <v>3.0960000000000001E-2</v>
      </c>
      <c r="N30" s="161" t="str">
        <f>Ан.справка!AG23</f>
        <v>Пластина Ф-4 20x50x780 мм</v>
      </c>
      <c r="O30" s="161" t="str">
        <f>Ан.справка!AH23</f>
        <v>шт.</v>
      </c>
      <c r="P30" s="161">
        <f>Ан.справка!AI23</f>
        <v>18</v>
      </c>
      <c r="Q30" s="161">
        <f>Ан.справка!AJ23*Ан.справка!$AM$38</f>
        <v>2043.7578545348888</v>
      </c>
      <c r="R30" s="159">
        <f t="shared" si="6"/>
        <v>36787.64</v>
      </c>
      <c r="S30" s="159">
        <f t="shared" si="7"/>
        <v>44145.17</v>
      </c>
      <c r="T30" s="162">
        <v>2943.54</v>
      </c>
      <c r="U30" s="159">
        <f t="shared" si="2"/>
        <v>91.13</v>
      </c>
      <c r="V30" s="159">
        <f t="shared" si="8"/>
        <v>109.36</v>
      </c>
      <c r="W30" s="159">
        <f t="shared" si="4"/>
        <v>7375.75</v>
      </c>
      <c r="X30" s="163">
        <f t="shared" si="5"/>
        <v>44254.52</v>
      </c>
      <c r="Y30" s="53"/>
      <c r="Z30" s="111"/>
    </row>
    <row r="31" spans="2:26" s="98" customFormat="1" ht="50.1" customHeight="1">
      <c r="B31" s="254">
        <v>19</v>
      </c>
      <c r="C31" s="160" t="str">
        <f>Ан.справка!C24</f>
        <v>УКПГ-1</v>
      </c>
      <c r="D31" s="160" t="str">
        <f>Ан.справка!D24</f>
        <v>Внутриплощадочные сети</v>
      </c>
      <c r="E31" s="160" t="str">
        <f>Ан.справка!E24</f>
        <v>Эстакады сетей внутриплощадочных</v>
      </c>
      <c r="F31" s="161" t="str">
        <f>Ан.справка!F24</f>
        <v>120.ЮР.2017-2400-03-1-УКПГ1-0ВС1-МР3-СО2</v>
      </c>
      <c r="G31" s="161" t="str">
        <f>Ан.справка!G24</f>
        <v>02C_3</v>
      </c>
      <c r="H31" s="161" t="str">
        <f>Ан.справка!H24</f>
        <v>2400-R-NG-660-MP-MTO-0031-00</v>
      </c>
      <c r="I31" s="161" t="str">
        <f>Ан.справка!I24</f>
        <v>Фторопласт-4 ПН (220х50х20)</v>
      </c>
      <c r="J31" s="161" t="str">
        <f>Ан.справка!J24</f>
        <v>ГОСТ 10007-80</v>
      </c>
      <c r="K31" s="161" t="str">
        <f>Ан.справка!K24</f>
        <v>шт.</v>
      </c>
      <c r="L31" s="161">
        <f>Ан.справка!L24</f>
        <v>18</v>
      </c>
      <c r="M31" s="220">
        <f>Ан.справка!N24</f>
        <v>8.6400000000000001E-3</v>
      </c>
      <c r="N31" s="161" t="str">
        <f>Ан.справка!AG24</f>
        <v>Пластина Ф-4 20x50x220 мм</v>
      </c>
      <c r="O31" s="161" t="str">
        <f>Ан.справка!AH24</f>
        <v>шт.</v>
      </c>
      <c r="P31" s="161">
        <f>Ан.справка!AI24</f>
        <v>18</v>
      </c>
      <c r="Q31" s="161">
        <f>Ан.справка!AJ24*Ан.справка!$AM$38</f>
        <v>562.0334099970944</v>
      </c>
      <c r="R31" s="159">
        <f t="shared" si="6"/>
        <v>10116.6</v>
      </c>
      <c r="S31" s="159">
        <f t="shared" si="7"/>
        <v>12139.92</v>
      </c>
      <c r="T31" s="162">
        <v>2943.54</v>
      </c>
      <c r="U31" s="159">
        <f t="shared" si="2"/>
        <v>25.43</v>
      </c>
      <c r="V31" s="159">
        <f t="shared" si="8"/>
        <v>30.52</v>
      </c>
      <c r="W31" s="159">
        <f t="shared" si="4"/>
        <v>2028.41</v>
      </c>
      <c r="X31" s="163">
        <f t="shared" si="5"/>
        <v>12170.44</v>
      </c>
      <c r="Y31" s="53"/>
      <c r="Z31" s="111"/>
    </row>
    <row r="32" spans="2:26" ht="20.100000000000001" customHeight="1" thickBot="1">
      <c r="B32" s="255"/>
      <c r="C32" s="230"/>
      <c r="D32" s="230"/>
      <c r="E32" s="230"/>
      <c r="F32" s="230"/>
      <c r="G32" s="231"/>
      <c r="H32" s="231"/>
      <c r="I32" s="232" t="s">
        <v>10</v>
      </c>
      <c r="J32" s="233"/>
      <c r="K32" s="233"/>
      <c r="L32" s="232">
        <f>SUM(L13:L31)</f>
        <v>504</v>
      </c>
      <c r="M32" s="232">
        <f>SUM(M13:M31)</f>
        <v>2.1577000000000002</v>
      </c>
      <c r="N32" s="234"/>
      <c r="O32" s="234"/>
      <c r="P32" s="234"/>
      <c r="Q32" s="234"/>
      <c r="R32" s="241">
        <f>SUM(R13:R31)</f>
        <v>1946086.67</v>
      </c>
      <c r="S32" s="242">
        <f>SUM(S13:S31)</f>
        <v>2335304.02</v>
      </c>
      <c r="T32" s="241"/>
      <c r="U32" s="241">
        <f>SUM(U13:U31)</f>
        <v>6351.2699999999995</v>
      </c>
      <c r="V32" s="242">
        <f>SUM(V13:V31)</f>
        <v>7621.5100000000011</v>
      </c>
      <c r="W32" s="241">
        <f>SUM(W13:W31)</f>
        <v>390487.58999999997</v>
      </c>
      <c r="X32" s="243">
        <f>SUM(X13:X31)</f>
        <v>2342925.5299999993</v>
      </c>
      <c r="Y32" s="53"/>
      <c r="Z32" s="49"/>
    </row>
    <row r="33" spans="1:26" ht="18.75" customHeight="1" thickBot="1">
      <c r="B33" s="256"/>
      <c r="C33" s="164" t="s">
        <v>11</v>
      </c>
      <c r="D33" s="164"/>
      <c r="E33" s="164"/>
      <c r="F33" s="164"/>
      <c r="G33" s="165"/>
      <c r="H33" s="165"/>
      <c r="I33" s="166"/>
      <c r="J33" s="167"/>
      <c r="K33" s="167"/>
      <c r="L33" s="167"/>
      <c r="M33" s="167"/>
      <c r="N33" s="168"/>
      <c r="O33" s="168"/>
      <c r="P33" s="168"/>
      <c r="Q33" s="168"/>
      <c r="R33" s="168" t="s">
        <v>71</v>
      </c>
      <c r="S33" s="168"/>
      <c r="T33" s="168"/>
      <c r="U33" s="168" t="s">
        <v>71</v>
      </c>
      <c r="V33" s="168"/>
      <c r="W33" s="414"/>
      <c r="X33" s="415"/>
      <c r="Y33" s="60"/>
      <c r="Z33" s="61"/>
    </row>
    <row r="34" spans="1:26" ht="20.25" customHeight="1">
      <c r="B34" s="71"/>
      <c r="C34" s="71"/>
      <c r="D34" s="71"/>
      <c r="E34" s="71"/>
      <c r="F34" s="71"/>
      <c r="G34" s="62"/>
      <c r="H34" s="62"/>
      <c r="I34" s="72"/>
      <c r="J34" s="73"/>
      <c r="K34" s="73"/>
      <c r="L34" s="73"/>
      <c r="M34" s="73"/>
      <c r="N34" s="74"/>
      <c r="O34" s="118"/>
      <c r="P34" s="118"/>
      <c r="Q34" s="118"/>
      <c r="R34" s="74"/>
      <c r="S34" s="74"/>
      <c r="T34" s="118"/>
      <c r="U34" s="118"/>
      <c r="V34" s="118"/>
      <c r="W34" s="75"/>
      <c r="X34" s="75"/>
      <c r="Y34" s="60"/>
      <c r="Z34" s="61"/>
    </row>
    <row r="35" spans="1:26" s="98" customFormat="1" ht="20.100000000000001" customHeight="1">
      <c r="B35" s="222" t="s">
        <v>12</v>
      </c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111"/>
      <c r="Z35" s="111"/>
    </row>
    <row r="36" spans="1:26" s="98" customFormat="1" ht="20.100000000000001" customHeight="1">
      <c r="B36" s="124" t="s">
        <v>6</v>
      </c>
      <c r="C36" s="63" t="s">
        <v>78</v>
      </c>
      <c r="D36" s="63"/>
      <c r="E36" s="63"/>
      <c r="F36" s="63"/>
      <c r="G36" s="63"/>
      <c r="H36" s="63"/>
      <c r="I36" s="63"/>
      <c r="J36" s="64"/>
      <c r="K36" s="130"/>
      <c r="L36" s="130"/>
      <c r="M36" s="130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s="98" customFormat="1" ht="20.100000000000001" customHeight="1">
      <c r="B37" s="124" t="s">
        <v>7</v>
      </c>
      <c r="C37" s="63" t="s">
        <v>28</v>
      </c>
      <c r="D37" s="253" t="str">
        <f>Ан.справка!AG28</f>
        <v>20 календарных дней</v>
      </c>
      <c r="E37" s="63" t="s">
        <v>166</v>
      </c>
      <c r="F37" s="63"/>
      <c r="G37" s="63"/>
      <c r="H37" s="63"/>
      <c r="I37" s="63"/>
      <c r="J37" s="63"/>
      <c r="K37" s="115"/>
      <c r="L37" s="115"/>
      <c r="M37" s="115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s="98" customFormat="1" ht="20.100000000000001" customHeight="1">
      <c r="B38" s="124" t="s">
        <v>13</v>
      </c>
      <c r="C38" s="116" t="s">
        <v>29</v>
      </c>
      <c r="D38" s="253" t="str">
        <f>Ан.справка!AG29</f>
        <v>30 календарных дней</v>
      </c>
      <c r="E38" s="63" t="s">
        <v>166</v>
      </c>
      <c r="F38" s="116"/>
      <c r="G38" s="116"/>
      <c r="H38" s="116"/>
      <c r="I38" s="116"/>
      <c r="J38" s="116"/>
      <c r="K38" s="116"/>
      <c r="L38" s="116"/>
      <c r="M38" s="116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s="129" customFormat="1" ht="43.5" customHeight="1">
      <c r="B39" s="93" t="s">
        <v>22</v>
      </c>
      <c r="C39" s="416" t="s">
        <v>81</v>
      </c>
      <c r="D39" s="416"/>
      <c r="E39" s="416"/>
      <c r="F39" s="416"/>
      <c r="G39" s="416"/>
      <c r="H39" s="416"/>
      <c r="I39" s="416"/>
      <c r="J39" s="416"/>
      <c r="K39" s="416"/>
      <c r="L39" s="416"/>
      <c r="M39" s="416"/>
      <c r="N39" s="416"/>
      <c r="O39" s="416"/>
      <c r="P39" s="221"/>
      <c r="Q39" s="221"/>
      <c r="R39" s="221"/>
      <c r="S39" s="221"/>
      <c r="T39" s="221"/>
      <c r="U39" s="221"/>
      <c r="V39" s="221"/>
      <c r="W39" s="221"/>
      <c r="X39" s="133"/>
      <c r="Y39" s="133"/>
      <c r="Z39" s="133"/>
    </row>
    <row r="40" spans="1:26" s="98" customFormat="1" ht="33" customHeight="1">
      <c r="B40" s="131" t="s">
        <v>20</v>
      </c>
      <c r="C40" s="411" t="s">
        <v>195</v>
      </c>
      <c r="D40" s="411"/>
      <c r="E40" s="411"/>
      <c r="F40" s="411"/>
      <c r="G40" s="411"/>
      <c r="H40" s="411"/>
      <c r="I40" s="411"/>
      <c r="J40" s="411"/>
      <c r="K40" s="411"/>
      <c r="L40" s="411"/>
      <c r="M40" s="411"/>
      <c r="N40" s="411"/>
      <c r="O40" s="411"/>
      <c r="P40" s="411"/>
      <c r="Q40" s="132"/>
      <c r="R40" s="132"/>
      <c r="S40" s="132"/>
      <c r="T40" s="132"/>
      <c r="U40" s="132"/>
      <c r="V40" s="221"/>
      <c r="W40" s="132"/>
      <c r="X40" s="111"/>
      <c r="Y40" s="111"/>
      <c r="Z40" s="111"/>
    </row>
    <row r="41" spans="1:26" s="98" customFormat="1" ht="25.5" customHeight="1">
      <c r="B41" s="131" t="s">
        <v>18</v>
      </c>
      <c r="C41" s="412" t="s">
        <v>67</v>
      </c>
      <c r="D41" s="412"/>
      <c r="E41" s="412"/>
      <c r="F41" s="412"/>
      <c r="G41" s="412"/>
      <c r="H41" s="412"/>
      <c r="I41" s="412"/>
      <c r="J41" s="412"/>
      <c r="K41" s="412"/>
      <c r="L41" s="412"/>
      <c r="M41" s="412"/>
      <c r="N41" s="412"/>
      <c r="O41" s="185"/>
      <c r="P41" s="185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s="81" customFormat="1" ht="20.100000000000001" customHeight="1">
      <c r="A42" s="98"/>
      <c r="B42" s="228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116"/>
      <c r="R42" s="65"/>
      <c r="S42" s="65"/>
      <c r="T42" s="116"/>
      <c r="U42" s="116"/>
      <c r="V42" s="116"/>
      <c r="W42" s="65"/>
      <c r="X42" s="65"/>
      <c r="Y42" s="49"/>
      <c r="Z42" s="49"/>
    </row>
    <row r="43" spans="1:26" s="81" customFormat="1" ht="25.95" customHeight="1">
      <c r="A43" s="98"/>
      <c r="B43" s="49"/>
      <c r="C43" s="409" t="s">
        <v>193</v>
      </c>
      <c r="D43" s="409"/>
      <c r="E43" s="409"/>
      <c r="F43" s="409"/>
      <c r="G43" s="409"/>
      <c r="H43" s="85"/>
      <c r="I43" s="85"/>
      <c r="J43" s="55"/>
      <c r="K43" s="54"/>
      <c r="L43" s="177"/>
      <c r="M43" s="54"/>
      <c r="N43" s="52"/>
      <c r="O43" s="125"/>
      <c r="P43" s="125"/>
      <c r="Q43" s="125"/>
      <c r="R43" s="56"/>
      <c r="S43" s="56"/>
      <c r="T43" s="113"/>
      <c r="U43" s="113"/>
      <c r="V43" s="113"/>
      <c r="W43" s="52"/>
      <c r="X43" s="56"/>
      <c r="Y43" s="53"/>
      <c r="Z43" s="49"/>
    </row>
    <row r="44" spans="1:26" s="98" customFormat="1" ht="25.95" customHeight="1">
      <c r="B44" s="184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113"/>
      <c r="T44" s="113"/>
      <c r="U44" s="113"/>
      <c r="V44" s="113"/>
      <c r="W44" s="125"/>
      <c r="X44" s="113"/>
      <c r="Y44" s="53"/>
      <c r="Z44" s="111"/>
    </row>
    <row r="45" spans="1:26" s="98" customFormat="1" ht="25.95" customHeight="1">
      <c r="B45" s="111"/>
      <c r="C45" s="183"/>
      <c r="D45" s="183"/>
      <c r="E45" s="183"/>
      <c r="F45" s="183"/>
      <c r="G45" s="183"/>
      <c r="H45" s="183"/>
      <c r="I45" s="183"/>
      <c r="J45" s="112"/>
      <c r="K45" s="184"/>
      <c r="L45" s="184"/>
      <c r="M45" s="184"/>
      <c r="N45" s="125"/>
      <c r="O45" s="125"/>
      <c r="P45" s="125"/>
      <c r="Q45" s="125"/>
      <c r="R45" s="113"/>
      <c r="S45" s="113"/>
      <c r="T45" s="113"/>
      <c r="U45" s="113"/>
      <c r="V45" s="113"/>
      <c r="W45" s="125"/>
      <c r="X45" s="113"/>
      <c r="Y45" s="53"/>
      <c r="Z45" s="111"/>
    </row>
    <row r="46" spans="1:26" s="98" customFormat="1" ht="27.75" customHeight="1">
      <c r="B46" s="111"/>
      <c r="C46" s="111" t="s">
        <v>194</v>
      </c>
      <c r="D46" s="111"/>
      <c r="E46" s="111"/>
      <c r="F46" s="111"/>
      <c r="G46" s="123"/>
      <c r="H46" s="123"/>
      <c r="I46" s="123"/>
      <c r="J46" s="112"/>
      <c r="K46" s="124"/>
      <c r="L46" s="177"/>
      <c r="M46" s="124"/>
      <c r="N46" s="125"/>
      <c r="O46" s="125"/>
      <c r="P46" s="125"/>
      <c r="Q46" s="125"/>
      <c r="R46" s="113"/>
      <c r="S46" s="113"/>
      <c r="T46" s="113"/>
      <c r="U46" s="113"/>
      <c r="V46" s="113"/>
      <c r="W46" s="125"/>
      <c r="X46" s="113"/>
      <c r="Y46" s="124"/>
      <c r="Z46" s="111"/>
    </row>
    <row r="47" spans="1:26" s="81" customFormat="1" ht="20.100000000000001" customHeight="1">
      <c r="A47" s="98"/>
      <c r="B47" s="49"/>
      <c r="C47" s="49" t="s">
        <v>77</v>
      </c>
      <c r="D47" s="49"/>
      <c r="E47" s="49"/>
      <c r="F47" s="49"/>
      <c r="G47" s="85"/>
      <c r="H47" s="85"/>
      <c r="I47" s="85"/>
      <c r="J47" s="55"/>
      <c r="K47" s="54"/>
      <c r="L47" s="177"/>
      <c r="M47" s="54"/>
      <c r="N47" s="52"/>
      <c r="O47" s="125"/>
      <c r="P47" s="125"/>
      <c r="Q47" s="125"/>
      <c r="R47" s="56"/>
      <c r="S47" s="56"/>
      <c r="T47" s="113"/>
      <c r="U47" s="113"/>
      <c r="V47" s="113"/>
      <c r="W47" s="52"/>
      <c r="X47" s="56"/>
      <c r="Y47" s="53"/>
      <c r="Z47" s="49"/>
    </row>
    <row r="48" spans="1:26" s="81" customFormat="1" ht="20.100000000000001" customHeight="1">
      <c r="A48" s="98"/>
      <c r="B48" s="49"/>
      <c r="C48" s="49"/>
      <c r="D48" s="49"/>
      <c r="E48" s="49"/>
      <c r="F48" s="49"/>
      <c r="G48" s="85"/>
      <c r="H48" s="85"/>
      <c r="I48" s="85"/>
      <c r="J48" s="55"/>
      <c r="K48" s="54"/>
      <c r="L48" s="177"/>
      <c r="M48" s="54"/>
      <c r="N48" s="52"/>
      <c r="O48" s="125"/>
      <c r="P48" s="125"/>
      <c r="Q48" s="125"/>
      <c r="R48" s="56"/>
      <c r="S48" s="56"/>
      <c r="T48" s="113"/>
      <c r="U48" s="113"/>
      <c r="V48" s="113"/>
      <c r="W48" s="52"/>
      <c r="X48" s="56"/>
      <c r="Y48" s="53"/>
      <c r="Z48" s="49"/>
    </row>
    <row r="49" spans="1:26" s="81" customFormat="1" ht="20.100000000000001" customHeight="1">
      <c r="A49" s="98"/>
      <c r="B49" s="49"/>
      <c r="C49" s="84" t="s">
        <v>8</v>
      </c>
      <c r="D49" s="49"/>
      <c r="E49" s="49"/>
      <c r="F49" s="49"/>
      <c r="G49" s="49"/>
      <c r="H49" s="85"/>
      <c r="I49" s="66"/>
      <c r="J49" s="49"/>
      <c r="K49" s="56"/>
      <c r="L49" s="113"/>
      <c r="M49" s="56"/>
      <c r="N49" s="58" t="s">
        <v>58</v>
      </c>
      <c r="O49" s="114"/>
      <c r="P49" s="114"/>
      <c r="Q49" s="111"/>
      <c r="R49" s="56"/>
      <c r="S49" s="56"/>
      <c r="T49" s="113"/>
      <c r="U49" s="113"/>
      <c r="V49" s="113"/>
      <c r="W49" s="49"/>
      <c r="X49" s="56"/>
      <c r="Y49" s="49"/>
      <c r="Z49" s="49"/>
    </row>
    <row r="50" spans="1:26" s="81" customFormat="1" ht="20.100000000000001" customHeight="1">
      <c r="A50" s="98"/>
      <c r="B50" s="49"/>
      <c r="C50" s="409" t="s">
        <v>14</v>
      </c>
      <c r="D50" s="409"/>
      <c r="E50" s="49"/>
      <c r="F50" s="49"/>
      <c r="G50" s="67"/>
      <c r="H50" s="85"/>
      <c r="I50" s="68"/>
      <c r="J50" s="70"/>
      <c r="K50" s="70"/>
      <c r="L50" s="70"/>
      <c r="M50" s="70"/>
      <c r="N50" s="49" t="s">
        <v>59</v>
      </c>
      <c r="O50" s="111"/>
      <c r="P50" s="111"/>
      <c r="Q50" s="111"/>
      <c r="R50" s="56"/>
      <c r="S50" s="56"/>
      <c r="T50" s="113"/>
      <c r="U50" s="113"/>
      <c r="V50" s="113"/>
      <c r="W50" s="49"/>
      <c r="X50" s="56"/>
      <c r="Y50" s="49"/>
      <c r="Z50" s="49"/>
    </row>
    <row r="51" spans="1:26" s="81" customFormat="1" ht="20.100000000000001" customHeight="1">
      <c r="A51" s="98"/>
      <c r="B51" s="49"/>
      <c r="C51" s="409" t="s">
        <v>63</v>
      </c>
      <c r="D51" s="409"/>
      <c r="E51" s="409"/>
      <c r="F51" s="49"/>
      <c r="G51" s="67"/>
      <c r="H51" s="85"/>
      <c r="I51" s="68"/>
      <c r="J51" s="409"/>
      <c r="K51" s="409"/>
      <c r="L51" s="176"/>
      <c r="M51" s="85"/>
      <c r="N51" s="49"/>
      <c r="O51" s="111"/>
      <c r="P51" s="111"/>
      <c r="Q51" s="111"/>
      <c r="R51" s="56"/>
      <c r="S51" s="56"/>
      <c r="T51" s="113"/>
      <c r="U51" s="113"/>
      <c r="V51" s="113"/>
      <c r="W51" s="49"/>
      <c r="X51" s="56"/>
      <c r="Y51" s="49"/>
      <c r="Z51" s="49"/>
    </row>
    <row r="52" spans="1:26" s="81" customFormat="1" ht="20.100000000000001" customHeight="1">
      <c r="A52" s="98"/>
      <c r="B52" s="49"/>
      <c r="C52" s="85"/>
      <c r="D52" s="85"/>
      <c r="E52" s="49"/>
      <c r="F52" s="49"/>
      <c r="G52" s="67"/>
      <c r="H52" s="85"/>
      <c r="I52" s="68"/>
      <c r="J52" s="85"/>
      <c r="K52" s="85"/>
      <c r="L52" s="176"/>
      <c r="M52" s="85"/>
      <c r="N52" s="49"/>
      <c r="O52" s="111"/>
      <c r="P52" s="111"/>
      <c r="Q52" s="111"/>
      <c r="R52" s="56"/>
      <c r="S52" s="56"/>
      <c r="T52" s="113"/>
      <c r="U52" s="113"/>
      <c r="V52" s="113"/>
      <c r="W52" s="49"/>
      <c r="X52" s="56"/>
      <c r="Y52" s="49"/>
      <c r="Z52" s="49"/>
    </row>
    <row r="53" spans="1:26" s="81" customFormat="1" ht="20.100000000000001" customHeight="1">
      <c r="A53" s="98"/>
      <c r="B53" s="49"/>
      <c r="C53" s="85"/>
      <c r="D53" s="85"/>
      <c r="E53" s="49"/>
      <c r="F53" s="49"/>
      <c r="G53" s="67"/>
      <c r="H53" s="85"/>
      <c r="I53" s="68"/>
      <c r="J53" s="85"/>
      <c r="K53" s="85"/>
      <c r="L53" s="176"/>
      <c r="M53" s="85"/>
      <c r="N53" s="49"/>
      <c r="O53" s="111"/>
      <c r="P53" s="111"/>
      <c r="Q53" s="111"/>
      <c r="R53" s="56"/>
      <c r="S53" s="56"/>
      <c r="T53" s="113"/>
      <c r="U53" s="113"/>
      <c r="V53" s="113"/>
      <c r="W53" s="49"/>
      <c r="X53" s="56"/>
      <c r="Y53" s="49"/>
      <c r="Z53" s="49"/>
    </row>
    <row r="54" spans="1:26" s="81" customFormat="1" ht="20.100000000000001" customHeight="1">
      <c r="A54" s="98"/>
      <c r="B54" s="49"/>
      <c r="C54" s="94" t="s">
        <v>62</v>
      </c>
      <c r="D54" s="83"/>
      <c r="E54" s="83"/>
      <c r="F54" s="49"/>
      <c r="G54" s="67"/>
      <c r="H54" s="85"/>
      <c r="I54" s="68"/>
      <c r="J54" s="85"/>
      <c r="K54" s="85"/>
      <c r="L54" s="176"/>
      <c r="M54" s="85"/>
      <c r="N54" s="84"/>
      <c r="O54" s="120"/>
      <c r="P54" s="120"/>
      <c r="Q54" s="83"/>
      <c r="R54" s="83"/>
      <c r="S54" s="56"/>
      <c r="T54" s="113"/>
      <c r="U54" s="113"/>
      <c r="V54" s="113"/>
      <c r="W54" s="49"/>
      <c r="X54" s="56"/>
      <c r="Y54" s="49"/>
      <c r="Z54" s="49"/>
    </row>
    <row r="55" spans="1:26" s="81" customFormat="1" ht="20.100000000000001" customHeight="1">
      <c r="A55" s="98"/>
      <c r="B55" s="49"/>
      <c r="F55" s="49"/>
      <c r="G55" s="49"/>
      <c r="H55" s="85"/>
      <c r="I55" s="66"/>
      <c r="J55" s="49"/>
      <c r="K55" s="56"/>
      <c r="L55" s="113"/>
      <c r="M55" s="56"/>
      <c r="N55" s="86"/>
      <c r="O55" s="98"/>
      <c r="P55" s="98"/>
      <c r="Q55" s="98"/>
      <c r="R55" s="86"/>
      <c r="S55" s="56"/>
      <c r="T55" s="113"/>
      <c r="U55" s="113"/>
      <c r="V55" s="113"/>
      <c r="W55" s="49"/>
      <c r="X55" s="56"/>
      <c r="Y55" s="49"/>
      <c r="Z55" s="49"/>
    </row>
    <row r="56" spans="1:26" s="81" customFormat="1" ht="18">
      <c r="A56" s="98"/>
      <c r="B56" s="49"/>
      <c r="C56" s="411" t="s">
        <v>80</v>
      </c>
      <c r="D56" s="411"/>
      <c r="E56" s="411"/>
      <c r="F56" s="49"/>
      <c r="G56" s="85"/>
      <c r="H56" s="85"/>
      <c r="I56" s="85"/>
      <c r="J56" s="55"/>
      <c r="K56" s="55"/>
      <c r="L56" s="112"/>
      <c r="M56" s="55"/>
      <c r="N56" s="411"/>
      <c r="O56" s="411"/>
      <c r="P56" s="411"/>
      <c r="Q56" s="411"/>
      <c r="R56" s="411"/>
      <c r="S56" s="69"/>
      <c r="T56" s="69"/>
      <c r="U56" s="69"/>
      <c r="V56" s="69"/>
      <c r="W56" s="52"/>
      <c r="X56" s="69"/>
      <c r="Y56" s="53"/>
      <c r="Z56" s="49"/>
    </row>
    <row r="57" spans="1:26" s="81" customFormat="1" ht="18">
      <c r="A57" s="98"/>
      <c r="B57" s="49"/>
      <c r="C57" s="49"/>
      <c r="D57" s="49"/>
      <c r="E57" s="49"/>
      <c r="F57" s="49"/>
      <c r="G57" s="85"/>
      <c r="H57" s="85"/>
      <c r="I57" s="85"/>
      <c r="J57" s="55"/>
      <c r="K57" s="55"/>
      <c r="L57" s="112"/>
      <c r="M57" s="55"/>
      <c r="N57" s="52"/>
      <c r="O57" s="125"/>
      <c r="P57" s="125"/>
      <c r="Q57" s="125"/>
      <c r="R57" s="69"/>
      <c r="S57" s="69"/>
      <c r="T57" s="69"/>
      <c r="U57" s="69"/>
      <c r="V57" s="69"/>
      <c r="W57" s="52"/>
      <c r="X57" s="69"/>
      <c r="Y57" s="53"/>
      <c r="Z57" s="49"/>
    </row>
    <row r="58" spans="1:26" s="81" customFormat="1" ht="18">
      <c r="A58" s="98"/>
      <c r="B58" s="49"/>
      <c r="C58" s="49"/>
      <c r="D58" s="49"/>
      <c r="E58" s="49"/>
      <c r="F58" s="49"/>
      <c r="G58" s="85"/>
      <c r="H58" s="85"/>
      <c r="I58" s="85"/>
      <c r="J58" s="55"/>
      <c r="K58" s="55"/>
      <c r="L58" s="112"/>
      <c r="M58" s="55"/>
      <c r="N58" s="52"/>
      <c r="O58" s="125"/>
      <c r="P58" s="125"/>
      <c r="Q58" s="125"/>
      <c r="R58" s="69"/>
      <c r="S58" s="69"/>
      <c r="T58" s="69"/>
      <c r="U58" s="69"/>
      <c r="V58" s="69"/>
      <c r="W58" s="52"/>
      <c r="X58" s="69"/>
      <c r="Y58" s="53"/>
      <c r="Z58" s="49"/>
    </row>
    <row r="59" spans="1:26" s="81" customFormat="1" ht="18">
      <c r="A59" s="98"/>
      <c r="B59" s="49"/>
      <c r="C59" s="49"/>
      <c r="D59" s="49"/>
      <c r="E59" s="49"/>
      <c r="F59" s="49"/>
      <c r="G59" s="85"/>
      <c r="H59" s="85"/>
      <c r="I59" s="85"/>
      <c r="J59" s="55"/>
      <c r="K59" s="55"/>
      <c r="L59" s="112"/>
      <c r="M59" s="55"/>
      <c r="N59" s="52"/>
      <c r="O59" s="125"/>
      <c r="P59" s="125"/>
      <c r="Q59" s="125"/>
      <c r="R59" s="69"/>
      <c r="S59" s="69"/>
      <c r="T59" s="69"/>
      <c r="U59" s="69"/>
      <c r="V59" s="69"/>
      <c r="W59" s="52"/>
      <c r="X59" s="69"/>
      <c r="Y59" s="53"/>
      <c r="Z59" s="49"/>
    </row>
    <row r="60" spans="1:26" s="81" customFormat="1" ht="18">
      <c r="A60" s="98"/>
      <c r="B60" s="49"/>
      <c r="C60" s="49"/>
      <c r="D60" s="49"/>
      <c r="E60" s="49"/>
      <c r="F60" s="49"/>
      <c r="G60" s="85"/>
      <c r="H60" s="85"/>
      <c r="I60" s="85"/>
      <c r="J60" s="55"/>
      <c r="K60" s="55"/>
      <c r="L60" s="112"/>
      <c r="M60" s="55"/>
      <c r="N60" s="52"/>
      <c r="O60" s="125"/>
      <c r="P60" s="125"/>
      <c r="Q60" s="125"/>
      <c r="R60" s="69"/>
      <c r="S60" s="69"/>
      <c r="T60" s="69"/>
      <c r="U60" s="69"/>
      <c r="V60" s="69"/>
      <c r="W60" s="52"/>
      <c r="X60" s="69"/>
      <c r="Y60" s="53"/>
      <c r="Z60" s="49"/>
    </row>
    <row r="61" spans="1:26" s="81" customFormat="1" ht="18">
      <c r="A61" s="98"/>
      <c r="B61" s="49"/>
      <c r="C61" s="49"/>
      <c r="D61" s="49"/>
      <c r="E61" s="49"/>
      <c r="F61" s="49"/>
      <c r="G61" s="85"/>
      <c r="H61" s="85"/>
      <c r="I61" s="85"/>
      <c r="J61" s="55"/>
      <c r="K61" s="55"/>
      <c r="L61" s="112"/>
      <c r="M61" s="55"/>
      <c r="N61" s="52"/>
      <c r="O61" s="125"/>
      <c r="P61" s="125"/>
      <c r="Q61" s="125"/>
      <c r="R61" s="69"/>
      <c r="S61" s="69"/>
      <c r="T61" s="69"/>
      <c r="U61" s="69"/>
      <c r="V61" s="69"/>
      <c r="W61" s="52"/>
      <c r="X61" s="69"/>
      <c r="Y61" s="53"/>
      <c r="Z61" s="49"/>
    </row>
    <row r="62" spans="1:26" s="81" customFormat="1" ht="18">
      <c r="A62" s="98"/>
      <c r="B62" s="49"/>
      <c r="C62" s="49"/>
      <c r="D62" s="49"/>
      <c r="E62" s="49"/>
      <c r="F62" s="49"/>
      <c r="G62" s="85"/>
      <c r="H62" s="85"/>
      <c r="I62" s="85"/>
      <c r="J62" s="55"/>
      <c r="K62" s="55"/>
      <c r="L62" s="112"/>
      <c r="M62" s="55"/>
      <c r="N62" s="52"/>
      <c r="O62" s="125"/>
      <c r="P62" s="125"/>
      <c r="Q62" s="125"/>
      <c r="R62" s="69"/>
      <c r="S62" s="69"/>
      <c r="T62" s="69"/>
      <c r="U62" s="69"/>
      <c r="V62" s="69"/>
      <c r="W62" s="52"/>
      <c r="X62" s="69"/>
      <c r="Y62" s="53"/>
      <c r="Z62" s="49"/>
    </row>
    <row r="63" spans="1:26" s="81" customFormat="1" ht="18">
      <c r="A63" s="98"/>
      <c r="B63" s="49"/>
      <c r="C63" s="49"/>
      <c r="D63" s="49"/>
      <c r="E63" s="49"/>
      <c r="F63" s="49"/>
      <c r="G63" s="85"/>
      <c r="H63" s="85"/>
      <c r="I63" s="85"/>
      <c r="J63" s="55"/>
      <c r="K63" s="55"/>
      <c r="L63" s="112"/>
      <c r="M63" s="55"/>
      <c r="N63" s="52"/>
      <c r="O63" s="125"/>
      <c r="P63" s="125"/>
      <c r="Q63" s="125"/>
      <c r="R63" s="69"/>
      <c r="S63" s="69"/>
      <c r="T63" s="69"/>
      <c r="U63" s="69"/>
      <c r="V63" s="69"/>
      <c r="W63" s="52"/>
      <c r="X63" s="69"/>
      <c r="Y63" s="53"/>
      <c r="Z63" s="49"/>
    </row>
    <row r="64" spans="1:26" s="81" customFormat="1" ht="18">
      <c r="A64" s="98"/>
      <c r="B64" s="49"/>
      <c r="C64" s="49"/>
      <c r="D64" s="49"/>
      <c r="E64" s="49"/>
      <c r="F64" s="49"/>
      <c r="G64" s="85"/>
      <c r="H64" s="85"/>
      <c r="I64" s="85"/>
      <c r="J64" s="55"/>
      <c r="K64" s="55"/>
      <c r="L64" s="112"/>
      <c r="M64" s="55"/>
      <c r="N64" s="52"/>
      <c r="O64" s="125"/>
      <c r="P64" s="125"/>
      <c r="Q64" s="125"/>
      <c r="R64" s="69"/>
      <c r="S64" s="69"/>
      <c r="T64" s="69"/>
      <c r="U64" s="69"/>
      <c r="V64" s="69"/>
      <c r="W64" s="52"/>
      <c r="X64" s="69"/>
      <c r="Y64" s="53"/>
      <c r="Z64" s="49"/>
    </row>
    <row r="65" spans="1:26" s="81" customFormat="1" ht="18">
      <c r="A65" s="98"/>
      <c r="B65" s="49"/>
      <c r="C65" s="49"/>
      <c r="D65" s="49"/>
      <c r="E65" s="49"/>
      <c r="F65" s="49"/>
      <c r="G65" s="85"/>
      <c r="H65" s="85"/>
      <c r="I65" s="85"/>
      <c r="J65" s="55"/>
      <c r="K65" s="55"/>
      <c r="L65" s="112"/>
      <c r="M65" s="55"/>
      <c r="N65" s="52"/>
      <c r="O65" s="125"/>
      <c r="P65" s="125"/>
      <c r="Q65" s="125"/>
      <c r="R65" s="69"/>
      <c r="S65" s="69"/>
      <c r="T65" s="69"/>
      <c r="U65" s="69"/>
      <c r="V65" s="69"/>
      <c r="W65" s="52"/>
      <c r="X65" s="69"/>
      <c r="Y65" s="53"/>
      <c r="Z65" s="49"/>
    </row>
    <row r="66" spans="1:26" s="81" customFormat="1" ht="18">
      <c r="A66" s="98"/>
      <c r="B66" s="49"/>
      <c r="C66" s="49"/>
      <c r="D66" s="49"/>
      <c r="E66" s="49"/>
      <c r="F66" s="49"/>
      <c r="G66" s="85"/>
      <c r="H66" s="85"/>
      <c r="I66" s="85"/>
      <c r="J66" s="55"/>
      <c r="K66" s="55"/>
      <c r="L66" s="112"/>
      <c r="M66" s="55"/>
      <c r="N66" s="52"/>
      <c r="O66" s="125"/>
      <c r="P66" s="125"/>
      <c r="Q66" s="125"/>
      <c r="R66" s="69"/>
      <c r="S66" s="69"/>
      <c r="T66" s="69"/>
      <c r="U66" s="69"/>
      <c r="V66" s="69"/>
      <c r="W66" s="52"/>
      <c r="X66" s="69"/>
      <c r="Y66" s="53"/>
      <c r="Z66" s="49"/>
    </row>
    <row r="67" spans="1:26" s="81" customFormat="1" ht="18">
      <c r="A67" s="98"/>
      <c r="B67" s="49"/>
      <c r="C67" s="49"/>
      <c r="D67" s="49"/>
      <c r="E67" s="49"/>
      <c r="F67" s="49"/>
      <c r="G67" s="85"/>
      <c r="H67" s="85"/>
      <c r="I67" s="85"/>
      <c r="J67" s="55"/>
      <c r="K67" s="55"/>
      <c r="L67" s="112"/>
      <c r="M67" s="55"/>
      <c r="N67" s="52"/>
      <c r="O67" s="125"/>
      <c r="P67" s="125"/>
      <c r="Q67" s="125"/>
      <c r="R67" s="69"/>
      <c r="S67" s="69"/>
      <c r="T67" s="69"/>
      <c r="U67" s="69"/>
      <c r="V67" s="69"/>
      <c r="W67" s="52"/>
      <c r="X67" s="69"/>
      <c r="Y67" s="53"/>
      <c r="Z67" s="49"/>
    </row>
    <row r="68" spans="1:26" s="81" customFormat="1" ht="18">
      <c r="A68" s="98"/>
      <c r="B68" s="49"/>
      <c r="C68" s="49"/>
      <c r="D68" s="49"/>
      <c r="E68" s="49"/>
      <c r="F68" s="49"/>
      <c r="G68" s="85"/>
      <c r="H68" s="85"/>
      <c r="I68" s="85"/>
      <c r="J68" s="55"/>
      <c r="K68" s="55"/>
      <c r="L68" s="112"/>
      <c r="M68" s="55"/>
      <c r="N68" s="52"/>
      <c r="O68" s="125"/>
      <c r="P68" s="125"/>
      <c r="Q68" s="125"/>
      <c r="R68" s="69"/>
      <c r="S68" s="69"/>
      <c r="T68" s="69"/>
      <c r="U68" s="69"/>
      <c r="V68" s="69"/>
      <c r="W68" s="52"/>
      <c r="X68" s="69"/>
      <c r="Y68" s="53"/>
      <c r="Z68" s="49"/>
    </row>
    <row r="69" spans="1:26" s="81" customFormat="1" ht="18">
      <c r="A69" s="98"/>
      <c r="B69" s="49"/>
      <c r="C69" s="49"/>
      <c r="D69" s="49"/>
      <c r="E69" s="49"/>
      <c r="F69" s="49"/>
      <c r="G69" s="85"/>
      <c r="H69" s="85"/>
      <c r="I69" s="85"/>
      <c r="J69" s="55"/>
      <c r="K69" s="55"/>
      <c r="L69" s="112"/>
      <c r="M69" s="55"/>
      <c r="N69" s="52"/>
      <c r="O69" s="125"/>
      <c r="P69" s="125"/>
      <c r="Q69" s="125"/>
      <c r="R69" s="69"/>
      <c r="S69" s="69"/>
      <c r="T69" s="69"/>
      <c r="U69" s="69"/>
      <c r="V69" s="69"/>
      <c r="W69" s="52"/>
      <c r="X69" s="69"/>
      <c r="Y69" s="53"/>
      <c r="Z69" s="49"/>
    </row>
    <row r="70" spans="1:26" s="81" customFormat="1" ht="18">
      <c r="A70" s="98"/>
      <c r="B70" s="49"/>
      <c r="C70" s="49"/>
      <c r="D70" s="49"/>
      <c r="E70" s="49"/>
      <c r="F70" s="49"/>
      <c r="G70" s="85"/>
      <c r="H70" s="85"/>
      <c r="I70" s="85"/>
      <c r="J70" s="55"/>
      <c r="K70" s="55"/>
      <c r="L70" s="112"/>
      <c r="M70" s="55"/>
      <c r="N70" s="52"/>
      <c r="O70" s="125"/>
      <c r="P70" s="125"/>
      <c r="Q70" s="125"/>
      <c r="R70" s="69"/>
      <c r="S70" s="69"/>
      <c r="T70" s="69"/>
      <c r="U70" s="69"/>
      <c r="V70" s="69"/>
      <c r="W70" s="52"/>
      <c r="X70" s="69"/>
      <c r="Y70" s="53"/>
      <c r="Z70" s="49"/>
    </row>
    <row r="71" spans="1:26" ht="18">
      <c r="B71" s="49"/>
      <c r="C71" s="49"/>
      <c r="D71" s="49"/>
      <c r="E71" s="49"/>
      <c r="F71" s="49"/>
      <c r="G71" s="78"/>
      <c r="H71" s="78"/>
      <c r="I71" s="78"/>
      <c r="J71" s="55"/>
      <c r="K71" s="55"/>
      <c r="L71" s="112"/>
      <c r="M71" s="55"/>
      <c r="N71" s="52"/>
      <c r="O71" s="125"/>
      <c r="P71" s="125"/>
      <c r="Q71" s="125"/>
      <c r="R71" s="69"/>
      <c r="S71" s="69"/>
      <c r="T71" s="69"/>
      <c r="U71" s="69"/>
      <c r="V71" s="69"/>
      <c r="W71" s="52"/>
      <c r="X71" s="69"/>
      <c r="Y71" s="53"/>
      <c r="Z71" s="49"/>
    </row>
    <row r="74" spans="1:26">
      <c r="J74" s="25"/>
      <c r="K74" s="25"/>
      <c r="L74" s="104"/>
      <c r="M74" s="25"/>
    </row>
    <row r="179" spans="2:28" s="14" customFormat="1">
      <c r="B179" s="8"/>
      <c r="C179" s="8"/>
      <c r="D179" s="8"/>
      <c r="E179" s="8"/>
      <c r="F179" s="8"/>
      <c r="G179" s="76"/>
      <c r="H179" s="76"/>
      <c r="I179" s="76"/>
      <c r="J179" s="15"/>
      <c r="K179" s="15"/>
      <c r="L179" s="101"/>
      <c r="M179" s="15"/>
      <c r="N179" s="82"/>
      <c r="O179" s="100"/>
      <c r="P179" s="100"/>
      <c r="Q179" s="100"/>
      <c r="R179" s="16"/>
      <c r="S179" s="16"/>
      <c r="T179" s="102"/>
      <c r="U179" s="102"/>
      <c r="V179" s="102"/>
      <c r="W179" s="12"/>
      <c r="X179" s="16"/>
      <c r="Y179" s="13"/>
      <c r="Z179" s="8"/>
      <c r="AA179" s="8"/>
      <c r="AB179" s="8"/>
    </row>
    <row r="180" spans="2:28" s="14" customFormat="1">
      <c r="B180" s="8"/>
      <c r="C180" s="8"/>
      <c r="D180" s="8"/>
      <c r="E180" s="8"/>
      <c r="F180" s="8"/>
      <c r="G180" s="76"/>
      <c r="H180" s="76"/>
      <c r="I180" s="76"/>
      <c r="J180" s="15"/>
      <c r="K180" s="15"/>
      <c r="L180" s="101"/>
      <c r="M180" s="15"/>
      <c r="N180" s="82"/>
      <c r="O180" s="100"/>
      <c r="P180" s="100"/>
      <c r="Q180" s="100"/>
      <c r="R180" s="16"/>
      <c r="S180" s="16"/>
      <c r="T180" s="102"/>
      <c r="U180" s="102"/>
      <c r="V180" s="102"/>
      <c r="W180" s="12"/>
      <c r="X180" s="16"/>
      <c r="Y180" s="13"/>
      <c r="Z180" s="8"/>
      <c r="AA180" s="8"/>
      <c r="AB180" s="8"/>
    </row>
    <row r="181" spans="2:28" s="14" customFormat="1">
      <c r="B181" s="8"/>
      <c r="C181" s="8"/>
      <c r="D181" s="8"/>
      <c r="E181" s="8"/>
      <c r="F181" s="8"/>
      <c r="G181" s="76"/>
      <c r="H181" s="76"/>
      <c r="I181" s="76"/>
      <c r="J181" s="15"/>
      <c r="K181" s="15"/>
      <c r="L181" s="101"/>
      <c r="M181" s="15"/>
      <c r="N181" s="82"/>
      <c r="O181" s="100"/>
      <c r="P181" s="100"/>
      <c r="Q181" s="100"/>
      <c r="R181" s="16"/>
      <c r="S181" s="16"/>
      <c r="T181" s="102"/>
      <c r="U181" s="102"/>
      <c r="V181" s="102"/>
      <c r="W181" s="12"/>
      <c r="X181" s="16"/>
      <c r="Y181" s="13"/>
      <c r="Z181" s="8"/>
      <c r="AA181" s="8"/>
      <c r="AB181" s="8"/>
    </row>
    <row r="182" spans="2:28" s="14" customFormat="1">
      <c r="B182" s="8"/>
      <c r="C182" s="8"/>
      <c r="D182" s="8"/>
      <c r="E182" s="8"/>
      <c r="F182" s="8"/>
      <c r="G182" s="76"/>
      <c r="H182" s="76"/>
      <c r="I182" s="76"/>
      <c r="J182" s="15"/>
      <c r="K182" s="15"/>
      <c r="L182" s="101"/>
      <c r="M182" s="15"/>
      <c r="N182" s="82"/>
      <c r="O182" s="100"/>
      <c r="P182" s="100"/>
      <c r="Q182" s="100"/>
      <c r="R182" s="16"/>
      <c r="S182" s="16"/>
      <c r="T182" s="102"/>
      <c r="U182" s="102"/>
      <c r="V182" s="102"/>
      <c r="W182" s="12"/>
      <c r="X182" s="16"/>
      <c r="Y182" s="13"/>
      <c r="Z182" s="8"/>
      <c r="AA182" s="8"/>
      <c r="AB182" s="8"/>
    </row>
    <row r="183" spans="2:28" s="14" customFormat="1">
      <c r="B183" s="8"/>
      <c r="C183" s="8"/>
      <c r="D183" s="8"/>
      <c r="E183" s="8"/>
      <c r="F183" s="8"/>
      <c r="G183" s="76"/>
      <c r="H183" s="76"/>
      <c r="I183" s="76"/>
      <c r="J183" s="15"/>
      <c r="K183" s="15"/>
      <c r="L183" s="101"/>
      <c r="M183" s="15"/>
      <c r="N183" s="82"/>
      <c r="O183" s="100"/>
      <c r="P183" s="100"/>
      <c r="Q183" s="100"/>
      <c r="R183" s="16"/>
      <c r="S183" s="16"/>
      <c r="T183" s="102"/>
      <c r="U183" s="102"/>
      <c r="V183" s="102"/>
      <c r="W183" s="12"/>
      <c r="X183" s="16"/>
      <c r="Y183" s="13"/>
      <c r="Z183" s="8"/>
      <c r="AA183" s="8"/>
      <c r="AB183" s="8"/>
    </row>
    <row r="184" spans="2:28" s="14" customFormat="1">
      <c r="B184" s="8"/>
      <c r="C184" s="8"/>
      <c r="D184" s="8"/>
      <c r="E184" s="8"/>
      <c r="F184" s="8"/>
      <c r="G184" s="76"/>
      <c r="H184" s="76"/>
      <c r="I184" s="76"/>
      <c r="J184" s="15"/>
      <c r="K184" s="15"/>
      <c r="L184" s="101"/>
      <c r="M184" s="15"/>
      <c r="N184" s="82"/>
      <c r="O184" s="100"/>
      <c r="P184" s="100"/>
      <c r="Q184" s="100"/>
      <c r="R184" s="16"/>
      <c r="S184" s="16"/>
      <c r="T184" s="102"/>
      <c r="U184" s="102"/>
      <c r="V184" s="102"/>
      <c r="W184" s="12"/>
      <c r="X184" s="16"/>
      <c r="Y184" s="13"/>
      <c r="Z184" s="8"/>
      <c r="AA184" s="8"/>
      <c r="AB184" s="8"/>
    </row>
    <row r="185" spans="2:28" s="14" customFormat="1">
      <c r="B185" s="8"/>
      <c r="C185" s="8"/>
      <c r="D185" s="8"/>
      <c r="E185" s="8"/>
      <c r="F185" s="8"/>
      <c r="G185" s="76"/>
      <c r="H185" s="76"/>
      <c r="I185" s="76"/>
      <c r="J185" s="15"/>
      <c r="K185" s="15"/>
      <c r="L185" s="101"/>
      <c r="M185" s="15"/>
      <c r="N185" s="82"/>
      <c r="O185" s="100"/>
      <c r="P185" s="100"/>
      <c r="Q185" s="100"/>
      <c r="R185" s="16"/>
      <c r="S185" s="16"/>
      <c r="T185" s="102"/>
      <c r="U185" s="102"/>
      <c r="V185" s="102"/>
      <c r="W185" s="12"/>
      <c r="X185" s="16"/>
      <c r="Y185" s="13"/>
      <c r="Z185" s="8"/>
      <c r="AA185" s="8"/>
      <c r="AB185" s="8"/>
    </row>
    <row r="186" spans="2:28" s="14" customFormat="1">
      <c r="B186" s="8"/>
      <c r="C186" s="8"/>
      <c r="D186" s="8"/>
      <c r="E186" s="8"/>
      <c r="F186" s="8"/>
      <c r="G186" s="76"/>
      <c r="H186" s="76"/>
      <c r="I186" s="76"/>
      <c r="J186" s="15"/>
      <c r="K186" s="15"/>
      <c r="L186" s="101"/>
      <c r="M186" s="15"/>
      <c r="N186" s="82"/>
      <c r="O186" s="100"/>
      <c r="P186" s="100"/>
      <c r="Q186" s="100"/>
      <c r="R186" s="16"/>
      <c r="S186" s="16"/>
      <c r="T186" s="102"/>
      <c r="U186" s="102"/>
      <c r="V186" s="102"/>
      <c r="W186" s="12"/>
      <c r="X186" s="16"/>
      <c r="Y186" s="13"/>
      <c r="Z186" s="8"/>
      <c r="AA186" s="8"/>
      <c r="AB186" s="8"/>
    </row>
    <row r="187" spans="2:28" s="14" customFormat="1">
      <c r="B187" s="8"/>
      <c r="C187" s="8"/>
      <c r="D187" s="8"/>
      <c r="E187" s="8"/>
      <c r="F187" s="8"/>
      <c r="G187" s="76"/>
      <c r="H187" s="76"/>
      <c r="I187" s="76"/>
      <c r="J187" s="15"/>
      <c r="K187" s="15"/>
      <c r="L187" s="101"/>
      <c r="M187" s="15"/>
      <c r="N187" s="82"/>
      <c r="O187" s="100"/>
      <c r="P187" s="100"/>
      <c r="Q187" s="100"/>
      <c r="R187" s="16"/>
      <c r="S187" s="16"/>
      <c r="T187" s="102"/>
      <c r="U187" s="102"/>
      <c r="V187" s="102"/>
      <c r="W187" s="12"/>
      <c r="X187" s="16"/>
      <c r="Y187" s="13"/>
      <c r="Z187" s="8"/>
      <c r="AA187" s="8"/>
      <c r="AB187" s="8"/>
    </row>
    <row r="188" spans="2:28" s="14" customFormat="1">
      <c r="B188" s="8"/>
      <c r="C188" s="8"/>
      <c r="D188" s="8"/>
      <c r="E188" s="8"/>
      <c r="F188" s="8"/>
      <c r="G188" s="76"/>
      <c r="H188" s="76"/>
      <c r="I188" s="76"/>
      <c r="J188" s="15"/>
      <c r="K188" s="15"/>
      <c r="L188" s="101"/>
      <c r="M188" s="15"/>
      <c r="N188" s="82"/>
      <c r="O188" s="100"/>
      <c r="P188" s="100"/>
      <c r="Q188" s="100"/>
      <c r="R188" s="16"/>
      <c r="S188" s="16"/>
      <c r="T188" s="102"/>
      <c r="U188" s="102"/>
      <c r="V188" s="102"/>
      <c r="W188" s="12"/>
      <c r="X188" s="16"/>
      <c r="Y188" s="13"/>
      <c r="Z188" s="8"/>
      <c r="AA188" s="8"/>
      <c r="AB188" s="8"/>
    </row>
    <row r="189" spans="2:28" s="14" customFormat="1">
      <c r="B189" s="8"/>
      <c r="C189" s="8"/>
      <c r="D189" s="8"/>
      <c r="E189" s="8"/>
      <c r="F189" s="8"/>
      <c r="G189" s="76"/>
      <c r="H189" s="76"/>
      <c r="I189" s="76"/>
      <c r="J189" s="15"/>
      <c r="K189" s="15"/>
      <c r="L189" s="101"/>
      <c r="M189" s="15"/>
      <c r="N189" s="82"/>
      <c r="O189" s="100"/>
      <c r="P189" s="100"/>
      <c r="Q189" s="100"/>
      <c r="R189" s="16"/>
      <c r="S189" s="16"/>
      <c r="T189" s="102"/>
      <c r="U189" s="102"/>
      <c r="V189" s="102"/>
      <c r="W189" s="12"/>
      <c r="X189" s="16"/>
      <c r="Y189" s="13"/>
      <c r="Z189" s="8"/>
      <c r="AA189" s="8"/>
      <c r="AB189" s="8"/>
    </row>
    <row r="190" spans="2:28" s="14" customFormat="1">
      <c r="B190" s="8"/>
      <c r="C190" s="8"/>
      <c r="D190" s="8"/>
      <c r="E190" s="8"/>
      <c r="F190" s="8"/>
      <c r="G190" s="76"/>
      <c r="H190" s="76"/>
      <c r="I190" s="76"/>
      <c r="J190" s="15"/>
      <c r="K190" s="15"/>
      <c r="L190" s="101"/>
      <c r="M190" s="15"/>
      <c r="N190" s="82"/>
      <c r="O190" s="100"/>
      <c r="P190" s="100"/>
      <c r="Q190" s="100"/>
      <c r="R190" s="16"/>
      <c r="S190" s="16"/>
      <c r="T190" s="102"/>
      <c r="U190" s="102"/>
      <c r="V190" s="102"/>
      <c r="W190" s="12"/>
      <c r="X190" s="16"/>
      <c r="Y190" s="13"/>
      <c r="Z190" s="8"/>
      <c r="AA190" s="8"/>
      <c r="AB190" s="8"/>
    </row>
    <row r="191" spans="2:28" s="14" customFormat="1">
      <c r="B191" s="8"/>
      <c r="C191" s="8"/>
      <c r="D191" s="8"/>
      <c r="E191" s="8"/>
      <c r="F191" s="8"/>
      <c r="G191" s="76"/>
      <c r="H191" s="76"/>
      <c r="I191" s="76"/>
      <c r="J191" s="15"/>
      <c r="K191" s="15"/>
      <c r="L191" s="101"/>
      <c r="M191" s="15"/>
      <c r="N191" s="82"/>
      <c r="O191" s="100"/>
      <c r="P191" s="100"/>
      <c r="Q191" s="100"/>
      <c r="R191" s="16"/>
      <c r="S191" s="16"/>
      <c r="T191" s="102"/>
      <c r="U191" s="102"/>
      <c r="V191" s="102"/>
      <c r="W191" s="12"/>
      <c r="X191" s="16"/>
      <c r="Y191" s="13"/>
      <c r="Z191" s="8"/>
      <c r="AA191" s="8"/>
      <c r="AB191" s="8"/>
    </row>
    <row r="192" spans="2:28" s="14" customFormat="1">
      <c r="B192" s="8"/>
      <c r="C192" s="8"/>
      <c r="D192" s="8"/>
      <c r="E192" s="8"/>
      <c r="F192" s="8"/>
      <c r="G192" s="76"/>
      <c r="H192" s="76"/>
      <c r="I192" s="76"/>
      <c r="J192" s="15"/>
      <c r="K192" s="15"/>
      <c r="L192" s="101"/>
      <c r="M192" s="15"/>
      <c r="N192" s="82"/>
      <c r="O192" s="100"/>
      <c r="P192" s="100"/>
      <c r="Q192" s="100"/>
      <c r="R192" s="16"/>
      <c r="S192" s="16"/>
      <c r="T192" s="102"/>
      <c r="U192" s="102"/>
      <c r="V192" s="102"/>
      <c r="W192" s="12"/>
      <c r="X192" s="16"/>
      <c r="Y192" s="13"/>
      <c r="Z192" s="8"/>
      <c r="AA192" s="8"/>
      <c r="AB192" s="8"/>
    </row>
    <row r="193" spans="2:28" s="14" customFormat="1">
      <c r="B193" s="8"/>
      <c r="C193" s="8"/>
      <c r="D193" s="8"/>
      <c r="E193" s="8"/>
      <c r="F193" s="8"/>
      <c r="G193" s="76"/>
      <c r="H193" s="76"/>
      <c r="I193" s="76"/>
      <c r="J193" s="15"/>
      <c r="K193" s="15"/>
      <c r="L193" s="101"/>
      <c r="M193" s="15"/>
      <c r="N193" s="82"/>
      <c r="O193" s="100"/>
      <c r="P193" s="100"/>
      <c r="Q193" s="100"/>
      <c r="R193" s="16"/>
      <c r="S193" s="16"/>
      <c r="T193" s="102"/>
      <c r="U193" s="102"/>
      <c r="V193" s="102"/>
      <c r="W193" s="12"/>
      <c r="X193" s="16"/>
      <c r="Y193" s="13"/>
      <c r="Z193" s="8"/>
      <c r="AA193" s="8"/>
      <c r="AB193" s="8"/>
    </row>
    <row r="194" spans="2:28" s="14" customFormat="1">
      <c r="B194" s="8"/>
      <c r="C194" s="8"/>
      <c r="D194" s="8"/>
      <c r="E194" s="8"/>
      <c r="F194" s="8"/>
      <c r="G194" s="76"/>
      <c r="H194" s="76"/>
      <c r="I194" s="76"/>
      <c r="J194" s="15"/>
      <c r="K194" s="15"/>
      <c r="L194" s="101"/>
      <c r="M194" s="15"/>
      <c r="N194" s="82"/>
      <c r="O194" s="100"/>
      <c r="P194" s="100"/>
      <c r="Q194" s="100"/>
      <c r="R194" s="16"/>
      <c r="S194" s="16"/>
      <c r="T194" s="102"/>
      <c r="U194" s="102"/>
      <c r="V194" s="102"/>
      <c r="W194" s="12"/>
      <c r="X194" s="16"/>
      <c r="Y194" s="13"/>
      <c r="Z194" s="8"/>
      <c r="AA194" s="8"/>
      <c r="AB194" s="8"/>
    </row>
    <row r="195" spans="2:28" s="14" customFormat="1">
      <c r="B195" s="8"/>
      <c r="C195" s="8"/>
      <c r="D195" s="8"/>
      <c r="E195" s="8"/>
      <c r="F195" s="8"/>
      <c r="G195" s="76"/>
      <c r="H195" s="76"/>
      <c r="I195" s="76"/>
      <c r="J195" s="15"/>
      <c r="K195" s="15"/>
      <c r="L195" s="101"/>
      <c r="M195" s="15"/>
      <c r="N195" s="82"/>
      <c r="O195" s="100"/>
      <c r="P195" s="100"/>
      <c r="Q195" s="100"/>
      <c r="R195" s="16"/>
      <c r="S195" s="16"/>
      <c r="T195" s="102"/>
      <c r="U195" s="102"/>
      <c r="V195" s="102"/>
      <c r="W195" s="12"/>
      <c r="X195" s="16"/>
      <c r="Y195" s="13"/>
      <c r="Z195" s="8"/>
      <c r="AA195" s="8"/>
      <c r="AB195" s="8"/>
    </row>
    <row r="196" spans="2:28" s="14" customFormat="1">
      <c r="B196" s="8"/>
      <c r="C196" s="8"/>
      <c r="D196" s="8"/>
      <c r="E196" s="8"/>
      <c r="F196" s="8"/>
      <c r="G196" s="76"/>
      <c r="H196" s="76"/>
      <c r="I196" s="76"/>
      <c r="J196" s="15"/>
      <c r="K196" s="15"/>
      <c r="L196" s="101"/>
      <c r="M196" s="15"/>
      <c r="N196" s="82"/>
      <c r="O196" s="100"/>
      <c r="P196" s="100"/>
      <c r="Q196" s="100"/>
      <c r="R196" s="16"/>
      <c r="S196" s="16"/>
      <c r="T196" s="102"/>
      <c r="U196" s="102"/>
      <c r="V196" s="102"/>
      <c r="W196" s="12"/>
      <c r="X196" s="16"/>
      <c r="Y196" s="13"/>
      <c r="Z196" s="8"/>
      <c r="AA196" s="8"/>
      <c r="AB196" s="8"/>
    </row>
    <row r="197" spans="2:28" s="14" customFormat="1">
      <c r="B197" s="8"/>
      <c r="C197" s="8"/>
      <c r="D197" s="8"/>
      <c r="E197" s="8"/>
      <c r="F197" s="8"/>
      <c r="G197" s="76"/>
      <c r="H197" s="76"/>
      <c r="I197" s="76"/>
      <c r="J197" s="15"/>
      <c r="K197" s="15"/>
      <c r="L197" s="101"/>
      <c r="M197" s="15"/>
      <c r="N197" s="82"/>
      <c r="O197" s="100"/>
      <c r="P197" s="100"/>
      <c r="Q197" s="100"/>
      <c r="R197" s="16"/>
      <c r="S197" s="16"/>
      <c r="T197" s="102"/>
      <c r="U197" s="102"/>
      <c r="V197" s="102"/>
      <c r="W197" s="12"/>
      <c r="X197" s="16"/>
      <c r="Y197" s="13"/>
      <c r="Z197" s="8"/>
      <c r="AA197" s="8"/>
      <c r="AB197" s="8"/>
    </row>
    <row r="198" spans="2:28" s="14" customFormat="1">
      <c r="B198" s="8"/>
      <c r="C198" s="8"/>
      <c r="D198" s="8"/>
      <c r="E198" s="8"/>
      <c r="F198" s="8"/>
      <c r="G198" s="76"/>
      <c r="H198" s="76"/>
      <c r="I198" s="76"/>
      <c r="J198" s="15"/>
      <c r="K198" s="15"/>
      <c r="L198" s="101"/>
      <c r="M198" s="15"/>
      <c r="N198" s="82"/>
      <c r="O198" s="100"/>
      <c r="P198" s="100"/>
      <c r="Q198" s="100"/>
      <c r="R198" s="16"/>
      <c r="S198" s="16"/>
      <c r="T198" s="102"/>
      <c r="U198" s="102"/>
      <c r="V198" s="102"/>
      <c r="W198" s="12"/>
      <c r="X198" s="16"/>
      <c r="Y198" s="13"/>
      <c r="Z198" s="8"/>
      <c r="AA198" s="8"/>
      <c r="AB198" s="8"/>
    </row>
    <row r="199" spans="2:28" s="14" customFormat="1">
      <c r="B199" s="8"/>
      <c r="C199" s="8"/>
      <c r="D199" s="8"/>
      <c r="E199" s="8"/>
      <c r="F199" s="8"/>
      <c r="G199" s="76"/>
      <c r="H199" s="76"/>
      <c r="I199" s="76"/>
      <c r="J199" s="15"/>
      <c r="K199" s="15"/>
      <c r="L199" s="101"/>
      <c r="M199" s="15"/>
      <c r="N199" s="82"/>
      <c r="O199" s="100"/>
      <c r="P199" s="100"/>
      <c r="Q199" s="100"/>
      <c r="R199" s="16"/>
      <c r="S199" s="16"/>
      <c r="T199" s="102"/>
      <c r="U199" s="102"/>
      <c r="V199" s="102"/>
      <c r="W199" s="12"/>
      <c r="X199" s="16"/>
      <c r="Y199" s="13"/>
      <c r="Z199" s="8"/>
      <c r="AA199" s="8"/>
      <c r="AB199" s="8"/>
    </row>
    <row r="200" spans="2:28" s="14" customFormat="1">
      <c r="B200" s="8"/>
      <c r="C200" s="8"/>
      <c r="D200" s="8"/>
      <c r="E200" s="8"/>
      <c r="F200" s="8"/>
      <c r="G200" s="76"/>
      <c r="H200" s="76"/>
      <c r="I200" s="76"/>
      <c r="J200" s="15"/>
      <c r="K200" s="15"/>
      <c r="L200" s="101"/>
      <c r="M200" s="15"/>
      <c r="N200" s="82"/>
      <c r="O200" s="100"/>
      <c r="P200" s="100"/>
      <c r="Q200" s="100"/>
      <c r="R200" s="16"/>
      <c r="S200" s="16"/>
      <c r="T200" s="102"/>
      <c r="U200" s="102"/>
      <c r="V200" s="102"/>
      <c r="W200" s="12"/>
      <c r="X200" s="16"/>
      <c r="Y200" s="13"/>
      <c r="Z200" s="8"/>
      <c r="AA200" s="8"/>
      <c r="AB200" s="8"/>
    </row>
    <row r="201" spans="2:28" s="14" customFormat="1">
      <c r="B201" s="8"/>
      <c r="C201" s="8"/>
      <c r="D201" s="8"/>
      <c r="E201" s="8"/>
      <c r="F201" s="8"/>
      <c r="G201" s="76"/>
      <c r="H201" s="76"/>
      <c r="I201" s="76"/>
      <c r="J201" s="15"/>
      <c r="K201" s="15"/>
      <c r="L201" s="101"/>
      <c r="M201" s="15"/>
      <c r="N201" s="82"/>
      <c r="O201" s="100"/>
      <c r="P201" s="100"/>
      <c r="Q201" s="100"/>
      <c r="R201" s="16"/>
      <c r="S201" s="16"/>
      <c r="T201" s="102"/>
      <c r="U201" s="102"/>
      <c r="V201" s="102"/>
      <c r="W201" s="12"/>
      <c r="X201" s="16"/>
      <c r="Y201" s="13"/>
      <c r="Z201" s="8"/>
      <c r="AA201" s="8"/>
      <c r="AB201" s="8"/>
    </row>
    <row r="202" spans="2:28" s="14" customFormat="1">
      <c r="B202" s="8"/>
      <c r="C202" s="8"/>
      <c r="D202" s="8"/>
      <c r="E202" s="8"/>
      <c r="F202" s="8"/>
      <c r="G202" s="76"/>
      <c r="H202" s="76"/>
      <c r="I202" s="76"/>
      <c r="J202" s="15"/>
      <c r="K202" s="15"/>
      <c r="L202" s="101"/>
      <c r="M202" s="15"/>
      <c r="N202" s="82"/>
      <c r="O202" s="100"/>
      <c r="P202" s="100"/>
      <c r="Q202" s="100"/>
      <c r="R202" s="16"/>
      <c r="S202" s="16"/>
      <c r="T202" s="102"/>
      <c r="U202" s="102"/>
      <c r="V202" s="102"/>
      <c r="W202" s="12"/>
      <c r="X202" s="16"/>
      <c r="Y202" s="13"/>
      <c r="Z202" s="8"/>
      <c r="AA202" s="8"/>
      <c r="AB202" s="8"/>
    </row>
    <row r="203" spans="2:28" s="14" customFormat="1">
      <c r="B203" s="8"/>
      <c r="C203" s="8"/>
      <c r="D203" s="8"/>
      <c r="E203" s="8"/>
      <c r="F203" s="8"/>
      <c r="G203" s="76"/>
      <c r="H203" s="76"/>
      <c r="I203" s="76"/>
      <c r="J203" s="15"/>
      <c r="K203" s="15"/>
      <c r="L203" s="101"/>
      <c r="M203" s="15"/>
      <c r="N203" s="82"/>
      <c r="O203" s="100"/>
      <c r="P203" s="100"/>
      <c r="Q203" s="100"/>
      <c r="R203" s="16"/>
      <c r="S203" s="16"/>
      <c r="T203" s="102"/>
      <c r="U203" s="102"/>
      <c r="V203" s="102"/>
      <c r="W203" s="12"/>
      <c r="X203" s="16"/>
      <c r="Y203" s="13"/>
      <c r="Z203" s="8"/>
      <c r="AA203" s="8"/>
      <c r="AB203" s="8"/>
    </row>
    <row r="204" spans="2:28" s="14" customFormat="1">
      <c r="B204" s="8"/>
      <c r="C204" s="8"/>
      <c r="D204" s="8"/>
      <c r="E204" s="8"/>
      <c r="F204" s="8"/>
      <c r="G204" s="76"/>
      <c r="H204" s="76"/>
      <c r="I204" s="76"/>
      <c r="J204" s="15"/>
      <c r="K204" s="15"/>
      <c r="L204" s="101"/>
      <c r="M204" s="15"/>
      <c r="N204" s="82"/>
      <c r="O204" s="100"/>
      <c r="P204" s="100"/>
      <c r="Q204" s="100"/>
      <c r="R204" s="16"/>
      <c r="S204" s="16"/>
      <c r="T204" s="102"/>
      <c r="U204" s="102"/>
      <c r="V204" s="102"/>
      <c r="W204" s="12"/>
      <c r="X204" s="16"/>
      <c r="Y204" s="13"/>
      <c r="Z204" s="8"/>
      <c r="AA204" s="8"/>
      <c r="AB204" s="8"/>
    </row>
    <row r="205" spans="2:28" s="14" customFormat="1">
      <c r="B205" s="8"/>
      <c r="C205" s="8"/>
      <c r="D205" s="8"/>
      <c r="E205" s="8"/>
      <c r="F205" s="8"/>
      <c r="G205" s="76"/>
      <c r="H205" s="76"/>
      <c r="I205" s="76"/>
      <c r="J205" s="15"/>
      <c r="K205" s="15"/>
      <c r="L205" s="101"/>
      <c r="M205" s="15"/>
      <c r="N205" s="82"/>
      <c r="O205" s="100"/>
      <c r="P205" s="100"/>
      <c r="Q205" s="100"/>
      <c r="R205" s="16"/>
      <c r="S205" s="16"/>
      <c r="T205" s="102"/>
      <c r="U205" s="102"/>
      <c r="V205" s="102"/>
      <c r="W205" s="12"/>
      <c r="X205" s="16"/>
      <c r="Y205" s="13"/>
      <c r="Z205" s="8"/>
      <c r="AA205" s="8"/>
      <c r="AB205" s="8"/>
    </row>
    <row r="206" spans="2:28" s="14" customFormat="1">
      <c r="B206" s="8"/>
      <c r="C206" s="8"/>
      <c r="D206" s="8"/>
      <c r="E206" s="8"/>
      <c r="F206" s="8"/>
      <c r="G206" s="76"/>
      <c r="H206" s="76"/>
      <c r="I206" s="76"/>
      <c r="J206" s="15"/>
      <c r="K206" s="15"/>
      <c r="L206" s="101"/>
      <c r="M206" s="15"/>
      <c r="N206" s="82"/>
      <c r="O206" s="100"/>
      <c r="P206" s="100"/>
      <c r="Q206" s="100"/>
      <c r="R206" s="16"/>
      <c r="S206" s="16"/>
      <c r="T206" s="102"/>
      <c r="U206" s="102"/>
      <c r="V206" s="102"/>
      <c r="W206" s="12"/>
      <c r="X206" s="16"/>
      <c r="Y206" s="13"/>
      <c r="Z206" s="8"/>
      <c r="AA206" s="8"/>
      <c r="AB206" s="8"/>
    </row>
    <row r="207" spans="2:28" s="14" customFormat="1">
      <c r="B207" s="8"/>
      <c r="C207" s="8"/>
      <c r="D207" s="8"/>
      <c r="E207" s="8"/>
      <c r="F207" s="8"/>
      <c r="G207" s="76"/>
      <c r="H207" s="76"/>
      <c r="I207" s="76"/>
      <c r="J207" s="15"/>
      <c r="K207" s="15"/>
      <c r="L207" s="101"/>
      <c r="M207" s="15"/>
      <c r="N207" s="82"/>
      <c r="O207" s="100"/>
      <c r="P207" s="100"/>
      <c r="Q207" s="100"/>
      <c r="R207" s="16"/>
      <c r="S207" s="16"/>
      <c r="T207" s="102"/>
      <c r="U207" s="102"/>
      <c r="V207" s="102"/>
      <c r="W207" s="12"/>
      <c r="X207" s="16"/>
      <c r="Y207" s="13"/>
      <c r="Z207" s="8"/>
      <c r="AA207" s="8"/>
      <c r="AB207" s="8"/>
    </row>
    <row r="208" spans="2:28" s="14" customFormat="1">
      <c r="B208" s="8"/>
      <c r="C208" s="8"/>
      <c r="D208" s="8"/>
      <c r="E208" s="8"/>
      <c r="F208" s="8"/>
      <c r="G208" s="76"/>
      <c r="H208" s="76"/>
      <c r="I208" s="76"/>
      <c r="J208" s="15"/>
      <c r="K208" s="15"/>
      <c r="L208" s="101"/>
      <c r="M208" s="15"/>
      <c r="N208" s="82"/>
      <c r="O208" s="100"/>
      <c r="P208" s="100"/>
      <c r="Q208" s="100"/>
      <c r="R208" s="16"/>
      <c r="S208" s="16"/>
      <c r="T208" s="102"/>
      <c r="U208" s="102"/>
      <c r="V208" s="102"/>
      <c r="W208" s="12"/>
      <c r="X208" s="16"/>
      <c r="Y208" s="13"/>
      <c r="Z208" s="8"/>
      <c r="AA208" s="8"/>
      <c r="AB208" s="8"/>
    </row>
    <row r="209" spans="2:28" s="14" customFormat="1">
      <c r="B209" s="8"/>
      <c r="C209" s="8"/>
      <c r="D209" s="8"/>
      <c r="E209" s="8"/>
      <c r="F209" s="8"/>
      <c r="G209" s="76"/>
      <c r="H209" s="76"/>
      <c r="I209" s="76"/>
      <c r="J209" s="15"/>
      <c r="K209" s="15"/>
      <c r="L209" s="101"/>
      <c r="M209" s="15"/>
      <c r="N209" s="82"/>
      <c r="O209" s="100"/>
      <c r="P209" s="100"/>
      <c r="Q209" s="100"/>
      <c r="R209" s="16"/>
      <c r="S209" s="16"/>
      <c r="T209" s="102"/>
      <c r="U209" s="102"/>
      <c r="V209" s="102"/>
      <c r="W209" s="12"/>
      <c r="X209" s="16"/>
      <c r="Y209" s="13"/>
      <c r="Z209" s="8"/>
      <c r="AA209" s="8"/>
      <c r="AB209" s="8"/>
    </row>
    <row r="210" spans="2:28" s="14" customFormat="1">
      <c r="B210" s="8"/>
      <c r="C210" s="8"/>
      <c r="D210" s="8"/>
      <c r="E210" s="8"/>
      <c r="F210" s="8"/>
      <c r="G210" s="76"/>
      <c r="H210" s="76"/>
      <c r="I210" s="76"/>
      <c r="J210" s="15"/>
      <c r="K210" s="15"/>
      <c r="L210" s="101"/>
      <c r="M210" s="15"/>
      <c r="N210" s="82"/>
      <c r="O210" s="100"/>
      <c r="P210" s="100"/>
      <c r="Q210" s="100"/>
      <c r="R210" s="16"/>
      <c r="S210" s="16"/>
      <c r="T210" s="102"/>
      <c r="U210" s="102"/>
      <c r="V210" s="102"/>
      <c r="W210" s="12"/>
      <c r="X210" s="16"/>
      <c r="Y210" s="13"/>
      <c r="Z210" s="8"/>
      <c r="AA210" s="8"/>
      <c r="AB210" s="8"/>
    </row>
    <row r="211" spans="2:28" s="14" customFormat="1">
      <c r="B211" s="8"/>
      <c r="C211" s="8"/>
      <c r="D211" s="8"/>
      <c r="E211" s="8"/>
      <c r="F211" s="8"/>
      <c r="G211" s="76"/>
      <c r="H211" s="76"/>
      <c r="I211" s="76"/>
      <c r="J211" s="15"/>
      <c r="K211" s="15"/>
      <c r="L211" s="101"/>
      <c r="M211" s="15"/>
      <c r="N211" s="82"/>
      <c r="O211" s="100"/>
      <c r="P211" s="100"/>
      <c r="Q211" s="100"/>
      <c r="R211" s="16"/>
      <c r="S211" s="16"/>
      <c r="T211" s="102"/>
      <c r="U211" s="102"/>
      <c r="V211" s="102"/>
      <c r="W211" s="12"/>
      <c r="X211" s="16"/>
      <c r="Y211" s="13"/>
      <c r="Z211" s="8"/>
      <c r="AA211" s="8"/>
      <c r="AB211" s="8"/>
    </row>
    <row r="212" spans="2:28" s="14" customFormat="1">
      <c r="B212" s="8"/>
      <c r="C212" s="8"/>
      <c r="D212" s="8"/>
      <c r="E212" s="8"/>
      <c r="F212" s="8"/>
      <c r="G212" s="76"/>
      <c r="H212" s="76"/>
      <c r="I212" s="76"/>
      <c r="J212" s="15"/>
      <c r="K212" s="15"/>
      <c r="L212" s="101"/>
      <c r="M212" s="15"/>
      <c r="N212" s="82"/>
      <c r="O212" s="100"/>
      <c r="P212" s="100"/>
      <c r="Q212" s="100"/>
      <c r="R212" s="16"/>
      <c r="S212" s="16"/>
      <c r="T212" s="102"/>
      <c r="U212" s="102"/>
      <c r="V212" s="102"/>
      <c r="W212" s="12"/>
      <c r="X212" s="16"/>
      <c r="Y212" s="13"/>
      <c r="Z212" s="8"/>
      <c r="AA212" s="8"/>
      <c r="AB212" s="8"/>
    </row>
    <row r="213" spans="2:28" s="14" customFormat="1">
      <c r="B213" s="8"/>
      <c r="C213" s="8"/>
      <c r="D213" s="8"/>
      <c r="E213" s="8"/>
      <c r="F213" s="8"/>
      <c r="G213" s="76"/>
      <c r="H213" s="76"/>
      <c r="I213" s="76"/>
      <c r="J213" s="15"/>
      <c r="K213" s="15"/>
      <c r="L213" s="101"/>
      <c r="M213" s="15"/>
      <c r="N213" s="82"/>
      <c r="O213" s="100"/>
      <c r="P213" s="100"/>
      <c r="Q213" s="100"/>
      <c r="R213" s="16"/>
      <c r="S213" s="16"/>
      <c r="T213" s="102"/>
      <c r="U213" s="102"/>
      <c r="V213" s="102"/>
      <c r="W213" s="12"/>
      <c r="X213" s="16"/>
      <c r="Y213" s="13"/>
      <c r="Z213" s="8"/>
      <c r="AA213" s="8"/>
      <c r="AB213" s="8"/>
    </row>
    <row r="214" spans="2:28" s="14" customFormat="1">
      <c r="B214" s="8"/>
      <c r="C214" s="8"/>
      <c r="D214" s="8"/>
      <c r="E214" s="8"/>
      <c r="F214" s="8"/>
      <c r="G214" s="76"/>
      <c r="H214" s="76"/>
      <c r="I214" s="76"/>
      <c r="J214" s="15"/>
      <c r="K214" s="15"/>
      <c r="L214" s="101"/>
      <c r="M214" s="15"/>
      <c r="N214" s="82"/>
      <c r="O214" s="100"/>
      <c r="P214" s="100"/>
      <c r="Q214" s="100"/>
      <c r="R214" s="16"/>
      <c r="S214" s="16"/>
      <c r="T214" s="102"/>
      <c r="U214" s="102"/>
      <c r="V214" s="102"/>
      <c r="W214" s="12"/>
      <c r="X214" s="16"/>
      <c r="Y214" s="13"/>
      <c r="Z214" s="8"/>
      <c r="AA214" s="8"/>
      <c r="AB214" s="8"/>
    </row>
    <row r="215" spans="2:28" s="14" customFormat="1">
      <c r="B215" s="8"/>
      <c r="C215" s="8"/>
      <c r="D215" s="8"/>
      <c r="E215" s="8"/>
      <c r="F215" s="8"/>
      <c r="G215" s="76"/>
      <c r="H215" s="76"/>
      <c r="I215" s="76"/>
      <c r="J215" s="15"/>
      <c r="K215" s="15"/>
      <c r="L215" s="101"/>
      <c r="M215" s="15"/>
      <c r="N215" s="82"/>
      <c r="O215" s="100"/>
      <c r="P215" s="100"/>
      <c r="Q215" s="100"/>
      <c r="R215" s="16"/>
      <c r="S215" s="16"/>
      <c r="T215" s="102"/>
      <c r="U215" s="102"/>
      <c r="V215" s="102"/>
      <c r="W215" s="12"/>
      <c r="X215" s="16"/>
      <c r="Y215" s="13"/>
      <c r="Z215" s="8"/>
      <c r="AA215" s="8"/>
      <c r="AB215" s="8"/>
    </row>
    <row r="216" spans="2:28" s="14" customFormat="1">
      <c r="B216" s="8"/>
      <c r="C216" s="8"/>
      <c r="D216" s="8"/>
      <c r="E216" s="8"/>
      <c r="F216" s="8"/>
      <c r="G216" s="76"/>
      <c r="H216" s="76"/>
      <c r="I216" s="76"/>
      <c r="J216" s="15"/>
      <c r="K216" s="15"/>
      <c r="L216" s="101"/>
      <c r="M216" s="15"/>
      <c r="N216" s="82"/>
      <c r="O216" s="100"/>
      <c r="P216" s="100"/>
      <c r="Q216" s="100"/>
      <c r="R216" s="16"/>
      <c r="S216" s="16"/>
      <c r="T216" s="102"/>
      <c r="U216" s="102"/>
      <c r="V216" s="102"/>
      <c r="W216" s="12"/>
      <c r="X216" s="16"/>
      <c r="Y216" s="13"/>
      <c r="Z216" s="8"/>
      <c r="AA216" s="8"/>
      <c r="AB216" s="8"/>
    </row>
    <row r="217" spans="2:28" s="14" customFormat="1">
      <c r="B217" s="8"/>
      <c r="C217" s="8"/>
      <c r="D217" s="8"/>
      <c r="E217" s="8"/>
      <c r="F217" s="8"/>
      <c r="G217" s="76"/>
      <c r="H217" s="76"/>
      <c r="I217" s="76"/>
      <c r="J217" s="15"/>
      <c r="K217" s="15"/>
      <c r="L217" s="101"/>
      <c r="M217" s="15"/>
      <c r="N217" s="82"/>
      <c r="O217" s="100"/>
      <c r="P217" s="100"/>
      <c r="Q217" s="100"/>
      <c r="R217" s="16"/>
      <c r="S217" s="16"/>
      <c r="T217" s="102"/>
      <c r="U217" s="102"/>
      <c r="V217" s="102"/>
      <c r="W217" s="12"/>
      <c r="X217" s="16"/>
      <c r="Y217" s="13"/>
      <c r="Z217" s="8"/>
      <c r="AA217" s="8"/>
      <c r="AB217" s="8"/>
    </row>
    <row r="218" spans="2:28" s="14" customFormat="1">
      <c r="B218" s="8"/>
      <c r="C218" s="8"/>
      <c r="D218" s="8"/>
      <c r="E218" s="8"/>
      <c r="F218" s="8"/>
      <c r="G218" s="76"/>
      <c r="H218" s="76"/>
      <c r="I218" s="76"/>
      <c r="J218" s="15"/>
      <c r="K218" s="15"/>
      <c r="L218" s="101"/>
      <c r="M218" s="15"/>
      <c r="N218" s="82"/>
      <c r="O218" s="100"/>
      <c r="P218" s="100"/>
      <c r="Q218" s="100"/>
      <c r="R218" s="16"/>
      <c r="S218" s="16"/>
      <c r="T218" s="102"/>
      <c r="U218" s="102"/>
      <c r="V218" s="102"/>
      <c r="W218" s="12"/>
      <c r="X218" s="16"/>
      <c r="Y218" s="13"/>
      <c r="Z218" s="8"/>
      <c r="AA218" s="8"/>
      <c r="AB218" s="8"/>
    </row>
    <row r="219" spans="2:28" s="14" customFormat="1">
      <c r="B219" s="8"/>
      <c r="C219" s="8"/>
      <c r="D219" s="8"/>
      <c r="E219" s="8"/>
      <c r="F219" s="8"/>
      <c r="G219" s="76"/>
      <c r="H219" s="76"/>
      <c r="I219" s="76"/>
      <c r="J219" s="15"/>
      <c r="K219" s="15"/>
      <c r="L219" s="101"/>
      <c r="M219" s="15"/>
      <c r="N219" s="82"/>
      <c r="O219" s="100"/>
      <c r="P219" s="100"/>
      <c r="Q219" s="100"/>
      <c r="R219" s="16"/>
      <c r="S219" s="16"/>
      <c r="T219" s="102"/>
      <c r="U219" s="102"/>
      <c r="V219" s="102"/>
      <c r="W219" s="12"/>
      <c r="X219" s="16"/>
      <c r="Y219" s="13"/>
      <c r="Z219" s="8"/>
      <c r="AA219" s="8"/>
      <c r="AB219" s="8"/>
    </row>
    <row r="220" spans="2:28" s="14" customFormat="1">
      <c r="B220" s="8"/>
      <c r="C220" s="8"/>
      <c r="D220" s="8"/>
      <c r="E220" s="8"/>
      <c r="F220" s="8"/>
      <c r="G220" s="76"/>
      <c r="H220" s="76"/>
      <c r="I220" s="76"/>
      <c r="J220" s="15"/>
      <c r="K220" s="15"/>
      <c r="L220" s="101"/>
      <c r="M220" s="15"/>
      <c r="N220" s="82"/>
      <c r="O220" s="100"/>
      <c r="P220" s="100"/>
      <c r="Q220" s="100"/>
      <c r="R220" s="16"/>
      <c r="S220" s="16"/>
      <c r="T220" s="102"/>
      <c r="U220" s="102"/>
      <c r="V220" s="102"/>
      <c r="W220" s="12"/>
      <c r="X220" s="16"/>
      <c r="Y220" s="13"/>
      <c r="Z220" s="8"/>
      <c r="AA220" s="8"/>
      <c r="AB220" s="8"/>
    </row>
    <row r="221" spans="2:28" s="14" customFormat="1">
      <c r="B221" s="8"/>
      <c r="C221" s="8"/>
      <c r="D221" s="8"/>
      <c r="E221" s="8"/>
      <c r="F221" s="8"/>
      <c r="G221" s="76"/>
      <c r="H221" s="76"/>
      <c r="I221" s="76"/>
      <c r="J221" s="15"/>
      <c r="K221" s="15"/>
      <c r="L221" s="101"/>
      <c r="M221" s="15"/>
      <c r="N221" s="82"/>
      <c r="O221" s="100"/>
      <c r="P221" s="100"/>
      <c r="Q221" s="100"/>
      <c r="R221" s="16"/>
      <c r="S221" s="16"/>
      <c r="T221" s="102"/>
      <c r="U221" s="102"/>
      <c r="V221" s="102"/>
      <c r="W221" s="12"/>
      <c r="X221" s="16"/>
      <c r="Y221" s="13"/>
      <c r="Z221" s="8"/>
      <c r="AA221" s="8"/>
      <c r="AB221" s="8"/>
    </row>
    <row r="222" spans="2:28" s="14" customFormat="1">
      <c r="B222" s="8"/>
      <c r="C222" s="8"/>
      <c r="D222" s="8"/>
      <c r="E222" s="8"/>
      <c r="F222" s="8"/>
      <c r="G222" s="76"/>
      <c r="H222" s="76"/>
      <c r="I222" s="76"/>
      <c r="J222" s="15"/>
      <c r="K222" s="15"/>
      <c r="L222" s="101"/>
      <c r="M222" s="15"/>
      <c r="N222" s="82"/>
      <c r="O222" s="100"/>
      <c r="P222" s="100"/>
      <c r="Q222" s="100"/>
      <c r="R222" s="16"/>
      <c r="S222" s="16"/>
      <c r="T222" s="102"/>
      <c r="U222" s="102"/>
      <c r="V222" s="102"/>
      <c r="W222" s="12"/>
      <c r="X222" s="16"/>
      <c r="Y222" s="13"/>
      <c r="Z222" s="8"/>
      <c r="AA222" s="8"/>
      <c r="AB222" s="8"/>
    </row>
    <row r="223" spans="2:28" s="14" customFormat="1">
      <c r="B223" s="8"/>
      <c r="C223" s="8"/>
      <c r="D223" s="8"/>
      <c r="E223" s="8"/>
      <c r="F223" s="8"/>
      <c r="G223" s="76"/>
      <c r="H223" s="76"/>
      <c r="I223" s="76"/>
      <c r="J223" s="15"/>
      <c r="K223" s="15"/>
      <c r="L223" s="101"/>
      <c r="M223" s="15"/>
      <c r="N223" s="82"/>
      <c r="O223" s="100"/>
      <c r="P223" s="100"/>
      <c r="Q223" s="100"/>
      <c r="R223" s="16"/>
      <c r="S223" s="16"/>
      <c r="T223" s="102"/>
      <c r="U223" s="102"/>
      <c r="V223" s="102"/>
      <c r="W223" s="12"/>
      <c r="X223" s="16"/>
      <c r="Y223" s="13"/>
      <c r="Z223" s="8"/>
      <c r="AA223" s="8"/>
      <c r="AB223" s="8"/>
    </row>
    <row r="224" spans="2:28" s="14" customFormat="1">
      <c r="B224" s="8"/>
      <c r="C224" s="8"/>
      <c r="D224" s="8"/>
      <c r="E224" s="8"/>
      <c r="F224" s="8"/>
      <c r="G224" s="76"/>
      <c r="H224" s="76"/>
      <c r="I224" s="76"/>
      <c r="J224" s="15"/>
      <c r="K224" s="15"/>
      <c r="L224" s="101"/>
      <c r="M224" s="15"/>
      <c r="N224" s="82"/>
      <c r="O224" s="100"/>
      <c r="P224" s="100"/>
      <c r="Q224" s="100"/>
      <c r="R224" s="16"/>
      <c r="S224" s="16"/>
      <c r="T224" s="102"/>
      <c r="U224" s="102"/>
      <c r="V224" s="102"/>
      <c r="W224" s="12"/>
      <c r="X224" s="16"/>
      <c r="Y224" s="13"/>
      <c r="Z224" s="8"/>
      <c r="AA224" s="8"/>
      <c r="AB224" s="8"/>
    </row>
    <row r="225" spans="2:28" s="14" customFormat="1">
      <c r="B225" s="8"/>
      <c r="C225" s="8"/>
      <c r="D225" s="8"/>
      <c r="E225" s="8"/>
      <c r="F225" s="8"/>
      <c r="G225" s="76"/>
      <c r="H225" s="76"/>
      <c r="I225" s="76"/>
      <c r="J225" s="15"/>
      <c r="K225" s="15"/>
      <c r="L225" s="101"/>
      <c r="M225" s="15"/>
      <c r="N225" s="82"/>
      <c r="O225" s="100"/>
      <c r="P225" s="100"/>
      <c r="Q225" s="100"/>
      <c r="R225" s="16"/>
      <c r="S225" s="16"/>
      <c r="T225" s="102"/>
      <c r="U225" s="102"/>
      <c r="V225" s="102"/>
      <c r="W225" s="12"/>
      <c r="X225" s="16"/>
      <c r="Y225" s="13"/>
      <c r="Z225" s="8"/>
      <c r="AA225" s="8"/>
      <c r="AB225" s="8"/>
    </row>
    <row r="226" spans="2:28" s="14" customFormat="1">
      <c r="B226" s="8"/>
      <c r="C226" s="8"/>
      <c r="D226" s="8"/>
      <c r="E226" s="8"/>
      <c r="F226" s="8"/>
      <c r="G226" s="76"/>
      <c r="H226" s="76"/>
      <c r="I226" s="76"/>
      <c r="J226" s="15"/>
      <c r="K226" s="15"/>
      <c r="L226" s="101"/>
      <c r="M226" s="15"/>
      <c r="N226" s="82"/>
      <c r="O226" s="100"/>
      <c r="P226" s="100"/>
      <c r="Q226" s="100"/>
      <c r="R226" s="16"/>
      <c r="S226" s="16"/>
      <c r="T226" s="102"/>
      <c r="U226" s="102"/>
      <c r="V226" s="102"/>
      <c r="W226" s="12"/>
      <c r="X226" s="16"/>
      <c r="Y226" s="13"/>
      <c r="Z226" s="8"/>
      <c r="AA226" s="8"/>
      <c r="AB226" s="8"/>
    </row>
    <row r="227" spans="2:28" s="14" customFormat="1">
      <c r="B227" s="8"/>
      <c r="C227" s="8"/>
      <c r="D227" s="8"/>
      <c r="E227" s="8"/>
      <c r="F227" s="8"/>
      <c r="G227" s="76"/>
      <c r="H227" s="76"/>
      <c r="I227" s="76"/>
      <c r="J227" s="15"/>
      <c r="K227" s="15"/>
      <c r="L227" s="101"/>
      <c r="M227" s="15"/>
      <c r="N227" s="82"/>
      <c r="O227" s="100"/>
      <c r="P227" s="100"/>
      <c r="Q227" s="100"/>
      <c r="R227" s="16"/>
      <c r="S227" s="16"/>
      <c r="T227" s="102"/>
      <c r="U227" s="102"/>
      <c r="V227" s="102"/>
      <c r="W227" s="12"/>
      <c r="X227" s="16"/>
      <c r="Y227" s="13"/>
      <c r="Z227" s="8"/>
      <c r="AA227" s="8"/>
      <c r="AB227" s="8"/>
    </row>
    <row r="228" spans="2:28" s="14" customFormat="1">
      <c r="B228" s="8"/>
      <c r="C228" s="8"/>
      <c r="D228" s="8"/>
      <c r="E228" s="8"/>
      <c r="F228" s="8"/>
      <c r="G228" s="76"/>
      <c r="H228" s="76"/>
      <c r="I228" s="76"/>
      <c r="J228" s="15"/>
      <c r="K228" s="15"/>
      <c r="L228" s="101"/>
      <c r="M228" s="15"/>
      <c r="N228" s="82"/>
      <c r="O228" s="100"/>
      <c r="P228" s="100"/>
      <c r="Q228" s="100"/>
      <c r="R228" s="16"/>
      <c r="S228" s="16"/>
      <c r="T228" s="102"/>
      <c r="U228" s="102"/>
      <c r="V228" s="102"/>
      <c r="W228" s="12"/>
      <c r="X228" s="16"/>
      <c r="Y228" s="13"/>
      <c r="Z228" s="8"/>
      <c r="AA228" s="8"/>
      <c r="AB228" s="8"/>
    </row>
    <row r="229" spans="2:28" s="14" customFormat="1">
      <c r="B229" s="8"/>
      <c r="C229" s="8"/>
      <c r="D229" s="8"/>
      <c r="E229" s="8"/>
      <c r="F229" s="8"/>
      <c r="G229" s="76"/>
      <c r="H229" s="76"/>
      <c r="I229" s="76"/>
      <c r="J229" s="15"/>
      <c r="K229" s="15"/>
      <c r="L229" s="101"/>
      <c r="M229" s="15"/>
      <c r="N229" s="82"/>
      <c r="O229" s="100"/>
      <c r="P229" s="100"/>
      <c r="Q229" s="100"/>
      <c r="R229" s="16"/>
      <c r="S229" s="16"/>
      <c r="T229" s="102"/>
      <c r="U229" s="102"/>
      <c r="V229" s="102"/>
      <c r="W229" s="12"/>
      <c r="X229" s="16"/>
      <c r="Y229" s="13"/>
      <c r="Z229" s="8"/>
      <c r="AA229" s="8"/>
      <c r="AB229" s="8"/>
    </row>
    <row r="230" spans="2:28" s="14" customFormat="1">
      <c r="B230" s="8"/>
      <c r="C230" s="8"/>
      <c r="D230" s="8"/>
      <c r="E230" s="8"/>
      <c r="F230" s="8"/>
      <c r="G230" s="76"/>
      <c r="H230" s="76"/>
      <c r="I230" s="76"/>
      <c r="J230" s="15"/>
      <c r="K230" s="15"/>
      <c r="L230" s="101"/>
      <c r="M230" s="15"/>
      <c r="N230" s="82"/>
      <c r="O230" s="100"/>
      <c r="P230" s="100"/>
      <c r="Q230" s="100"/>
      <c r="R230" s="16"/>
      <c r="S230" s="16"/>
      <c r="T230" s="102"/>
      <c r="U230" s="102"/>
      <c r="V230" s="102"/>
      <c r="W230" s="12"/>
      <c r="X230" s="16"/>
      <c r="Y230" s="13"/>
      <c r="Z230" s="8"/>
      <c r="AA230" s="8"/>
      <c r="AB230" s="8"/>
    </row>
    <row r="231" spans="2:28" s="14" customFormat="1">
      <c r="B231" s="8"/>
      <c r="C231" s="8"/>
      <c r="D231" s="8"/>
      <c r="E231" s="8"/>
      <c r="F231" s="8"/>
      <c r="G231" s="76"/>
      <c r="H231" s="76"/>
      <c r="I231" s="76"/>
      <c r="J231" s="15"/>
      <c r="K231" s="15"/>
      <c r="L231" s="101"/>
      <c r="M231" s="15"/>
      <c r="N231" s="82"/>
      <c r="O231" s="100"/>
      <c r="P231" s="100"/>
      <c r="Q231" s="100"/>
      <c r="R231" s="16"/>
      <c r="S231" s="16"/>
      <c r="T231" s="102"/>
      <c r="U231" s="102"/>
      <c r="V231" s="102"/>
      <c r="W231" s="12"/>
      <c r="X231" s="16"/>
      <c r="Y231" s="13"/>
      <c r="Z231" s="8"/>
      <c r="AA231" s="8"/>
      <c r="AB231" s="8"/>
    </row>
    <row r="232" spans="2:28" s="14" customFormat="1">
      <c r="B232" s="8"/>
      <c r="C232" s="8"/>
      <c r="D232" s="8"/>
      <c r="E232" s="8"/>
      <c r="F232" s="8"/>
      <c r="G232" s="76"/>
      <c r="H232" s="76"/>
      <c r="I232" s="76"/>
      <c r="J232" s="15"/>
      <c r="K232" s="15"/>
      <c r="L232" s="101"/>
      <c r="M232" s="15"/>
      <c r="N232" s="82"/>
      <c r="O232" s="100"/>
      <c r="P232" s="100"/>
      <c r="Q232" s="100"/>
      <c r="R232" s="16"/>
      <c r="S232" s="16"/>
      <c r="T232" s="102"/>
      <c r="U232" s="102"/>
      <c r="V232" s="102"/>
      <c r="W232" s="12"/>
      <c r="X232" s="16"/>
      <c r="Y232" s="13"/>
      <c r="Z232" s="8"/>
      <c r="AA232" s="8"/>
      <c r="AB232" s="8"/>
    </row>
    <row r="233" spans="2:28" s="14" customFormat="1">
      <c r="B233" s="8"/>
      <c r="C233" s="8"/>
      <c r="D233" s="8"/>
      <c r="E233" s="8"/>
      <c r="F233" s="8"/>
      <c r="G233" s="76"/>
      <c r="H233" s="76"/>
      <c r="I233" s="76"/>
      <c r="J233" s="15"/>
      <c r="K233" s="15"/>
      <c r="L233" s="101"/>
      <c r="M233" s="15"/>
      <c r="N233" s="82"/>
      <c r="O233" s="100"/>
      <c r="P233" s="100"/>
      <c r="Q233" s="100"/>
      <c r="R233" s="16"/>
      <c r="S233" s="16"/>
      <c r="T233" s="102"/>
      <c r="U233" s="102"/>
      <c r="V233" s="102"/>
      <c r="W233" s="12"/>
      <c r="X233" s="16"/>
      <c r="Y233" s="13"/>
      <c r="Z233" s="8"/>
      <c r="AA233" s="8"/>
      <c r="AB233" s="8"/>
    </row>
    <row r="234" spans="2:28" s="14" customFormat="1">
      <c r="B234" s="8"/>
      <c r="C234" s="8"/>
      <c r="D234" s="8"/>
      <c r="E234" s="8"/>
      <c r="F234" s="8"/>
      <c r="G234" s="76"/>
      <c r="H234" s="76"/>
      <c r="I234" s="76"/>
      <c r="J234" s="15"/>
      <c r="K234" s="15"/>
      <c r="L234" s="101"/>
      <c r="M234" s="15"/>
      <c r="N234" s="82"/>
      <c r="O234" s="100"/>
      <c r="P234" s="100"/>
      <c r="Q234" s="100"/>
      <c r="R234" s="16"/>
      <c r="S234" s="16"/>
      <c r="T234" s="102"/>
      <c r="U234" s="102"/>
      <c r="V234" s="102"/>
      <c r="W234" s="12"/>
      <c r="X234" s="16"/>
      <c r="Y234" s="13"/>
      <c r="Z234" s="8"/>
      <c r="AA234" s="8"/>
      <c r="AB234" s="8"/>
    </row>
    <row r="235" spans="2:28" s="14" customFormat="1">
      <c r="B235" s="8"/>
      <c r="C235" s="8"/>
      <c r="D235" s="8"/>
      <c r="E235" s="8"/>
      <c r="F235" s="8"/>
      <c r="G235" s="76"/>
      <c r="H235" s="76"/>
      <c r="I235" s="76"/>
      <c r="J235" s="15"/>
      <c r="K235" s="15"/>
      <c r="L235" s="101"/>
      <c r="M235" s="15"/>
      <c r="N235" s="82"/>
      <c r="O235" s="100"/>
      <c r="P235" s="100"/>
      <c r="Q235" s="100"/>
      <c r="R235" s="16"/>
      <c r="S235" s="16"/>
      <c r="T235" s="102"/>
      <c r="U235" s="102"/>
      <c r="V235" s="102"/>
      <c r="W235" s="12"/>
      <c r="X235" s="16"/>
      <c r="Y235" s="13"/>
      <c r="Z235" s="8"/>
      <c r="AA235" s="8"/>
      <c r="AB235" s="8"/>
    </row>
    <row r="236" spans="2:28" s="14" customFormat="1">
      <c r="B236" s="8"/>
      <c r="C236" s="8"/>
      <c r="D236" s="8"/>
      <c r="E236" s="8"/>
      <c r="F236" s="8"/>
      <c r="G236" s="76"/>
      <c r="H236" s="76"/>
      <c r="I236" s="76"/>
      <c r="J236" s="15"/>
      <c r="K236" s="15"/>
      <c r="L236" s="101"/>
      <c r="M236" s="15"/>
      <c r="N236" s="82"/>
      <c r="O236" s="100"/>
      <c r="P236" s="100"/>
      <c r="Q236" s="100"/>
      <c r="R236" s="16"/>
      <c r="S236" s="16"/>
      <c r="T236" s="102"/>
      <c r="U236" s="102"/>
      <c r="V236" s="102"/>
      <c r="W236" s="12"/>
      <c r="X236" s="16"/>
      <c r="Y236" s="13"/>
      <c r="Z236" s="8"/>
      <c r="AA236" s="8"/>
      <c r="AB236" s="8"/>
    </row>
    <row r="237" spans="2:28" s="14" customFormat="1">
      <c r="B237" s="8"/>
      <c r="C237" s="8"/>
      <c r="D237" s="8"/>
      <c r="E237" s="8"/>
      <c r="F237" s="8"/>
      <c r="G237" s="76"/>
      <c r="H237" s="76"/>
      <c r="I237" s="76"/>
      <c r="J237" s="15"/>
      <c r="K237" s="15"/>
      <c r="L237" s="101"/>
      <c r="M237" s="15"/>
      <c r="N237" s="82"/>
      <c r="O237" s="100"/>
      <c r="P237" s="100"/>
      <c r="Q237" s="100"/>
      <c r="R237" s="16"/>
      <c r="S237" s="16"/>
      <c r="T237" s="102"/>
      <c r="U237" s="102"/>
      <c r="V237" s="102"/>
      <c r="W237" s="12"/>
      <c r="X237" s="16"/>
      <c r="Y237" s="13"/>
      <c r="Z237" s="8"/>
      <c r="AA237" s="8"/>
      <c r="AB237" s="8"/>
    </row>
    <row r="238" spans="2:28" s="14" customFormat="1">
      <c r="B238" s="8"/>
      <c r="C238" s="8"/>
      <c r="D238" s="8"/>
      <c r="E238" s="8"/>
      <c r="F238" s="8"/>
      <c r="G238" s="76"/>
      <c r="H238" s="76"/>
      <c r="I238" s="76"/>
      <c r="J238" s="15"/>
      <c r="K238" s="15"/>
      <c r="L238" s="101"/>
      <c r="M238" s="15"/>
      <c r="N238" s="82"/>
      <c r="O238" s="100"/>
      <c r="P238" s="100"/>
      <c r="Q238" s="100"/>
      <c r="R238" s="16"/>
      <c r="S238" s="16"/>
      <c r="T238" s="102"/>
      <c r="U238" s="102"/>
      <c r="V238" s="102"/>
      <c r="W238" s="12"/>
      <c r="X238" s="16"/>
      <c r="Y238" s="13"/>
      <c r="Z238" s="8"/>
      <c r="AA238" s="8"/>
      <c r="AB238" s="8"/>
    </row>
    <row r="239" spans="2:28" s="14" customFormat="1">
      <c r="B239" s="8"/>
      <c r="C239" s="8"/>
      <c r="D239" s="8"/>
      <c r="E239" s="8"/>
      <c r="F239" s="8"/>
      <c r="G239" s="76"/>
      <c r="H239" s="76"/>
      <c r="I239" s="76"/>
      <c r="J239" s="15"/>
      <c r="K239" s="15"/>
      <c r="L239" s="101"/>
      <c r="M239" s="15"/>
      <c r="N239" s="82"/>
      <c r="O239" s="100"/>
      <c r="P239" s="100"/>
      <c r="Q239" s="100"/>
      <c r="R239" s="16"/>
      <c r="S239" s="16"/>
      <c r="T239" s="102"/>
      <c r="U239" s="102"/>
      <c r="V239" s="102"/>
      <c r="W239" s="12"/>
      <c r="X239" s="16"/>
      <c r="Y239" s="13"/>
      <c r="Z239" s="8"/>
      <c r="AA239" s="8"/>
      <c r="AB239" s="8"/>
    </row>
    <row r="240" spans="2:28" s="14" customFormat="1">
      <c r="B240" s="8"/>
      <c r="C240" s="8"/>
      <c r="D240" s="8"/>
      <c r="E240" s="8"/>
      <c r="F240" s="8"/>
      <c r="G240" s="76"/>
      <c r="H240" s="76"/>
      <c r="I240" s="76"/>
      <c r="J240" s="15"/>
      <c r="K240" s="15"/>
      <c r="L240" s="101"/>
      <c r="M240" s="15"/>
      <c r="N240" s="82"/>
      <c r="O240" s="100"/>
      <c r="P240" s="100"/>
      <c r="Q240" s="100"/>
      <c r="R240" s="16"/>
      <c r="S240" s="16"/>
      <c r="T240" s="102"/>
      <c r="U240" s="102"/>
      <c r="V240" s="102"/>
      <c r="W240" s="12"/>
      <c r="X240" s="16"/>
      <c r="Y240" s="13"/>
      <c r="Z240" s="8"/>
      <c r="AA240" s="8"/>
      <c r="AB240" s="8"/>
    </row>
    <row r="241" spans="2:28" s="14" customFormat="1">
      <c r="B241" s="8"/>
      <c r="C241" s="8"/>
      <c r="D241" s="8"/>
      <c r="E241" s="8"/>
      <c r="F241" s="8"/>
      <c r="G241" s="76"/>
      <c r="H241" s="76"/>
      <c r="I241" s="76"/>
      <c r="J241" s="15"/>
      <c r="K241" s="15"/>
      <c r="L241" s="101"/>
      <c r="M241" s="15"/>
      <c r="N241" s="82"/>
      <c r="O241" s="100"/>
      <c r="P241" s="100"/>
      <c r="Q241" s="100"/>
      <c r="R241" s="16"/>
      <c r="S241" s="16"/>
      <c r="T241" s="102"/>
      <c r="U241" s="102"/>
      <c r="V241" s="102"/>
      <c r="W241" s="12"/>
      <c r="X241" s="16"/>
      <c r="Y241" s="13"/>
      <c r="Z241" s="8"/>
      <c r="AA241" s="8"/>
      <c r="AB241" s="8"/>
    </row>
    <row r="242" spans="2:28" s="14" customFormat="1">
      <c r="B242" s="8"/>
      <c r="C242" s="8"/>
      <c r="D242" s="8"/>
      <c r="E242" s="8"/>
      <c r="F242" s="8"/>
      <c r="G242" s="76"/>
      <c r="H242" s="76"/>
      <c r="I242" s="76"/>
      <c r="J242" s="15"/>
      <c r="K242" s="15"/>
      <c r="L242" s="101"/>
      <c r="M242" s="15"/>
      <c r="N242" s="82"/>
      <c r="O242" s="100"/>
      <c r="P242" s="100"/>
      <c r="Q242" s="100"/>
      <c r="R242" s="16"/>
      <c r="S242" s="16"/>
      <c r="T242" s="102"/>
      <c r="U242" s="102"/>
      <c r="V242" s="102"/>
      <c r="W242" s="12"/>
      <c r="X242" s="16"/>
      <c r="Y242" s="13"/>
      <c r="Z242" s="8"/>
      <c r="AA242" s="8"/>
      <c r="AB242" s="8"/>
    </row>
    <row r="243" spans="2:28" s="14" customFormat="1">
      <c r="B243" s="8"/>
      <c r="C243" s="8"/>
      <c r="D243" s="8"/>
      <c r="E243" s="8"/>
      <c r="F243" s="8"/>
      <c r="G243" s="76"/>
      <c r="H243" s="76"/>
      <c r="I243" s="76"/>
      <c r="J243" s="15"/>
      <c r="K243" s="15"/>
      <c r="L243" s="101"/>
      <c r="M243" s="15"/>
      <c r="N243" s="82"/>
      <c r="O243" s="100"/>
      <c r="P243" s="100"/>
      <c r="Q243" s="100"/>
      <c r="R243" s="16"/>
      <c r="S243" s="16"/>
      <c r="T243" s="102"/>
      <c r="U243" s="102"/>
      <c r="V243" s="102"/>
      <c r="W243" s="12"/>
      <c r="X243" s="16"/>
      <c r="Y243" s="13"/>
      <c r="Z243" s="8"/>
      <c r="AA243" s="8"/>
      <c r="AB243" s="8"/>
    </row>
    <row r="244" spans="2:28" s="14" customFormat="1">
      <c r="B244" s="8"/>
      <c r="C244" s="8"/>
      <c r="D244" s="8"/>
      <c r="E244" s="8"/>
      <c r="F244" s="8"/>
      <c r="G244" s="76"/>
      <c r="H244" s="76"/>
      <c r="I244" s="76"/>
      <c r="J244" s="15"/>
      <c r="K244" s="15"/>
      <c r="L244" s="101"/>
      <c r="M244" s="15"/>
      <c r="N244" s="82"/>
      <c r="O244" s="100"/>
      <c r="P244" s="100"/>
      <c r="Q244" s="100"/>
      <c r="R244" s="16"/>
      <c r="S244" s="16"/>
      <c r="T244" s="102"/>
      <c r="U244" s="102"/>
      <c r="V244" s="102"/>
      <c r="W244" s="12"/>
      <c r="X244" s="16"/>
      <c r="Y244" s="13"/>
      <c r="Z244" s="8"/>
      <c r="AA244" s="8"/>
      <c r="AB244" s="8"/>
    </row>
    <row r="245" spans="2:28" s="14" customFormat="1">
      <c r="B245" s="8"/>
      <c r="C245" s="8"/>
      <c r="D245" s="8"/>
      <c r="E245" s="8"/>
      <c r="F245" s="8"/>
      <c r="G245" s="76"/>
      <c r="H245" s="76"/>
      <c r="I245" s="76"/>
      <c r="J245" s="15"/>
      <c r="K245" s="15"/>
      <c r="L245" s="101"/>
      <c r="M245" s="15"/>
      <c r="N245" s="82"/>
      <c r="O245" s="100"/>
      <c r="P245" s="100"/>
      <c r="Q245" s="100"/>
      <c r="R245" s="16"/>
      <c r="S245" s="16"/>
      <c r="T245" s="102"/>
      <c r="U245" s="102"/>
      <c r="V245" s="102"/>
      <c r="W245" s="12"/>
      <c r="X245" s="16"/>
      <c r="Y245" s="13"/>
      <c r="Z245" s="8"/>
      <c r="AA245" s="8"/>
      <c r="AB245" s="8"/>
    </row>
    <row r="246" spans="2:28" s="14" customFormat="1">
      <c r="B246" s="8"/>
      <c r="C246" s="8"/>
      <c r="D246" s="8"/>
      <c r="E246" s="8"/>
      <c r="F246" s="8"/>
      <c r="G246" s="76"/>
      <c r="H246" s="76"/>
      <c r="I246" s="76"/>
      <c r="J246" s="15"/>
      <c r="K246" s="15"/>
      <c r="L246" s="101"/>
      <c r="M246" s="15"/>
      <c r="N246" s="82"/>
      <c r="O246" s="100"/>
      <c r="P246" s="100"/>
      <c r="Q246" s="100"/>
      <c r="R246" s="16"/>
      <c r="S246" s="16"/>
      <c r="T246" s="102"/>
      <c r="U246" s="102"/>
      <c r="V246" s="102"/>
      <c r="W246" s="12"/>
      <c r="X246" s="16"/>
      <c r="Y246" s="13"/>
      <c r="Z246" s="8"/>
      <c r="AA246" s="8"/>
      <c r="AB246" s="8"/>
    </row>
    <row r="247" spans="2:28" s="14" customFormat="1">
      <c r="B247" s="8"/>
      <c r="C247" s="8"/>
      <c r="D247" s="8"/>
      <c r="E247" s="8"/>
      <c r="F247" s="8"/>
      <c r="G247" s="76"/>
      <c r="H247" s="76"/>
      <c r="I247" s="76"/>
      <c r="J247" s="15"/>
      <c r="K247" s="15"/>
      <c r="L247" s="101"/>
      <c r="M247" s="15"/>
      <c r="N247" s="82"/>
      <c r="O247" s="100"/>
      <c r="P247" s="100"/>
      <c r="Q247" s="100"/>
      <c r="R247" s="16"/>
      <c r="S247" s="16"/>
      <c r="T247" s="102"/>
      <c r="U247" s="102"/>
      <c r="V247" s="102"/>
      <c r="W247" s="12"/>
      <c r="X247" s="16"/>
      <c r="Y247" s="13"/>
      <c r="Z247" s="8"/>
      <c r="AA247" s="8"/>
      <c r="AB247" s="8"/>
    </row>
    <row r="248" spans="2:28" s="14" customFormat="1">
      <c r="B248" s="8"/>
      <c r="C248" s="8"/>
      <c r="D248" s="8"/>
      <c r="E248" s="8"/>
      <c r="F248" s="8"/>
      <c r="G248" s="76"/>
      <c r="H248" s="76"/>
      <c r="I248" s="76"/>
      <c r="J248" s="15"/>
      <c r="K248" s="15"/>
      <c r="L248" s="101"/>
      <c r="M248" s="15"/>
      <c r="N248" s="82"/>
      <c r="O248" s="100"/>
      <c r="P248" s="100"/>
      <c r="Q248" s="100"/>
      <c r="R248" s="16"/>
      <c r="S248" s="16"/>
      <c r="T248" s="102"/>
      <c r="U248" s="102"/>
      <c r="V248" s="102"/>
      <c r="W248" s="12"/>
      <c r="X248" s="16"/>
      <c r="Y248" s="13"/>
      <c r="Z248" s="8"/>
      <c r="AA248" s="8"/>
      <c r="AB248" s="8"/>
    </row>
    <row r="249" spans="2:28" s="14" customFormat="1">
      <c r="B249" s="8"/>
      <c r="C249" s="8"/>
      <c r="D249" s="8"/>
      <c r="E249" s="8"/>
      <c r="F249" s="8"/>
      <c r="G249" s="76"/>
      <c r="H249" s="76"/>
      <c r="I249" s="76"/>
      <c r="J249" s="15"/>
      <c r="K249" s="15"/>
      <c r="L249" s="101"/>
      <c r="M249" s="15"/>
      <c r="N249" s="82"/>
      <c r="O249" s="100"/>
      <c r="P249" s="100"/>
      <c r="Q249" s="100"/>
      <c r="R249" s="16"/>
      <c r="S249" s="16"/>
      <c r="T249" s="102"/>
      <c r="U249" s="102"/>
      <c r="V249" s="102"/>
      <c r="W249" s="12"/>
      <c r="X249" s="16"/>
      <c r="Y249" s="13"/>
      <c r="Z249" s="8"/>
      <c r="AA249" s="8"/>
      <c r="AB249" s="8"/>
    </row>
    <row r="250" spans="2:28" s="14" customFormat="1">
      <c r="B250" s="8"/>
      <c r="C250" s="8"/>
      <c r="D250" s="8"/>
      <c r="E250" s="8"/>
      <c r="F250" s="8"/>
      <c r="G250" s="76"/>
      <c r="H250" s="76"/>
      <c r="I250" s="76"/>
      <c r="J250" s="15"/>
      <c r="K250" s="15"/>
      <c r="L250" s="101"/>
      <c r="M250" s="15"/>
      <c r="N250" s="82"/>
      <c r="O250" s="100"/>
      <c r="P250" s="100"/>
      <c r="Q250" s="100"/>
      <c r="R250" s="16"/>
      <c r="S250" s="16"/>
      <c r="T250" s="102"/>
      <c r="U250" s="102"/>
      <c r="V250" s="102"/>
      <c r="W250" s="12"/>
      <c r="X250" s="16"/>
      <c r="Y250" s="13"/>
      <c r="Z250" s="8"/>
      <c r="AA250" s="8"/>
      <c r="AB250" s="8"/>
    </row>
    <row r="251" spans="2:28" s="14" customFormat="1">
      <c r="B251" s="8"/>
      <c r="C251" s="8"/>
      <c r="D251" s="8"/>
      <c r="E251" s="8"/>
      <c r="F251" s="8"/>
      <c r="G251" s="76"/>
      <c r="H251" s="76"/>
      <c r="I251" s="76"/>
      <c r="J251" s="15"/>
      <c r="K251" s="15"/>
      <c r="L251" s="101"/>
      <c r="M251" s="15"/>
      <c r="N251" s="82"/>
      <c r="O251" s="100"/>
      <c r="P251" s="100"/>
      <c r="Q251" s="100"/>
      <c r="R251" s="16"/>
      <c r="S251" s="16"/>
      <c r="T251" s="102"/>
      <c r="U251" s="102"/>
      <c r="V251" s="102"/>
      <c r="W251" s="12"/>
      <c r="X251" s="16"/>
      <c r="Y251" s="13"/>
      <c r="Z251" s="8"/>
      <c r="AA251" s="8"/>
      <c r="AB251" s="8"/>
    </row>
    <row r="252" spans="2:28" s="14" customFormat="1">
      <c r="B252" s="8"/>
      <c r="C252" s="8"/>
      <c r="D252" s="8"/>
      <c r="E252" s="8"/>
      <c r="F252" s="8"/>
      <c r="G252" s="76"/>
      <c r="H252" s="76"/>
      <c r="I252" s="76"/>
      <c r="J252" s="15"/>
      <c r="K252" s="15"/>
      <c r="L252" s="101"/>
      <c r="M252" s="15"/>
      <c r="N252" s="82"/>
      <c r="O252" s="100"/>
      <c r="P252" s="100"/>
      <c r="Q252" s="100"/>
      <c r="R252" s="16"/>
      <c r="S252" s="16"/>
      <c r="T252" s="102"/>
      <c r="U252" s="102"/>
      <c r="V252" s="102"/>
      <c r="W252" s="12"/>
      <c r="X252" s="16"/>
      <c r="Y252" s="13"/>
      <c r="Z252" s="8"/>
      <c r="AA252" s="8"/>
      <c r="AB252" s="8"/>
    </row>
    <row r="253" spans="2:28" s="14" customFormat="1">
      <c r="B253" s="8"/>
      <c r="C253" s="8"/>
      <c r="D253" s="8"/>
      <c r="E253" s="8"/>
      <c r="F253" s="8"/>
      <c r="G253" s="76"/>
      <c r="H253" s="76"/>
      <c r="I253" s="76"/>
      <c r="J253" s="15"/>
      <c r="K253" s="15"/>
      <c r="L253" s="101"/>
      <c r="M253" s="15"/>
      <c r="N253" s="82"/>
      <c r="O253" s="100"/>
      <c r="P253" s="100"/>
      <c r="Q253" s="100"/>
      <c r="R253" s="16"/>
      <c r="S253" s="16"/>
      <c r="T253" s="102"/>
      <c r="U253" s="102"/>
      <c r="V253" s="102"/>
      <c r="W253" s="12"/>
      <c r="X253" s="16"/>
      <c r="Y253" s="13"/>
      <c r="Z253" s="8"/>
      <c r="AA253" s="8"/>
      <c r="AB253" s="8"/>
    </row>
    <row r="254" spans="2:28" s="14" customFormat="1">
      <c r="B254" s="8"/>
      <c r="C254" s="8"/>
      <c r="D254" s="8"/>
      <c r="E254" s="8"/>
      <c r="F254" s="8"/>
      <c r="G254" s="76"/>
      <c r="H254" s="76"/>
      <c r="I254" s="76"/>
      <c r="J254" s="15"/>
      <c r="K254" s="15"/>
      <c r="L254" s="101"/>
      <c r="M254" s="15"/>
      <c r="N254" s="82"/>
      <c r="O254" s="100"/>
      <c r="P254" s="100"/>
      <c r="Q254" s="100"/>
      <c r="R254" s="16"/>
      <c r="S254" s="16"/>
      <c r="T254" s="102"/>
      <c r="U254" s="102"/>
      <c r="V254" s="102"/>
      <c r="W254" s="12"/>
      <c r="X254" s="16"/>
      <c r="Y254" s="13"/>
      <c r="Z254" s="8"/>
      <c r="AA254" s="8"/>
      <c r="AB254" s="8"/>
    </row>
    <row r="255" spans="2:28" s="14" customFormat="1">
      <c r="B255" s="8"/>
      <c r="C255" s="8"/>
      <c r="D255" s="8"/>
      <c r="E255" s="8"/>
      <c r="F255" s="8"/>
      <c r="G255" s="76"/>
      <c r="H255" s="76"/>
      <c r="I255" s="76"/>
      <c r="J255" s="15"/>
      <c r="K255" s="15"/>
      <c r="L255" s="101"/>
      <c r="M255" s="15"/>
      <c r="N255" s="82"/>
      <c r="O255" s="100"/>
      <c r="P255" s="100"/>
      <c r="Q255" s="100"/>
      <c r="R255" s="16"/>
      <c r="S255" s="16"/>
      <c r="T255" s="102"/>
      <c r="U255" s="102"/>
      <c r="V255" s="102"/>
      <c r="W255" s="12"/>
      <c r="X255" s="16"/>
      <c r="Y255" s="13"/>
      <c r="Z255" s="8"/>
      <c r="AA255" s="8"/>
      <c r="AB255" s="8"/>
    </row>
    <row r="256" spans="2:28" s="14" customFormat="1">
      <c r="B256" s="8"/>
      <c r="C256" s="8"/>
      <c r="D256" s="8"/>
      <c r="E256" s="8"/>
      <c r="F256" s="8"/>
      <c r="G256" s="76"/>
      <c r="H256" s="76"/>
      <c r="I256" s="76"/>
      <c r="J256" s="15"/>
      <c r="K256" s="15"/>
      <c r="L256" s="101"/>
      <c r="M256" s="15"/>
      <c r="N256" s="82"/>
      <c r="O256" s="100"/>
      <c r="P256" s="100"/>
      <c r="Q256" s="100"/>
      <c r="R256" s="16"/>
      <c r="S256" s="16"/>
      <c r="T256" s="102"/>
      <c r="U256" s="102"/>
      <c r="V256" s="102"/>
      <c r="W256" s="12"/>
      <c r="X256" s="16"/>
      <c r="Y256" s="13"/>
      <c r="Z256" s="8"/>
      <c r="AA256" s="8"/>
      <c r="AB256" s="8"/>
    </row>
    <row r="257" spans="2:28" s="14" customFormat="1">
      <c r="B257" s="8"/>
      <c r="C257" s="8"/>
      <c r="D257" s="8"/>
      <c r="E257" s="8"/>
      <c r="F257" s="8"/>
      <c r="G257" s="76"/>
      <c r="H257" s="76"/>
      <c r="I257" s="76"/>
      <c r="J257" s="15"/>
      <c r="K257" s="15"/>
      <c r="L257" s="101"/>
      <c r="M257" s="15"/>
      <c r="N257" s="82"/>
      <c r="O257" s="100"/>
      <c r="P257" s="100"/>
      <c r="Q257" s="100"/>
      <c r="R257" s="16"/>
      <c r="S257" s="16"/>
      <c r="T257" s="102"/>
      <c r="U257" s="102"/>
      <c r="V257" s="102"/>
      <c r="W257" s="12"/>
      <c r="X257" s="16"/>
      <c r="Y257" s="13"/>
      <c r="Z257" s="8"/>
      <c r="AA257" s="8"/>
      <c r="AB257" s="8"/>
    </row>
    <row r="258" spans="2:28" s="14" customFormat="1">
      <c r="B258" s="8"/>
      <c r="C258" s="8"/>
      <c r="D258" s="8"/>
      <c r="E258" s="8"/>
      <c r="F258" s="8"/>
      <c r="G258" s="76"/>
      <c r="H258" s="76"/>
      <c r="I258" s="76"/>
      <c r="J258" s="15"/>
      <c r="K258" s="15"/>
      <c r="L258" s="101"/>
      <c r="M258" s="15"/>
      <c r="N258" s="82"/>
      <c r="O258" s="100"/>
      <c r="P258" s="100"/>
      <c r="Q258" s="100"/>
      <c r="R258" s="16"/>
      <c r="S258" s="16"/>
      <c r="T258" s="102"/>
      <c r="U258" s="102"/>
      <c r="V258" s="102"/>
      <c r="W258" s="12"/>
      <c r="X258" s="16"/>
      <c r="Y258" s="13"/>
      <c r="Z258" s="8"/>
      <c r="AA258" s="8"/>
      <c r="AB258" s="8"/>
    </row>
    <row r="259" spans="2:28" s="14" customFormat="1">
      <c r="B259" s="8"/>
      <c r="C259" s="8"/>
      <c r="D259" s="8"/>
      <c r="E259" s="8"/>
      <c r="F259" s="8"/>
      <c r="G259" s="76"/>
      <c r="H259" s="76"/>
      <c r="I259" s="76"/>
      <c r="J259" s="15"/>
      <c r="K259" s="15"/>
      <c r="L259" s="101"/>
      <c r="M259" s="15"/>
      <c r="N259" s="82"/>
      <c r="O259" s="100"/>
      <c r="P259" s="100"/>
      <c r="Q259" s="100"/>
      <c r="R259" s="16"/>
      <c r="S259" s="16"/>
      <c r="T259" s="102"/>
      <c r="U259" s="102"/>
      <c r="V259" s="102"/>
      <c r="W259" s="12"/>
      <c r="X259" s="16"/>
      <c r="Y259" s="13"/>
      <c r="Z259" s="8"/>
      <c r="AA259" s="8"/>
      <c r="AB259" s="8"/>
    </row>
    <row r="260" spans="2:28" s="14" customFormat="1">
      <c r="B260" s="8"/>
      <c r="C260" s="8"/>
      <c r="D260" s="8"/>
      <c r="E260" s="8"/>
      <c r="F260" s="8"/>
      <c r="G260" s="76"/>
      <c r="H260" s="76"/>
      <c r="I260" s="76"/>
      <c r="J260" s="15"/>
      <c r="K260" s="15"/>
      <c r="L260" s="101"/>
      <c r="M260" s="15"/>
      <c r="N260" s="82"/>
      <c r="O260" s="100"/>
      <c r="P260" s="100"/>
      <c r="Q260" s="100"/>
      <c r="R260" s="16"/>
      <c r="S260" s="16"/>
      <c r="T260" s="102"/>
      <c r="U260" s="102"/>
      <c r="V260" s="102"/>
      <c r="W260" s="12"/>
      <c r="X260" s="16"/>
      <c r="Y260" s="13"/>
      <c r="Z260" s="8"/>
      <c r="AA260" s="8"/>
      <c r="AB260" s="8"/>
    </row>
    <row r="261" spans="2:28" s="14" customFormat="1">
      <c r="B261" s="8"/>
      <c r="C261" s="8"/>
      <c r="D261" s="8"/>
      <c r="E261" s="8"/>
      <c r="F261" s="8"/>
      <c r="G261" s="76"/>
      <c r="H261" s="76"/>
      <c r="I261" s="76"/>
      <c r="J261" s="15"/>
      <c r="K261" s="15"/>
      <c r="L261" s="101"/>
      <c r="M261" s="15"/>
      <c r="N261" s="82"/>
      <c r="O261" s="100"/>
      <c r="P261" s="100"/>
      <c r="Q261" s="100"/>
      <c r="R261" s="16"/>
      <c r="S261" s="16"/>
      <c r="T261" s="102"/>
      <c r="U261" s="102"/>
      <c r="V261" s="102"/>
      <c r="W261" s="12"/>
      <c r="X261" s="16"/>
      <c r="Y261" s="13"/>
      <c r="Z261" s="8"/>
      <c r="AA261" s="8"/>
      <c r="AB261" s="8"/>
    </row>
    <row r="262" spans="2:28" s="14" customFormat="1">
      <c r="B262" s="8"/>
      <c r="C262" s="8"/>
      <c r="D262" s="8"/>
      <c r="E262" s="8"/>
      <c r="F262" s="8"/>
      <c r="G262" s="76"/>
      <c r="H262" s="76"/>
      <c r="I262" s="76"/>
      <c r="J262" s="15"/>
      <c r="K262" s="15"/>
      <c r="L262" s="101"/>
      <c r="M262" s="15"/>
      <c r="N262" s="82"/>
      <c r="O262" s="100"/>
      <c r="P262" s="100"/>
      <c r="Q262" s="100"/>
      <c r="R262" s="16"/>
      <c r="S262" s="16"/>
      <c r="T262" s="102"/>
      <c r="U262" s="102"/>
      <c r="V262" s="102"/>
      <c r="W262" s="12"/>
      <c r="X262" s="16"/>
      <c r="Y262" s="13"/>
      <c r="Z262" s="8"/>
      <c r="AA262" s="8"/>
      <c r="AB262" s="8"/>
    </row>
    <row r="263" spans="2:28" s="14" customFormat="1">
      <c r="B263" s="8"/>
      <c r="C263" s="8"/>
      <c r="D263" s="8"/>
      <c r="E263" s="8"/>
      <c r="F263" s="8"/>
      <c r="G263" s="76"/>
      <c r="H263" s="76"/>
      <c r="I263" s="76"/>
      <c r="J263" s="15"/>
      <c r="K263" s="15"/>
      <c r="L263" s="101"/>
      <c r="M263" s="15"/>
      <c r="N263" s="82"/>
      <c r="O263" s="100"/>
      <c r="P263" s="100"/>
      <c r="Q263" s="100"/>
      <c r="R263" s="16"/>
      <c r="S263" s="16"/>
      <c r="T263" s="102"/>
      <c r="U263" s="102"/>
      <c r="V263" s="102"/>
      <c r="W263" s="12"/>
      <c r="X263" s="16"/>
      <c r="Y263" s="13"/>
      <c r="Z263" s="8"/>
      <c r="AA263" s="8"/>
      <c r="AB263" s="8"/>
    </row>
    <row r="264" spans="2:28" s="14" customFormat="1">
      <c r="B264" s="8"/>
      <c r="C264" s="8"/>
      <c r="D264" s="8"/>
      <c r="E264" s="8"/>
      <c r="F264" s="8"/>
      <c r="G264" s="76"/>
      <c r="H264" s="76"/>
      <c r="I264" s="76"/>
      <c r="J264" s="15"/>
      <c r="K264" s="15"/>
      <c r="L264" s="101"/>
      <c r="M264" s="15"/>
      <c r="N264" s="82"/>
      <c r="O264" s="100"/>
      <c r="P264" s="100"/>
      <c r="Q264" s="100"/>
      <c r="R264" s="16"/>
      <c r="S264" s="16"/>
      <c r="T264" s="102"/>
      <c r="U264" s="102"/>
      <c r="V264" s="102"/>
      <c r="W264" s="12"/>
      <c r="X264" s="16"/>
      <c r="Y264" s="13"/>
      <c r="Z264" s="8"/>
      <c r="AA264" s="8"/>
      <c r="AB264" s="8"/>
    </row>
    <row r="265" spans="2:28" s="14" customFormat="1">
      <c r="B265" s="8"/>
      <c r="C265" s="8"/>
      <c r="D265" s="8"/>
      <c r="E265" s="8"/>
      <c r="F265" s="8"/>
      <c r="G265" s="76"/>
      <c r="H265" s="76"/>
      <c r="I265" s="76"/>
      <c r="J265" s="15"/>
      <c r="K265" s="15"/>
      <c r="L265" s="101"/>
      <c r="M265" s="15"/>
      <c r="N265" s="82"/>
      <c r="O265" s="100"/>
      <c r="P265" s="100"/>
      <c r="Q265" s="100"/>
      <c r="R265" s="16"/>
      <c r="S265" s="16"/>
      <c r="T265" s="102"/>
      <c r="U265" s="102"/>
      <c r="V265" s="102"/>
      <c r="W265" s="12"/>
      <c r="X265" s="16"/>
      <c r="Y265" s="13"/>
      <c r="Z265" s="8"/>
      <c r="AA265" s="8"/>
      <c r="AB265" s="8"/>
    </row>
    <row r="266" spans="2:28" s="14" customFormat="1">
      <c r="B266" s="8"/>
      <c r="C266" s="8"/>
      <c r="D266" s="8"/>
      <c r="E266" s="8"/>
      <c r="F266" s="8"/>
      <c r="G266" s="76"/>
      <c r="H266" s="76"/>
      <c r="I266" s="76"/>
      <c r="J266" s="15"/>
      <c r="K266" s="15"/>
      <c r="L266" s="101"/>
      <c r="M266" s="15"/>
      <c r="N266" s="82"/>
      <c r="O266" s="100"/>
      <c r="P266" s="100"/>
      <c r="Q266" s="100"/>
      <c r="R266" s="16"/>
      <c r="S266" s="16"/>
      <c r="T266" s="102"/>
      <c r="U266" s="102"/>
      <c r="V266" s="102"/>
      <c r="W266" s="12"/>
      <c r="X266" s="16"/>
      <c r="Y266" s="13"/>
      <c r="Z266" s="8"/>
      <c r="AA266" s="8"/>
      <c r="AB266" s="8"/>
    </row>
    <row r="267" spans="2:28" s="14" customFormat="1">
      <c r="B267" s="8"/>
      <c r="C267" s="8"/>
      <c r="D267" s="8"/>
      <c r="E267" s="8"/>
      <c r="F267" s="8"/>
      <c r="G267" s="76"/>
      <c r="H267" s="76"/>
      <c r="I267" s="76"/>
      <c r="J267" s="15"/>
      <c r="K267" s="15"/>
      <c r="L267" s="101"/>
      <c r="M267" s="15"/>
      <c r="N267" s="82"/>
      <c r="O267" s="100"/>
      <c r="P267" s="100"/>
      <c r="Q267" s="100"/>
      <c r="R267" s="16"/>
      <c r="S267" s="16"/>
      <c r="T267" s="102"/>
      <c r="U267" s="102"/>
      <c r="V267" s="102"/>
      <c r="W267" s="12"/>
      <c r="X267" s="16"/>
      <c r="Y267" s="13"/>
      <c r="Z267" s="8"/>
      <c r="AA267" s="8"/>
      <c r="AB267" s="8"/>
    </row>
    <row r="268" spans="2:28" s="14" customFormat="1">
      <c r="B268" s="8"/>
      <c r="C268" s="8"/>
      <c r="D268" s="8"/>
      <c r="E268" s="8"/>
      <c r="F268" s="8"/>
      <c r="G268" s="76"/>
      <c r="H268" s="76"/>
      <c r="I268" s="76"/>
      <c r="J268" s="15"/>
      <c r="K268" s="15"/>
      <c r="L268" s="101"/>
      <c r="M268" s="15"/>
      <c r="N268" s="82"/>
      <c r="O268" s="100"/>
      <c r="P268" s="100"/>
      <c r="Q268" s="100"/>
      <c r="R268" s="16"/>
      <c r="S268" s="16"/>
      <c r="T268" s="102"/>
      <c r="U268" s="102"/>
      <c r="V268" s="102"/>
      <c r="W268" s="12"/>
      <c r="X268" s="16"/>
      <c r="Y268" s="13"/>
      <c r="Z268" s="8"/>
      <c r="AA268" s="8"/>
      <c r="AB268" s="8"/>
    </row>
    <row r="269" spans="2:28" s="14" customFormat="1">
      <c r="B269" s="8"/>
      <c r="C269" s="8"/>
      <c r="D269" s="8"/>
      <c r="E269" s="8"/>
      <c r="F269" s="8"/>
      <c r="G269" s="76"/>
      <c r="H269" s="76"/>
      <c r="I269" s="76"/>
      <c r="J269" s="15"/>
      <c r="K269" s="15"/>
      <c r="L269" s="101"/>
      <c r="M269" s="15"/>
      <c r="N269" s="82"/>
      <c r="O269" s="100"/>
      <c r="P269" s="100"/>
      <c r="Q269" s="100"/>
      <c r="R269" s="16"/>
      <c r="S269" s="16"/>
      <c r="T269" s="102"/>
      <c r="U269" s="102"/>
      <c r="V269" s="102"/>
      <c r="W269" s="12"/>
      <c r="X269" s="16"/>
      <c r="Y269" s="13"/>
      <c r="Z269" s="8"/>
      <c r="AA269" s="8"/>
      <c r="AB269" s="8"/>
    </row>
    <row r="270" spans="2:28" s="14" customFormat="1">
      <c r="B270" s="8"/>
      <c r="C270" s="8"/>
      <c r="D270" s="8"/>
      <c r="E270" s="8"/>
      <c r="F270" s="8"/>
      <c r="G270" s="76"/>
      <c r="H270" s="76"/>
      <c r="I270" s="76"/>
      <c r="J270" s="15"/>
      <c r="K270" s="15"/>
      <c r="L270" s="101"/>
      <c r="M270" s="15"/>
      <c r="N270" s="82"/>
      <c r="O270" s="100"/>
      <c r="P270" s="100"/>
      <c r="Q270" s="100"/>
      <c r="R270" s="16"/>
      <c r="S270" s="16"/>
      <c r="T270" s="102"/>
      <c r="U270" s="102"/>
      <c r="V270" s="102"/>
      <c r="W270" s="12"/>
      <c r="X270" s="16"/>
      <c r="Y270" s="13"/>
      <c r="Z270" s="8"/>
      <c r="AA270" s="8"/>
      <c r="AB270" s="8"/>
    </row>
    <row r="271" spans="2:28" s="14" customFormat="1">
      <c r="B271" s="8"/>
      <c r="C271" s="8"/>
      <c r="D271" s="8"/>
      <c r="E271" s="8"/>
      <c r="F271" s="8"/>
      <c r="G271" s="76"/>
      <c r="H271" s="76"/>
      <c r="I271" s="76"/>
      <c r="J271" s="15"/>
      <c r="K271" s="15"/>
      <c r="L271" s="101"/>
      <c r="M271" s="15"/>
      <c r="N271" s="82"/>
      <c r="O271" s="100"/>
      <c r="P271" s="100"/>
      <c r="Q271" s="100"/>
      <c r="R271" s="16"/>
      <c r="S271" s="16"/>
      <c r="T271" s="102"/>
      <c r="U271" s="102"/>
      <c r="V271" s="102"/>
      <c r="W271" s="12"/>
      <c r="X271" s="16"/>
      <c r="Y271" s="13"/>
      <c r="Z271" s="8"/>
      <c r="AA271" s="8"/>
      <c r="AB271" s="8"/>
    </row>
    <row r="272" spans="2:28" s="14" customFormat="1">
      <c r="B272" s="8"/>
      <c r="C272" s="8"/>
      <c r="D272" s="8"/>
      <c r="E272" s="8"/>
      <c r="F272" s="8"/>
      <c r="G272" s="76"/>
      <c r="H272" s="76"/>
      <c r="I272" s="76"/>
      <c r="J272" s="15"/>
      <c r="K272" s="15"/>
      <c r="L272" s="101"/>
      <c r="M272" s="15"/>
      <c r="N272" s="82"/>
      <c r="O272" s="100"/>
      <c r="P272" s="100"/>
      <c r="Q272" s="100"/>
      <c r="R272" s="16"/>
      <c r="S272" s="16"/>
      <c r="T272" s="102"/>
      <c r="U272" s="102"/>
      <c r="V272" s="102"/>
      <c r="W272" s="12"/>
      <c r="X272" s="16"/>
      <c r="Y272" s="13"/>
      <c r="Z272" s="8"/>
      <c r="AA272" s="8"/>
      <c r="AB272" s="8"/>
    </row>
    <row r="273" spans="2:28" s="14" customFormat="1">
      <c r="B273" s="8"/>
      <c r="C273" s="8"/>
      <c r="D273" s="8"/>
      <c r="E273" s="8"/>
      <c r="F273" s="8"/>
      <c r="G273" s="76"/>
      <c r="H273" s="76"/>
      <c r="I273" s="76"/>
      <c r="J273" s="15"/>
      <c r="K273" s="15"/>
      <c r="L273" s="101"/>
      <c r="M273" s="15"/>
      <c r="N273" s="82"/>
      <c r="O273" s="100"/>
      <c r="P273" s="100"/>
      <c r="Q273" s="100"/>
      <c r="R273" s="16"/>
      <c r="S273" s="16"/>
      <c r="T273" s="102"/>
      <c r="U273" s="102"/>
      <c r="V273" s="102"/>
      <c r="W273" s="12"/>
      <c r="X273" s="16"/>
      <c r="Y273" s="13"/>
      <c r="Z273" s="8"/>
      <c r="AA273" s="8"/>
      <c r="AB273" s="8"/>
    </row>
    <row r="274" spans="2:28" s="14" customFormat="1">
      <c r="B274" s="8"/>
      <c r="C274" s="8"/>
      <c r="D274" s="8"/>
      <c r="E274" s="8"/>
      <c r="F274" s="8"/>
      <c r="G274" s="76"/>
      <c r="H274" s="76"/>
      <c r="I274" s="76"/>
      <c r="J274" s="15"/>
      <c r="K274" s="15"/>
      <c r="L274" s="101"/>
      <c r="M274" s="15"/>
      <c r="N274" s="82"/>
      <c r="O274" s="100"/>
      <c r="P274" s="100"/>
      <c r="Q274" s="100"/>
      <c r="R274" s="16"/>
      <c r="S274" s="16"/>
      <c r="T274" s="102"/>
      <c r="U274" s="102"/>
      <c r="V274" s="102"/>
      <c r="W274" s="12"/>
      <c r="X274" s="16"/>
      <c r="Y274" s="13"/>
      <c r="Z274" s="8"/>
      <c r="AA274" s="8"/>
      <c r="AB274" s="8"/>
    </row>
    <row r="275" spans="2:28" s="14" customFormat="1">
      <c r="B275" s="8"/>
      <c r="C275" s="8"/>
      <c r="D275" s="8"/>
      <c r="E275" s="8"/>
      <c r="F275" s="8"/>
      <c r="G275" s="76"/>
      <c r="H275" s="76"/>
      <c r="I275" s="76"/>
      <c r="J275" s="15"/>
      <c r="K275" s="15"/>
      <c r="L275" s="101"/>
      <c r="M275" s="15"/>
      <c r="N275" s="82"/>
      <c r="O275" s="100"/>
      <c r="P275" s="100"/>
      <c r="Q275" s="100"/>
      <c r="R275" s="16"/>
      <c r="S275" s="16"/>
      <c r="T275" s="102"/>
      <c r="U275" s="102"/>
      <c r="V275" s="102"/>
      <c r="W275" s="12"/>
      <c r="X275" s="16"/>
      <c r="Y275" s="13"/>
      <c r="Z275" s="8"/>
      <c r="AA275" s="8"/>
      <c r="AB275" s="8"/>
    </row>
    <row r="276" spans="2:28" s="14" customFormat="1">
      <c r="B276" s="8"/>
      <c r="C276" s="8"/>
      <c r="D276" s="8"/>
      <c r="E276" s="8"/>
      <c r="F276" s="8"/>
      <c r="G276" s="76"/>
      <c r="H276" s="76"/>
      <c r="I276" s="76"/>
      <c r="J276" s="15"/>
      <c r="K276" s="15"/>
      <c r="L276" s="101"/>
      <c r="M276" s="15"/>
      <c r="N276" s="82"/>
      <c r="O276" s="100"/>
      <c r="P276" s="100"/>
      <c r="Q276" s="100"/>
      <c r="R276" s="16"/>
      <c r="S276" s="16"/>
      <c r="T276" s="102"/>
      <c r="U276" s="102"/>
      <c r="V276" s="102"/>
      <c r="W276" s="12"/>
      <c r="X276" s="16"/>
      <c r="Y276" s="13"/>
      <c r="Z276" s="8"/>
      <c r="AA276" s="8"/>
      <c r="AB276" s="8"/>
    </row>
    <row r="277" spans="2:28" s="14" customFormat="1">
      <c r="B277" s="8"/>
      <c r="C277" s="8"/>
      <c r="D277" s="8"/>
      <c r="E277" s="8"/>
      <c r="F277" s="8"/>
      <c r="G277" s="76"/>
      <c r="H277" s="76"/>
      <c r="I277" s="76"/>
      <c r="J277" s="15"/>
      <c r="K277" s="15"/>
      <c r="L277" s="101"/>
      <c r="M277" s="15"/>
      <c r="N277" s="82"/>
      <c r="O277" s="100"/>
      <c r="P277" s="100"/>
      <c r="Q277" s="100"/>
      <c r="R277" s="16"/>
      <c r="S277" s="16"/>
      <c r="T277" s="102"/>
      <c r="U277" s="102"/>
      <c r="V277" s="102"/>
      <c r="W277" s="12"/>
      <c r="X277" s="16"/>
      <c r="Y277" s="13"/>
      <c r="Z277" s="8"/>
      <c r="AA277" s="8"/>
      <c r="AB277" s="8"/>
    </row>
    <row r="278" spans="2:28" s="14" customFormat="1">
      <c r="B278" s="8"/>
      <c r="C278" s="8"/>
      <c r="D278" s="8"/>
      <c r="E278" s="8"/>
      <c r="F278" s="8"/>
      <c r="G278" s="76"/>
      <c r="H278" s="76"/>
      <c r="I278" s="76"/>
      <c r="J278" s="15"/>
      <c r="K278" s="15"/>
      <c r="L278" s="101"/>
      <c r="M278" s="15"/>
      <c r="N278" s="82"/>
      <c r="O278" s="100"/>
      <c r="P278" s="100"/>
      <c r="Q278" s="100"/>
      <c r="R278" s="16"/>
      <c r="S278" s="16"/>
      <c r="T278" s="102"/>
      <c r="U278" s="102"/>
      <c r="V278" s="102"/>
      <c r="W278" s="12"/>
      <c r="X278" s="16"/>
      <c r="Y278" s="13"/>
      <c r="Z278" s="8"/>
      <c r="AA278" s="8"/>
      <c r="AB278" s="8"/>
    </row>
    <row r="279" spans="2:28" s="14" customFormat="1">
      <c r="B279" s="8"/>
      <c r="C279" s="8"/>
      <c r="D279" s="8"/>
      <c r="E279" s="8"/>
      <c r="F279" s="8"/>
      <c r="G279" s="76"/>
      <c r="H279" s="76"/>
      <c r="I279" s="76"/>
      <c r="J279" s="15"/>
      <c r="K279" s="15"/>
      <c r="L279" s="101"/>
      <c r="M279" s="15"/>
      <c r="N279" s="82"/>
      <c r="O279" s="100"/>
      <c r="P279" s="100"/>
      <c r="Q279" s="100"/>
      <c r="R279" s="16"/>
      <c r="S279" s="16"/>
      <c r="T279" s="102"/>
      <c r="U279" s="102"/>
      <c r="V279" s="102"/>
      <c r="W279" s="12"/>
      <c r="X279" s="16"/>
      <c r="Y279" s="13"/>
      <c r="Z279" s="8"/>
      <c r="AA279" s="8"/>
      <c r="AB279" s="8"/>
    </row>
    <row r="280" spans="2:28" s="14" customFormat="1">
      <c r="B280" s="8"/>
      <c r="C280" s="8"/>
      <c r="D280" s="8"/>
      <c r="E280" s="8"/>
      <c r="F280" s="8"/>
      <c r="G280" s="76"/>
      <c r="H280" s="76"/>
      <c r="I280" s="76"/>
      <c r="J280" s="15"/>
      <c r="K280" s="15"/>
      <c r="L280" s="101"/>
      <c r="M280" s="15"/>
      <c r="N280" s="82"/>
      <c r="O280" s="100"/>
      <c r="P280" s="100"/>
      <c r="Q280" s="100"/>
      <c r="R280" s="16"/>
      <c r="S280" s="16"/>
      <c r="T280" s="102"/>
      <c r="U280" s="102"/>
      <c r="V280" s="102"/>
      <c r="W280" s="12"/>
      <c r="X280" s="16"/>
      <c r="Y280" s="13"/>
      <c r="Z280" s="8"/>
      <c r="AA280" s="8"/>
      <c r="AB280" s="8"/>
    </row>
    <row r="281" spans="2:28" s="14" customFormat="1">
      <c r="B281" s="8"/>
      <c r="C281" s="8"/>
      <c r="D281" s="8"/>
      <c r="E281" s="8"/>
      <c r="F281" s="8"/>
      <c r="G281" s="76"/>
      <c r="H281" s="76"/>
      <c r="I281" s="76"/>
      <c r="J281" s="15"/>
      <c r="K281" s="15"/>
      <c r="L281" s="101"/>
      <c r="M281" s="15"/>
      <c r="N281" s="82"/>
      <c r="O281" s="100"/>
      <c r="P281" s="100"/>
      <c r="Q281" s="100"/>
      <c r="R281" s="16"/>
      <c r="S281" s="16"/>
      <c r="T281" s="102"/>
      <c r="U281" s="102"/>
      <c r="V281" s="102"/>
      <c r="W281" s="12"/>
      <c r="X281" s="16"/>
      <c r="Y281" s="13"/>
      <c r="Z281" s="8"/>
      <c r="AA281" s="8"/>
      <c r="AB281" s="8"/>
    </row>
    <row r="282" spans="2:28" s="14" customFormat="1">
      <c r="B282" s="8"/>
      <c r="C282" s="8"/>
      <c r="D282" s="8"/>
      <c r="E282" s="8"/>
      <c r="F282" s="8"/>
      <c r="G282" s="76"/>
      <c r="H282" s="76"/>
      <c r="I282" s="76"/>
      <c r="J282" s="15"/>
      <c r="K282" s="15"/>
      <c r="L282" s="101"/>
      <c r="M282" s="15"/>
      <c r="N282" s="82"/>
      <c r="O282" s="100"/>
      <c r="P282" s="100"/>
      <c r="Q282" s="100"/>
      <c r="R282" s="16"/>
      <c r="S282" s="16"/>
      <c r="T282" s="102"/>
      <c r="U282" s="102"/>
      <c r="V282" s="102"/>
      <c r="W282" s="12"/>
      <c r="X282" s="16"/>
      <c r="Y282" s="13"/>
      <c r="Z282" s="8"/>
      <c r="AA282" s="8"/>
      <c r="AB282" s="8"/>
    </row>
    <row r="283" spans="2:28" s="14" customFormat="1">
      <c r="B283" s="8"/>
      <c r="C283" s="8"/>
      <c r="D283" s="8"/>
      <c r="E283" s="8"/>
      <c r="F283" s="8"/>
      <c r="G283" s="76"/>
      <c r="H283" s="76"/>
      <c r="I283" s="76"/>
      <c r="J283" s="15"/>
      <c r="K283" s="15"/>
      <c r="L283" s="101"/>
      <c r="M283" s="15"/>
      <c r="N283" s="82"/>
      <c r="O283" s="100"/>
      <c r="P283" s="100"/>
      <c r="Q283" s="100"/>
      <c r="R283" s="16"/>
      <c r="S283" s="16"/>
      <c r="T283" s="102"/>
      <c r="U283" s="102"/>
      <c r="V283" s="102"/>
      <c r="W283" s="12"/>
      <c r="X283" s="16"/>
      <c r="Y283" s="13"/>
      <c r="Z283" s="8"/>
      <c r="AA283" s="8"/>
      <c r="AB283" s="8"/>
    </row>
    <row r="284" spans="2:28" s="14" customFormat="1">
      <c r="B284" s="8"/>
      <c r="C284" s="8"/>
      <c r="D284" s="8"/>
      <c r="E284" s="8"/>
      <c r="F284" s="8"/>
      <c r="G284" s="76"/>
      <c r="H284" s="76"/>
      <c r="I284" s="76"/>
      <c r="J284" s="15"/>
      <c r="K284" s="15"/>
      <c r="L284" s="101"/>
      <c r="M284" s="15"/>
      <c r="N284" s="82"/>
      <c r="O284" s="100"/>
      <c r="P284" s="100"/>
      <c r="Q284" s="100"/>
      <c r="R284" s="16"/>
      <c r="S284" s="16"/>
      <c r="T284" s="102"/>
      <c r="U284" s="102"/>
      <c r="V284" s="102"/>
      <c r="W284" s="12"/>
      <c r="X284" s="16"/>
      <c r="Y284" s="13"/>
      <c r="Z284" s="8"/>
      <c r="AA284" s="8"/>
      <c r="AB284" s="8"/>
    </row>
    <row r="285" spans="2:28" s="14" customFormat="1">
      <c r="B285" s="8"/>
      <c r="C285" s="8"/>
      <c r="D285" s="8"/>
      <c r="E285" s="8"/>
      <c r="F285" s="8"/>
      <c r="G285" s="76"/>
      <c r="H285" s="76"/>
      <c r="I285" s="76"/>
      <c r="J285" s="15"/>
      <c r="K285" s="15"/>
      <c r="L285" s="101"/>
      <c r="M285" s="15"/>
      <c r="N285" s="82"/>
      <c r="O285" s="100"/>
      <c r="P285" s="100"/>
      <c r="Q285" s="100"/>
      <c r="R285" s="16"/>
      <c r="S285" s="16"/>
      <c r="T285" s="102"/>
      <c r="U285" s="102"/>
      <c r="V285" s="102"/>
      <c r="W285" s="12"/>
      <c r="X285" s="16"/>
      <c r="Y285" s="13"/>
      <c r="Z285" s="8"/>
      <c r="AA285" s="8"/>
      <c r="AB285" s="8"/>
    </row>
    <row r="286" spans="2:28" s="14" customFormat="1">
      <c r="B286" s="8"/>
      <c r="C286" s="8"/>
      <c r="D286" s="8"/>
      <c r="E286" s="8"/>
      <c r="F286" s="8"/>
      <c r="G286" s="76"/>
      <c r="H286" s="76"/>
      <c r="I286" s="76"/>
      <c r="J286" s="15"/>
      <c r="K286" s="15"/>
      <c r="L286" s="101"/>
      <c r="M286" s="15"/>
      <c r="N286" s="82"/>
      <c r="O286" s="100"/>
      <c r="P286" s="100"/>
      <c r="Q286" s="100"/>
      <c r="R286" s="16"/>
      <c r="S286" s="16"/>
      <c r="T286" s="102"/>
      <c r="U286" s="102"/>
      <c r="V286" s="102"/>
      <c r="W286" s="12"/>
      <c r="X286" s="16"/>
      <c r="Y286" s="13"/>
      <c r="Z286" s="8"/>
      <c r="AA286" s="8"/>
      <c r="AB286" s="8"/>
    </row>
    <row r="287" spans="2:28" s="14" customFormat="1">
      <c r="B287" s="8"/>
      <c r="C287" s="8"/>
      <c r="D287" s="8"/>
      <c r="E287" s="8"/>
      <c r="F287" s="8"/>
      <c r="G287" s="76"/>
      <c r="H287" s="76"/>
      <c r="I287" s="76"/>
      <c r="J287" s="15"/>
      <c r="K287" s="15"/>
      <c r="L287" s="101"/>
      <c r="M287" s="15"/>
      <c r="N287" s="82"/>
      <c r="O287" s="100"/>
      <c r="P287" s="100"/>
      <c r="Q287" s="100"/>
      <c r="R287" s="16"/>
      <c r="S287" s="16"/>
      <c r="T287" s="102"/>
      <c r="U287" s="102"/>
      <c r="V287" s="102"/>
      <c r="W287" s="12"/>
      <c r="X287" s="16"/>
      <c r="Y287" s="13"/>
      <c r="Z287" s="8"/>
      <c r="AA287" s="8"/>
      <c r="AB287" s="8"/>
    </row>
    <row r="288" spans="2:28" s="14" customFormat="1">
      <c r="B288" s="8"/>
      <c r="C288" s="8"/>
      <c r="D288" s="8"/>
      <c r="E288" s="8"/>
      <c r="F288" s="8"/>
      <c r="G288" s="76"/>
      <c r="H288" s="76"/>
      <c r="I288" s="76"/>
      <c r="J288" s="15"/>
      <c r="K288" s="15"/>
      <c r="L288" s="101"/>
      <c r="M288" s="15"/>
      <c r="N288" s="82"/>
      <c r="O288" s="100"/>
      <c r="P288" s="100"/>
      <c r="Q288" s="100"/>
      <c r="R288" s="16"/>
      <c r="S288" s="16"/>
      <c r="T288" s="102"/>
      <c r="U288" s="102"/>
      <c r="V288" s="102"/>
      <c r="W288" s="12"/>
      <c r="X288" s="16"/>
      <c r="Y288" s="13"/>
      <c r="Z288" s="8"/>
      <c r="AA288" s="8"/>
      <c r="AB288" s="8"/>
    </row>
    <row r="289" spans="2:28" s="14" customFormat="1">
      <c r="B289" s="8"/>
      <c r="C289" s="8"/>
      <c r="D289" s="8"/>
      <c r="E289" s="8"/>
      <c r="F289" s="8"/>
      <c r="G289" s="76"/>
      <c r="H289" s="76"/>
      <c r="I289" s="76"/>
      <c r="J289" s="15"/>
      <c r="K289" s="15"/>
      <c r="L289" s="101"/>
      <c r="M289" s="15"/>
      <c r="N289" s="82"/>
      <c r="O289" s="100"/>
      <c r="P289" s="100"/>
      <c r="Q289" s="100"/>
      <c r="R289" s="16"/>
      <c r="S289" s="16"/>
      <c r="T289" s="102"/>
      <c r="U289" s="102"/>
      <c r="V289" s="102"/>
      <c r="W289" s="12"/>
      <c r="X289" s="16"/>
      <c r="Y289" s="13"/>
      <c r="Z289" s="8"/>
      <c r="AA289" s="8"/>
      <c r="AB289" s="8"/>
    </row>
    <row r="290" spans="2:28" s="14" customFormat="1">
      <c r="B290" s="8"/>
      <c r="C290" s="8"/>
      <c r="D290" s="8"/>
      <c r="E290" s="8"/>
      <c r="F290" s="8"/>
      <c r="G290" s="76"/>
      <c r="H290" s="76"/>
      <c r="I290" s="76"/>
      <c r="J290" s="15"/>
      <c r="K290" s="15"/>
      <c r="L290" s="101"/>
      <c r="M290" s="15"/>
      <c r="N290" s="82"/>
      <c r="O290" s="100"/>
      <c r="P290" s="100"/>
      <c r="Q290" s="100"/>
      <c r="R290" s="16"/>
      <c r="S290" s="16"/>
      <c r="T290" s="102"/>
      <c r="U290" s="102"/>
      <c r="V290" s="102"/>
      <c r="W290" s="12"/>
      <c r="X290" s="16"/>
      <c r="Y290" s="13"/>
      <c r="Z290" s="8"/>
      <c r="AA290" s="8"/>
      <c r="AB290" s="8"/>
    </row>
    <row r="291" spans="2:28" s="14" customFormat="1">
      <c r="B291" s="8"/>
      <c r="C291" s="8"/>
      <c r="D291" s="8"/>
      <c r="E291" s="8"/>
      <c r="F291" s="8"/>
      <c r="G291" s="76"/>
      <c r="H291" s="76"/>
      <c r="I291" s="76"/>
      <c r="J291" s="15"/>
      <c r="K291" s="15"/>
      <c r="L291" s="101"/>
      <c r="M291" s="15"/>
      <c r="N291" s="82"/>
      <c r="O291" s="100"/>
      <c r="P291" s="100"/>
      <c r="Q291" s="100"/>
      <c r="R291" s="16"/>
      <c r="S291" s="16"/>
      <c r="T291" s="102"/>
      <c r="U291" s="102"/>
      <c r="V291" s="102"/>
      <c r="W291" s="12"/>
      <c r="X291" s="16"/>
      <c r="Y291" s="13"/>
      <c r="Z291" s="8"/>
      <c r="AA291" s="8"/>
      <c r="AB291" s="8"/>
    </row>
    <row r="292" spans="2:28" s="14" customFormat="1">
      <c r="B292" s="8"/>
      <c r="C292" s="8"/>
      <c r="D292" s="8"/>
      <c r="E292" s="8"/>
      <c r="F292" s="8"/>
      <c r="G292" s="76"/>
      <c r="H292" s="76"/>
      <c r="I292" s="76"/>
      <c r="J292" s="15"/>
      <c r="K292" s="15"/>
      <c r="L292" s="101"/>
      <c r="M292" s="15"/>
      <c r="N292" s="82"/>
      <c r="O292" s="100"/>
      <c r="P292" s="100"/>
      <c r="Q292" s="100"/>
      <c r="R292" s="16"/>
      <c r="S292" s="16"/>
      <c r="T292" s="102"/>
      <c r="U292" s="102"/>
      <c r="V292" s="102"/>
      <c r="W292" s="12"/>
      <c r="X292" s="16"/>
      <c r="Y292" s="13"/>
      <c r="Z292" s="8"/>
      <c r="AA292" s="8"/>
      <c r="AB292" s="8"/>
    </row>
    <row r="293" spans="2:28" s="14" customFormat="1">
      <c r="B293" s="8"/>
      <c r="C293" s="8"/>
      <c r="D293" s="8"/>
      <c r="E293" s="8"/>
      <c r="F293" s="8"/>
      <c r="G293" s="76"/>
      <c r="H293" s="76"/>
      <c r="I293" s="76"/>
      <c r="J293" s="15"/>
      <c r="K293" s="15"/>
      <c r="L293" s="101"/>
      <c r="M293" s="15"/>
      <c r="N293" s="82"/>
      <c r="O293" s="100"/>
      <c r="P293" s="100"/>
      <c r="Q293" s="100"/>
      <c r="R293" s="16"/>
      <c r="S293" s="16"/>
      <c r="T293" s="102"/>
      <c r="U293" s="102"/>
      <c r="V293" s="102"/>
      <c r="W293" s="12"/>
      <c r="X293" s="16"/>
      <c r="Y293" s="13"/>
      <c r="Z293" s="8"/>
      <c r="AA293" s="8"/>
      <c r="AB293" s="8"/>
    </row>
    <row r="294" spans="2:28" s="14" customFormat="1">
      <c r="B294" s="8"/>
      <c r="C294" s="8"/>
      <c r="D294" s="8"/>
      <c r="E294" s="8"/>
      <c r="F294" s="8"/>
      <c r="G294" s="76"/>
      <c r="H294" s="76"/>
      <c r="I294" s="76"/>
      <c r="J294" s="15"/>
      <c r="K294" s="15"/>
      <c r="L294" s="101"/>
      <c r="M294" s="15"/>
      <c r="N294" s="82"/>
      <c r="O294" s="100"/>
      <c r="P294" s="100"/>
      <c r="Q294" s="100"/>
      <c r="R294" s="16"/>
      <c r="S294" s="16"/>
      <c r="T294" s="102"/>
      <c r="U294" s="102"/>
      <c r="V294" s="102"/>
      <c r="W294" s="12"/>
      <c r="X294" s="16"/>
      <c r="Y294" s="13"/>
      <c r="Z294" s="8"/>
      <c r="AA294" s="8"/>
      <c r="AB294" s="8"/>
    </row>
    <row r="295" spans="2:28" s="14" customFormat="1">
      <c r="B295" s="8"/>
      <c r="C295" s="8"/>
      <c r="D295" s="8"/>
      <c r="E295" s="8"/>
      <c r="F295" s="8"/>
      <c r="G295" s="76"/>
      <c r="H295" s="76"/>
      <c r="I295" s="76"/>
      <c r="J295" s="15"/>
      <c r="K295" s="15"/>
      <c r="L295" s="101"/>
      <c r="M295" s="15"/>
      <c r="N295" s="82"/>
      <c r="O295" s="100"/>
      <c r="P295" s="100"/>
      <c r="Q295" s="100"/>
      <c r="R295" s="16"/>
      <c r="S295" s="16"/>
      <c r="T295" s="102"/>
      <c r="U295" s="102"/>
      <c r="V295" s="102"/>
      <c r="W295" s="12"/>
      <c r="X295" s="16"/>
      <c r="Y295" s="13"/>
      <c r="Z295" s="8"/>
      <c r="AA295" s="8"/>
      <c r="AB295" s="8"/>
    </row>
    <row r="296" spans="2:28" s="14" customFormat="1">
      <c r="B296" s="8"/>
      <c r="C296" s="8"/>
      <c r="D296" s="8"/>
      <c r="E296" s="8"/>
      <c r="F296" s="8"/>
      <c r="G296" s="76"/>
      <c r="H296" s="76"/>
      <c r="I296" s="76"/>
      <c r="J296" s="15"/>
      <c r="K296" s="15"/>
      <c r="L296" s="101"/>
      <c r="M296" s="15"/>
      <c r="N296" s="82"/>
      <c r="O296" s="100"/>
      <c r="P296" s="100"/>
      <c r="Q296" s="100"/>
      <c r="R296" s="16"/>
      <c r="S296" s="16"/>
      <c r="T296" s="102"/>
      <c r="U296" s="102"/>
      <c r="V296" s="102"/>
      <c r="W296" s="12"/>
      <c r="X296" s="16"/>
      <c r="Y296" s="13"/>
      <c r="Z296" s="8"/>
      <c r="AA296" s="8"/>
      <c r="AB296" s="8"/>
    </row>
    <row r="297" spans="2:28" s="14" customFormat="1">
      <c r="B297" s="8"/>
      <c r="C297" s="8"/>
      <c r="D297" s="8"/>
      <c r="E297" s="8"/>
      <c r="F297" s="8"/>
      <c r="G297" s="76"/>
      <c r="H297" s="76"/>
      <c r="I297" s="76"/>
      <c r="J297" s="15"/>
      <c r="K297" s="15"/>
      <c r="L297" s="101"/>
      <c r="M297" s="15"/>
      <c r="N297" s="82"/>
      <c r="O297" s="100"/>
      <c r="P297" s="100"/>
      <c r="Q297" s="100"/>
      <c r="R297" s="16"/>
      <c r="S297" s="16"/>
      <c r="T297" s="102"/>
      <c r="U297" s="102"/>
      <c r="V297" s="102"/>
      <c r="W297" s="12"/>
      <c r="X297" s="16"/>
      <c r="Y297" s="13"/>
      <c r="Z297" s="8"/>
      <c r="AA297" s="8"/>
      <c r="AB297" s="8"/>
    </row>
    <row r="298" spans="2:28" s="14" customFormat="1">
      <c r="B298" s="8"/>
      <c r="C298" s="8"/>
      <c r="D298" s="8"/>
      <c r="E298" s="8"/>
      <c r="F298" s="8"/>
      <c r="G298" s="76"/>
      <c r="H298" s="76"/>
      <c r="I298" s="76"/>
      <c r="J298" s="15"/>
      <c r="K298" s="15"/>
      <c r="L298" s="101"/>
      <c r="M298" s="15"/>
      <c r="N298" s="82"/>
      <c r="O298" s="100"/>
      <c r="P298" s="100"/>
      <c r="Q298" s="100"/>
      <c r="R298" s="16"/>
      <c r="S298" s="16"/>
      <c r="T298" s="102"/>
      <c r="U298" s="102"/>
      <c r="V298" s="102"/>
      <c r="W298" s="12"/>
      <c r="X298" s="16"/>
      <c r="Y298" s="13"/>
      <c r="Z298" s="8"/>
      <c r="AA298" s="8"/>
      <c r="AB298" s="8"/>
    </row>
    <row r="299" spans="2:28" s="14" customFormat="1">
      <c r="B299" s="8"/>
      <c r="C299" s="8"/>
      <c r="D299" s="8"/>
      <c r="E299" s="8"/>
      <c r="F299" s="8"/>
      <c r="G299" s="76"/>
      <c r="H299" s="76"/>
      <c r="I299" s="76"/>
      <c r="J299" s="15"/>
      <c r="K299" s="15"/>
      <c r="L299" s="101"/>
      <c r="M299" s="15"/>
      <c r="N299" s="82"/>
      <c r="O299" s="100"/>
      <c r="P299" s="100"/>
      <c r="Q299" s="100"/>
      <c r="R299" s="16"/>
      <c r="S299" s="16"/>
      <c r="T299" s="102"/>
      <c r="U299" s="102"/>
      <c r="V299" s="102"/>
      <c r="W299" s="12"/>
      <c r="X299" s="16"/>
      <c r="Y299" s="13"/>
      <c r="Z299" s="8"/>
      <c r="AA299" s="8"/>
      <c r="AB299" s="8"/>
    </row>
    <row r="300" spans="2:28" s="14" customFormat="1">
      <c r="B300" s="8"/>
      <c r="C300" s="8"/>
      <c r="D300" s="8"/>
      <c r="E300" s="8"/>
      <c r="F300" s="8"/>
      <c r="G300" s="76"/>
      <c r="H300" s="76"/>
      <c r="I300" s="76"/>
      <c r="J300" s="15"/>
      <c r="K300" s="15"/>
      <c r="L300" s="101"/>
      <c r="M300" s="15"/>
      <c r="N300" s="82"/>
      <c r="O300" s="100"/>
      <c r="P300" s="100"/>
      <c r="Q300" s="100"/>
      <c r="R300" s="16"/>
      <c r="S300" s="16"/>
      <c r="T300" s="102"/>
      <c r="U300" s="102"/>
      <c r="V300" s="102"/>
      <c r="W300" s="12"/>
      <c r="X300" s="16"/>
      <c r="Y300" s="13"/>
      <c r="Z300" s="8"/>
      <c r="AA300" s="8"/>
      <c r="AB300" s="8"/>
    </row>
    <row r="301" spans="2:28" s="14" customFormat="1">
      <c r="B301" s="8"/>
      <c r="C301" s="8"/>
      <c r="D301" s="8"/>
      <c r="E301" s="8"/>
      <c r="F301" s="8"/>
      <c r="G301" s="76"/>
      <c r="H301" s="76"/>
      <c r="I301" s="76"/>
      <c r="J301" s="15"/>
      <c r="K301" s="15"/>
      <c r="L301" s="101"/>
      <c r="M301" s="15"/>
      <c r="N301" s="82"/>
      <c r="O301" s="100"/>
      <c r="P301" s="100"/>
      <c r="Q301" s="100"/>
      <c r="R301" s="16"/>
      <c r="S301" s="16"/>
      <c r="T301" s="102"/>
      <c r="U301" s="102"/>
      <c r="V301" s="102"/>
      <c r="W301" s="12"/>
      <c r="X301" s="16"/>
      <c r="Y301" s="13"/>
      <c r="Z301" s="8"/>
      <c r="AA301" s="8"/>
      <c r="AB301" s="8"/>
    </row>
    <row r="302" spans="2:28" s="14" customFormat="1">
      <c r="B302" s="8"/>
      <c r="C302" s="8"/>
      <c r="D302" s="8"/>
      <c r="E302" s="8"/>
      <c r="F302" s="8"/>
      <c r="G302" s="76"/>
      <c r="H302" s="76"/>
      <c r="I302" s="76"/>
      <c r="J302" s="15"/>
      <c r="K302" s="15"/>
      <c r="L302" s="101"/>
      <c r="M302" s="15"/>
      <c r="N302" s="82"/>
      <c r="O302" s="100"/>
      <c r="P302" s="100"/>
      <c r="Q302" s="100"/>
      <c r="R302" s="16"/>
      <c r="S302" s="16"/>
      <c r="T302" s="102"/>
      <c r="U302" s="102"/>
      <c r="V302" s="102"/>
      <c r="W302" s="12"/>
      <c r="X302" s="16"/>
      <c r="Y302" s="13"/>
      <c r="Z302" s="8"/>
      <c r="AA302" s="8"/>
      <c r="AB302" s="8"/>
    </row>
    <row r="303" spans="2:28" s="14" customFormat="1">
      <c r="B303" s="8"/>
      <c r="C303" s="8"/>
      <c r="D303" s="8"/>
      <c r="E303" s="8"/>
      <c r="F303" s="8"/>
      <c r="G303" s="76"/>
      <c r="H303" s="76"/>
      <c r="I303" s="76"/>
      <c r="J303" s="15"/>
      <c r="K303" s="15"/>
      <c r="L303" s="101"/>
      <c r="M303" s="15"/>
      <c r="N303" s="82"/>
      <c r="O303" s="100"/>
      <c r="P303" s="100"/>
      <c r="Q303" s="100"/>
      <c r="R303" s="16"/>
      <c r="S303" s="16"/>
      <c r="T303" s="102"/>
      <c r="U303" s="102"/>
      <c r="V303" s="102"/>
      <c r="W303" s="12"/>
      <c r="X303" s="16"/>
      <c r="Y303" s="13"/>
      <c r="Z303" s="8"/>
      <c r="AA303" s="8"/>
      <c r="AB303" s="8"/>
    </row>
    <row r="304" spans="2:28" s="14" customFormat="1">
      <c r="B304" s="8"/>
      <c r="C304" s="8"/>
      <c r="D304" s="8"/>
      <c r="E304" s="8"/>
      <c r="F304" s="8"/>
      <c r="G304" s="76"/>
      <c r="H304" s="76"/>
      <c r="I304" s="76"/>
      <c r="J304" s="15"/>
      <c r="K304" s="15"/>
      <c r="L304" s="101"/>
      <c r="M304" s="15"/>
      <c r="N304" s="82"/>
      <c r="O304" s="100"/>
      <c r="P304" s="100"/>
      <c r="Q304" s="100"/>
      <c r="R304" s="16"/>
      <c r="S304" s="16"/>
      <c r="T304" s="102"/>
      <c r="U304" s="102"/>
      <c r="V304" s="102"/>
      <c r="W304" s="12"/>
      <c r="X304" s="16"/>
      <c r="Y304" s="13"/>
      <c r="Z304" s="8"/>
      <c r="AA304" s="8"/>
      <c r="AB304" s="8"/>
    </row>
    <row r="305" spans="2:28" s="14" customFormat="1">
      <c r="B305" s="8"/>
      <c r="C305" s="8"/>
      <c r="D305" s="8"/>
      <c r="E305" s="8"/>
      <c r="F305" s="8"/>
      <c r="G305" s="76"/>
      <c r="H305" s="76"/>
      <c r="I305" s="76"/>
      <c r="J305" s="15"/>
      <c r="K305" s="15"/>
      <c r="L305" s="101"/>
      <c r="M305" s="15"/>
      <c r="N305" s="82"/>
      <c r="O305" s="100"/>
      <c r="P305" s="100"/>
      <c r="Q305" s="100"/>
      <c r="R305" s="16"/>
      <c r="S305" s="16"/>
      <c r="T305" s="102"/>
      <c r="U305" s="102"/>
      <c r="V305" s="102"/>
      <c r="W305" s="12"/>
      <c r="X305" s="16"/>
      <c r="Y305" s="13"/>
      <c r="Z305" s="8"/>
      <c r="AA305" s="8"/>
      <c r="AB305" s="8"/>
    </row>
    <row r="306" spans="2:28" s="14" customFormat="1">
      <c r="B306" s="8"/>
      <c r="C306" s="8"/>
      <c r="D306" s="8"/>
      <c r="E306" s="8"/>
      <c r="F306" s="8"/>
      <c r="G306" s="76"/>
      <c r="H306" s="76"/>
      <c r="I306" s="76"/>
      <c r="J306" s="15"/>
      <c r="K306" s="15"/>
      <c r="L306" s="101"/>
      <c r="M306" s="15"/>
      <c r="N306" s="82"/>
      <c r="O306" s="100"/>
      <c r="P306" s="100"/>
      <c r="Q306" s="100"/>
      <c r="R306" s="16"/>
      <c r="S306" s="16"/>
      <c r="T306" s="102"/>
      <c r="U306" s="102"/>
      <c r="V306" s="102"/>
      <c r="W306" s="12"/>
      <c r="X306" s="16"/>
      <c r="Y306" s="13"/>
      <c r="Z306" s="8"/>
      <c r="AA306" s="8"/>
      <c r="AB306" s="8"/>
    </row>
    <row r="307" spans="2:28" s="14" customFormat="1">
      <c r="B307" s="8"/>
      <c r="C307" s="8"/>
      <c r="D307" s="8"/>
      <c r="E307" s="8"/>
      <c r="F307" s="8"/>
      <c r="G307" s="76"/>
      <c r="H307" s="76"/>
      <c r="I307" s="76"/>
      <c r="J307" s="15"/>
      <c r="K307" s="15"/>
      <c r="L307" s="101"/>
      <c r="M307" s="15"/>
      <c r="N307" s="82"/>
      <c r="O307" s="100"/>
      <c r="P307" s="100"/>
      <c r="Q307" s="100"/>
      <c r="R307" s="16"/>
      <c r="S307" s="16"/>
      <c r="T307" s="102"/>
      <c r="U307" s="102"/>
      <c r="V307" s="102"/>
      <c r="W307" s="12"/>
      <c r="X307" s="16"/>
      <c r="Y307" s="13"/>
      <c r="Z307" s="8"/>
      <c r="AA307" s="8"/>
      <c r="AB307" s="8"/>
    </row>
    <row r="308" spans="2:28" s="14" customFormat="1">
      <c r="B308" s="8"/>
      <c r="C308" s="8"/>
      <c r="D308" s="8"/>
      <c r="E308" s="8"/>
      <c r="F308" s="8"/>
      <c r="G308" s="76"/>
      <c r="H308" s="76"/>
      <c r="I308" s="76"/>
      <c r="J308" s="15"/>
      <c r="K308" s="15"/>
      <c r="L308" s="101"/>
      <c r="M308" s="15"/>
      <c r="N308" s="82"/>
      <c r="O308" s="100"/>
      <c r="P308" s="100"/>
      <c r="Q308" s="100"/>
      <c r="R308" s="16"/>
      <c r="S308" s="16"/>
      <c r="T308" s="102"/>
      <c r="U308" s="102"/>
      <c r="V308" s="102"/>
      <c r="W308" s="12"/>
      <c r="X308" s="16"/>
      <c r="Y308" s="13"/>
      <c r="Z308" s="8"/>
      <c r="AA308" s="8"/>
      <c r="AB308" s="8"/>
    </row>
    <row r="309" spans="2:28" s="14" customFormat="1">
      <c r="B309" s="8"/>
      <c r="C309" s="8"/>
      <c r="D309" s="8"/>
      <c r="E309" s="8"/>
      <c r="F309" s="8"/>
      <c r="G309" s="76"/>
      <c r="H309" s="76"/>
      <c r="I309" s="76"/>
      <c r="J309" s="15"/>
      <c r="K309" s="15"/>
      <c r="L309" s="101"/>
      <c r="M309" s="15"/>
      <c r="N309" s="82"/>
      <c r="O309" s="100"/>
      <c r="P309" s="100"/>
      <c r="Q309" s="100"/>
      <c r="R309" s="16"/>
      <c r="S309" s="16"/>
      <c r="T309" s="102"/>
      <c r="U309" s="102"/>
      <c r="V309" s="102"/>
      <c r="W309" s="12"/>
      <c r="X309" s="16"/>
      <c r="Y309" s="13"/>
      <c r="Z309" s="8"/>
      <c r="AA309" s="8"/>
      <c r="AB309" s="8"/>
    </row>
    <row r="310" spans="2:28" s="14" customFormat="1">
      <c r="B310" s="8"/>
      <c r="C310" s="8"/>
      <c r="D310" s="8"/>
      <c r="E310" s="8"/>
      <c r="F310" s="8"/>
      <c r="G310" s="76"/>
      <c r="H310" s="76"/>
      <c r="I310" s="76"/>
      <c r="J310" s="15"/>
      <c r="K310" s="15"/>
      <c r="L310" s="101"/>
      <c r="M310" s="15"/>
      <c r="N310" s="82"/>
      <c r="O310" s="100"/>
      <c r="P310" s="100"/>
      <c r="Q310" s="100"/>
      <c r="R310" s="16"/>
      <c r="S310" s="16"/>
      <c r="T310" s="102"/>
      <c r="U310" s="102"/>
      <c r="V310" s="102"/>
      <c r="W310" s="12"/>
      <c r="X310" s="16"/>
      <c r="Y310" s="13"/>
      <c r="Z310" s="8"/>
      <c r="AA310" s="8"/>
      <c r="AB310" s="8"/>
    </row>
    <row r="311" spans="2:28" s="14" customFormat="1">
      <c r="B311" s="8"/>
      <c r="C311" s="8"/>
      <c r="D311" s="8"/>
      <c r="E311" s="8"/>
      <c r="F311" s="8"/>
      <c r="G311" s="76"/>
      <c r="H311" s="76"/>
      <c r="I311" s="76"/>
      <c r="J311" s="15"/>
      <c r="K311" s="15"/>
      <c r="L311" s="101"/>
      <c r="M311" s="15"/>
      <c r="N311" s="82"/>
      <c r="O311" s="100"/>
      <c r="P311" s="100"/>
      <c r="Q311" s="100"/>
      <c r="R311" s="16"/>
      <c r="S311" s="16"/>
      <c r="T311" s="102"/>
      <c r="U311" s="102"/>
      <c r="V311" s="102"/>
      <c r="W311" s="12"/>
      <c r="X311" s="16"/>
      <c r="Y311" s="13"/>
      <c r="Z311" s="8"/>
      <c r="AA311" s="8"/>
      <c r="AB311" s="8"/>
    </row>
    <row r="312" spans="2:28" s="14" customFormat="1">
      <c r="B312" s="8"/>
      <c r="C312" s="8"/>
      <c r="D312" s="8"/>
      <c r="E312" s="8"/>
      <c r="F312" s="8"/>
      <c r="G312" s="76"/>
      <c r="H312" s="76"/>
      <c r="I312" s="76"/>
      <c r="J312" s="15"/>
      <c r="K312" s="15"/>
      <c r="L312" s="101"/>
      <c r="M312" s="15"/>
      <c r="N312" s="82"/>
      <c r="O312" s="100"/>
      <c r="P312" s="100"/>
      <c r="Q312" s="100"/>
      <c r="R312" s="16"/>
      <c r="S312" s="16"/>
      <c r="T312" s="102"/>
      <c r="U312" s="102"/>
      <c r="V312" s="102"/>
      <c r="W312" s="12"/>
      <c r="X312" s="16"/>
      <c r="Y312" s="13"/>
      <c r="Z312" s="8"/>
      <c r="AA312" s="8"/>
      <c r="AB312" s="8"/>
    </row>
    <row r="313" spans="2:28" s="14" customFormat="1">
      <c r="B313" s="8"/>
      <c r="C313" s="8"/>
      <c r="D313" s="8"/>
      <c r="E313" s="8"/>
      <c r="F313" s="8"/>
      <c r="G313" s="76"/>
      <c r="H313" s="76"/>
      <c r="I313" s="76"/>
      <c r="J313" s="15"/>
      <c r="K313" s="15"/>
      <c r="L313" s="101"/>
      <c r="M313" s="15"/>
      <c r="N313" s="82"/>
      <c r="O313" s="100"/>
      <c r="P313" s="100"/>
      <c r="Q313" s="100"/>
      <c r="R313" s="16"/>
      <c r="S313" s="16"/>
      <c r="T313" s="102"/>
      <c r="U313" s="102"/>
      <c r="V313" s="102"/>
      <c r="W313" s="12"/>
      <c r="X313" s="16"/>
      <c r="Y313" s="13"/>
      <c r="Z313" s="8"/>
      <c r="AA313" s="8"/>
      <c r="AB313" s="8"/>
    </row>
    <row r="314" spans="2:28" s="14" customFormat="1">
      <c r="B314" s="8"/>
      <c r="C314" s="8"/>
      <c r="D314" s="8"/>
      <c r="E314" s="8"/>
      <c r="F314" s="8"/>
      <c r="G314" s="76"/>
      <c r="H314" s="76"/>
      <c r="I314" s="76"/>
      <c r="J314" s="15"/>
      <c r="K314" s="15"/>
      <c r="L314" s="101"/>
      <c r="M314" s="15"/>
      <c r="N314" s="82"/>
      <c r="O314" s="100"/>
      <c r="P314" s="100"/>
      <c r="Q314" s="100"/>
      <c r="R314" s="16"/>
      <c r="S314" s="16"/>
      <c r="T314" s="102"/>
      <c r="U314" s="102"/>
      <c r="V314" s="102"/>
      <c r="W314" s="12"/>
      <c r="X314" s="16"/>
      <c r="Y314" s="13"/>
      <c r="Z314" s="8"/>
      <c r="AA314" s="8"/>
      <c r="AB314" s="8"/>
    </row>
    <row r="315" spans="2:28" s="14" customFormat="1">
      <c r="B315" s="8"/>
      <c r="C315" s="8"/>
      <c r="D315" s="8"/>
      <c r="E315" s="8"/>
      <c r="F315" s="8"/>
      <c r="G315" s="76"/>
      <c r="H315" s="76"/>
      <c r="I315" s="76"/>
      <c r="J315" s="15"/>
      <c r="K315" s="15"/>
      <c r="L315" s="101"/>
      <c r="M315" s="15"/>
      <c r="N315" s="82"/>
      <c r="O315" s="100"/>
      <c r="P315" s="100"/>
      <c r="Q315" s="100"/>
      <c r="R315" s="16"/>
      <c r="S315" s="16"/>
      <c r="T315" s="102"/>
      <c r="U315" s="102"/>
      <c r="V315" s="102"/>
      <c r="W315" s="12"/>
      <c r="X315" s="16"/>
      <c r="Y315" s="13"/>
      <c r="Z315" s="8"/>
      <c r="AA315" s="8"/>
      <c r="AB315" s="8"/>
    </row>
    <row r="316" spans="2:28" s="14" customFormat="1">
      <c r="B316" s="8"/>
      <c r="C316" s="8"/>
      <c r="D316" s="8"/>
      <c r="E316" s="8"/>
      <c r="F316" s="8"/>
      <c r="G316" s="76"/>
      <c r="H316" s="76"/>
      <c r="I316" s="76"/>
      <c r="J316" s="15"/>
      <c r="K316" s="15"/>
      <c r="L316" s="101"/>
      <c r="M316" s="15"/>
      <c r="N316" s="82"/>
      <c r="O316" s="100"/>
      <c r="P316" s="100"/>
      <c r="Q316" s="100"/>
      <c r="R316" s="16"/>
      <c r="S316" s="16"/>
      <c r="T316" s="102"/>
      <c r="U316" s="102"/>
      <c r="V316" s="102"/>
      <c r="W316" s="12"/>
      <c r="X316" s="16"/>
      <c r="Y316" s="13"/>
      <c r="Z316" s="8"/>
      <c r="AA316" s="8"/>
      <c r="AB316" s="8"/>
    </row>
    <row r="317" spans="2:28" s="14" customFormat="1">
      <c r="B317" s="8"/>
      <c r="C317" s="8"/>
      <c r="D317" s="8"/>
      <c r="E317" s="8"/>
      <c r="F317" s="8"/>
      <c r="G317" s="76"/>
      <c r="H317" s="76"/>
      <c r="I317" s="76"/>
      <c r="J317" s="15"/>
      <c r="K317" s="15"/>
      <c r="L317" s="101"/>
      <c r="M317" s="15"/>
      <c r="N317" s="82"/>
      <c r="O317" s="100"/>
      <c r="P317" s="100"/>
      <c r="Q317" s="100"/>
      <c r="R317" s="16"/>
      <c r="S317" s="16"/>
      <c r="T317" s="102"/>
      <c r="U317" s="102"/>
      <c r="V317" s="102"/>
      <c r="W317" s="12"/>
      <c r="X317" s="16"/>
      <c r="Y317" s="13"/>
      <c r="Z317" s="8"/>
      <c r="AA317" s="8"/>
      <c r="AB317" s="8"/>
    </row>
    <row r="318" spans="2:28" s="14" customFormat="1">
      <c r="B318" s="8"/>
      <c r="C318" s="8"/>
      <c r="D318" s="8"/>
      <c r="E318" s="8"/>
      <c r="F318" s="8"/>
      <c r="G318" s="76"/>
      <c r="H318" s="76"/>
      <c r="I318" s="76"/>
      <c r="J318" s="15"/>
      <c r="K318" s="15"/>
      <c r="L318" s="101"/>
      <c r="M318" s="15"/>
      <c r="N318" s="82"/>
      <c r="O318" s="100"/>
      <c r="P318" s="100"/>
      <c r="Q318" s="100"/>
      <c r="R318" s="16"/>
      <c r="S318" s="16"/>
      <c r="T318" s="102"/>
      <c r="U318" s="102"/>
      <c r="V318" s="102"/>
      <c r="W318" s="12"/>
      <c r="X318" s="16"/>
      <c r="Y318" s="13"/>
      <c r="Z318" s="8"/>
      <c r="AA318" s="8"/>
      <c r="AB318" s="8"/>
    </row>
    <row r="319" spans="2:28" s="14" customFormat="1">
      <c r="B319" s="8"/>
      <c r="C319" s="8"/>
      <c r="D319" s="8"/>
      <c r="E319" s="8"/>
      <c r="F319" s="8"/>
      <c r="G319" s="76"/>
      <c r="H319" s="76"/>
      <c r="I319" s="76"/>
      <c r="J319" s="15"/>
      <c r="K319" s="15"/>
      <c r="L319" s="101"/>
      <c r="M319" s="15"/>
      <c r="N319" s="82"/>
      <c r="O319" s="100"/>
      <c r="P319" s="100"/>
      <c r="Q319" s="100"/>
      <c r="R319" s="16"/>
      <c r="S319" s="16"/>
      <c r="T319" s="102"/>
      <c r="U319" s="102"/>
      <c r="V319" s="102"/>
      <c r="W319" s="12"/>
      <c r="X319" s="16"/>
      <c r="Y319" s="13"/>
      <c r="Z319" s="8"/>
      <c r="AA319" s="8"/>
      <c r="AB319" s="8"/>
    </row>
    <row r="320" spans="2:28" s="14" customFormat="1">
      <c r="B320" s="8"/>
      <c r="C320" s="8"/>
      <c r="D320" s="8"/>
      <c r="E320" s="8"/>
      <c r="F320" s="8"/>
      <c r="G320" s="76"/>
      <c r="H320" s="76"/>
      <c r="I320" s="76"/>
      <c r="J320" s="15"/>
      <c r="K320" s="15"/>
      <c r="L320" s="101"/>
      <c r="M320" s="15"/>
      <c r="N320" s="82"/>
      <c r="O320" s="100"/>
      <c r="P320" s="100"/>
      <c r="Q320" s="100"/>
      <c r="R320" s="16"/>
      <c r="S320" s="16"/>
      <c r="T320" s="102"/>
      <c r="U320" s="102"/>
      <c r="V320" s="102"/>
      <c r="W320" s="12"/>
      <c r="X320" s="16"/>
      <c r="Y320" s="13"/>
      <c r="Z320" s="8"/>
      <c r="AA320" s="8"/>
      <c r="AB320" s="8"/>
    </row>
    <row r="321" spans="2:28" s="14" customFormat="1">
      <c r="B321" s="8"/>
      <c r="C321" s="8"/>
      <c r="D321" s="8"/>
      <c r="E321" s="8"/>
      <c r="F321" s="8"/>
      <c r="G321" s="76"/>
      <c r="H321" s="76"/>
      <c r="I321" s="76"/>
      <c r="J321" s="15"/>
      <c r="K321" s="15"/>
      <c r="L321" s="101"/>
      <c r="M321" s="15"/>
      <c r="N321" s="82"/>
      <c r="O321" s="100"/>
      <c r="P321" s="100"/>
      <c r="Q321" s="100"/>
      <c r="R321" s="16"/>
      <c r="S321" s="16"/>
      <c r="T321" s="102"/>
      <c r="U321" s="102"/>
      <c r="V321" s="102"/>
      <c r="W321" s="12"/>
      <c r="X321" s="16"/>
      <c r="Y321" s="13"/>
      <c r="Z321" s="8"/>
      <c r="AA321" s="8"/>
      <c r="AB321" s="8"/>
    </row>
    <row r="322" spans="2:28" s="14" customFormat="1">
      <c r="B322" s="8"/>
      <c r="C322" s="8"/>
      <c r="D322" s="8"/>
      <c r="E322" s="8"/>
      <c r="F322" s="8"/>
      <c r="G322" s="76"/>
      <c r="H322" s="76"/>
      <c r="I322" s="76"/>
      <c r="J322" s="15"/>
      <c r="K322" s="15"/>
      <c r="L322" s="101"/>
      <c r="M322" s="15"/>
      <c r="N322" s="82"/>
      <c r="O322" s="100"/>
      <c r="P322" s="100"/>
      <c r="Q322" s="100"/>
      <c r="R322" s="16"/>
      <c r="S322" s="16"/>
      <c r="T322" s="102"/>
      <c r="U322" s="102"/>
      <c r="V322" s="102"/>
      <c r="W322" s="12"/>
      <c r="X322" s="16"/>
      <c r="Y322" s="13"/>
      <c r="Z322" s="8"/>
      <c r="AA322" s="8"/>
      <c r="AB322" s="8"/>
    </row>
    <row r="323" spans="2:28" s="14" customFormat="1">
      <c r="B323" s="8"/>
      <c r="C323" s="8"/>
      <c r="D323" s="8"/>
      <c r="E323" s="8"/>
      <c r="F323" s="8"/>
      <c r="G323" s="76"/>
      <c r="H323" s="76"/>
      <c r="I323" s="76"/>
      <c r="J323" s="15"/>
      <c r="K323" s="15"/>
      <c r="L323" s="101"/>
      <c r="M323" s="15"/>
      <c r="N323" s="82"/>
      <c r="O323" s="100"/>
      <c r="P323" s="100"/>
      <c r="Q323" s="100"/>
      <c r="R323" s="16"/>
      <c r="S323" s="16"/>
      <c r="T323" s="102"/>
      <c r="U323" s="102"/>
      <c r="V323" s="102"/>
      <c r="W323" s="12"/>
      <c r="X323" s="16"/>
      <c r="Y323" s="13"/>
      <c r="Z323" s="8"/>
      <c r="AA323" s="8"/>
      <c r="AB323" s="8"/>
    </row>
    <row r="324" spans="2:28" s="14" customFormat="1">
      <c r="B324" s="8"/>
      <c r="C324" s="8"/>
      <c r="D324" s="8"/>
      <c r="E324" s="8"/>
      <c r="F324" s="8"/>
      <c r="G324" s="76"/>
      <c r="H324" s="76"/>
      <c r="I324" s="76"/>
      <c r="J324" s="15"/>
      <c r="K324" s="15"/>
      <c r="L324" s="101"/>
      <c r="M324" s="15"/>
      <c r="N324" s="82"/>
      <c r="O324" s="100"/>
      <c r="P324" s="100"/>
      <c r="Q324" s="100"/>
      <c r="R324" s="16"/>
      <c r="S324" s="16"/>
      <c r="T324" s="102"/>
      <c r="U324" s="102"/>
      <c r="V324" s="102"/>
      <c r="W324" s="12"/>
      <c r="X324" s="16"/>
      <c r="Y324" s="13"/>
      <c r="Z324" s="8"/>
      <c r="AA324" s="8"/>
      <c r="AB324" s="8"/>
    </row>
    <row r="325" spans="2:28" s="14" customFormat="1">
      <c r="B325" s="8"/>
      <c r="C325" s="8"/>
      <c r="D325" s="8"/>
      <c r="E325" s="8"/>
      <c r="F325" s="8"/>
      <c r="G325" s="76"/>
      <c r="H325" s="76"/>
      <c r="I325" s="76"/>
      <c r="J325" s="15"/>
      <c r="K325" s="15"/>
      <c r="L325" s="101"/>
      <c r="M325" s="15"/>
      <c r="N325" s="82"/>
      <c r="O325" s="100"/>
      <c r="P325" s="100"/>
      <c r="Q325" s="100"/>
      <c r="R325" s="16"/>
      <c r="S325" s="16"/>
      <c r="T325" s="102"/>
      <c r="U325" s="102"/>
      <c r="V325" s="102"/>
      <c r="W325" s="12"/>
      <c r="X325" s="16"/>
      <c r="Y325" s="13"/>
      <c r="Z325" s="8"/>
      <c r="AA325" s="8"/>
      <c r="AB325" s="8"/>
    </row>
    <row r="326" spans="2:28" s="14" customFormat="1">
      <c r="B326" s="8"/>
      <c r="C326" s="8"/>
      <c r="D326" s="8"/>
      <c r="E326" s="8"/>
      <c r="F326" s="8"/>
      <c r="G326" s="76"/>
      <c r="H326" s="76"/>
      <c r="I326" s="76"/>
      <c r="J326" s="15"/>
      <c r="K326" s="15"/>
      <c r="L326" s="101"/>
      <c r="M326" s="15"/>
      <c r="N326" s="82"/>
      <c r="O326" s="100"/>
      <c r="P326" s="100"/>
      <c r="Q326" s="100"/>
      <c r="R326" s="16"/>
      <c r="S326" s="16"/>
      <c r="T326" s="102"/>
      <c r="U326" s="102"/>
      <c r="V326" s="102"/>
      <c r="W326" s="12"/>
      <c r="X326" s="16"/>
      <c r="Y326" s="13"/>
      <c r="Z326" s="8"/>
      <c r="AA326" s="8"/>
      <c r="AB326" s="8"/>
    </row>
    <row r="327" spans="2:28" s="14" customFormat="1">
      <c r="B327" s="8"/>
      <c r="C327" s="8"/>
      <c r="D327" s="8"/>
      <c r="E327" s="8"/>
      <c r="F327" s="8"/>
      <c r="G327" s="76"/>
      <c r="H327" s="76"/>
      <c r="I327" s="76"/>
      <c r="J327" s="15"/>
      <c r="K327" s="15"/>
      <c r="L327" s="101"/>
      <c r="M327" s="15"/>
      <c r="N327" s="82"/>
      <c r="O327" s="100"/>
      <c r="P327" s="100"/>
      <c r="Q327" s="100"/>
      <c r="R327" s="16"/>
      <c r="S327" s="16"/>
      <c r="T327" s="102"/>
      <c r="U327" s="102"/>
      <c r="V327" s="102"/>
      <c r="W327" s="12"/>
      <c r="X327" s="16"/>
      <c r="Y327" s="13"/>
      <c r="Z327" s="8"/>
      <c r="AA327" s="8"/>
      <c r="AB327" s="8"/>
    </row>
    <row r="328" spans="2:28" s="14" customFormat="1">
      <c r="B328" s="8"/>
      <c r="C328" s="8"/>
      <c r="D328" s="8"/>
      <c r="E328" s="8"/>
      <c r="F328" s="8"/>
      <c r="G328" s="76"/>
      <c r="H328" s="76"/>
      <c r="I328" s="76"/>
      <c r="J328" s="15"/>
      <c r="K328" s="15"/>
      <c r="L328" s="101"/>
      <c r="M328" s="15"/>
      <c r="N328" s="82"/>
      <c r="O328" s="100"/>
      <c r="P328" s="100"/>
      <c r="Q328" s="100"/>
      <c r="R328" s="16"/>
      <c r="S328" s="16"/>
      <c r="T328" s="102"/>
      <c r="U328" s="102"/>
      <c r="V328" s="102"/>
      <c r="W328" s="12"/>
      <c r="X328" s="16"/>
      <c r="Y328" s="13"/>
      <c r="Z328" s="8"/>
      <c r="AA328" s="8"/>
      <c r="AB328" s="8"/>
    </row>
    <row r="329" spans="2:28" s="14" customFormat="1">
      <c r="B329" s="8"/>
      <c r="C329" s="8"/>
      <c r="D329" s="8"/>
      <c r="E329" s="8"/>
      <c r="F329" s="8"/>
      <c r="G329" s="76"/>
      <c r="H329" s="76"/>
      <c r="I329" s="76"/>
      <c r="J329" s="15"/>
      <c r="K329" s="15"/>
      <c r="L329" s="101"/>
      <c r="M329" s="15"/>
      <c r="N329" s="82"/>
      <c r="O329" s="100"/>
      <c r="P329" s="100"/>
      <c r="Q329" s="100"/>
      <c r="R329" s="16"/>
      <c r="S329" s="16"/>
      <c r="T329" s="102"/>
      <c r="U329" s="102"/>
      <c r="V329" s="102"/>
      <c r="W329" s="12"/>
      <c r="X329" s="16"/>
      <c r="Y329" s="13"/>
      <c r="Z329" s="8"/>
      <c r="AA329" s="8"/>
      <c r="AB329" s="8"/>
    </row>
    <row r="330" spans="2:28" s="14" customFormat="1">
      <c r="B330" s="8"/>
      <c r="C330" s="8"/>
      <c r="D330" s="8"/>
      <c r="E330" s="8"/>
      <c r="F330" s="8"/>
      <c r="G330" s="76"/>
      <c r="H330" s="76"/>
      <c r="I330" s="76"/>
      <c r="J330" s="15"/>
      <c r="K330" s="15"/>
      <c r="L330" s="101"/>
      <c r="M330" s="15"/>
      <c r="N330" s="82"/>
      <c r="O330" s="100"/>
      <c r="P330" s="100"/>
      <c r="Q330" s="100"/>
      <c r="R330" s="16"/>
      <c r="S330" s="16"/>
      <c r="T330" s="102"/>
      <c r="U330" s="102"/>
      <c r="V330" s="102"/>
      <c r="W330" s="12"/>
      <c r="X330" s="16"/>
      <c r="Y330" s="13"/>
      <c r="Z330" s="8"/>
      <c r="AA330" s="8"/>
      <c r="AB330" s="8"/>
    </row>
    <row r="331" spans="2:28" s="14" customFormat="1">
      <c r="B331" s="8"/>
      <c r="C331" s="8"/>
      <c r="D331" s="8"/>
      <c r="E331" s="8"/>
      <c r="F331" s="8"/>
      <c r="G331" s="76"/>
      <c r="H331" s="76"/>
      <c r="I331" s="76"/>
      <c r="J331" s="15"/>
      <c r="K331" s="15"/>
      <c r="L331" s="101"/>
      <c r="M331" s="15"/>
      <c r="N331" s="82"/>
      <c r="O331" s="100"/>
      <c r="P331" s="100"/>
      <c r="Q331" s="100"/>
      <c r="R331" s="16"/>
      <c r="S331" s="16"/>
      <c r="T331" s="102"/>
      <c r="U331" s="102"/>
      <c r="V331" s="102"/>
      <c r="W331" s="12"/>
      <c r="X331" s="16"/>
      <c r="Y331" s="13"/>
      <c r="Z331" s="8"/>
      <c r="AA331" s="8"/>
      <c r="AB331" s="8"/>
    </row>
    <row r="332" spans="2:28" s="14" customFormat="1">
      <c r="B332" s="8"/>
      <c r="C332" s="8"/>
      <c r="D332" s="8"/>
      <c r="E332" s="8"/>
      <c r="F332" s="8"/>
      <c r="G332" s="76"/>
      <c r="H332" s="76"/>
      <c r="I332" s="76"/>
      <c r="J332" s="15"/>
      <c r="K332" s="15"/>
      <c r="L332" s="101"/>
      <c r="M332" s="15"/>
      <c r="N332" s="82"/>
      <c r="O332" s="100"/>
      <c r="P332" s="100"/>
      <c r="Q332" s="100"/>
      <c r="R332" s="16"/>
      <c r="S332" s="16"/>
      <c r="T332" s="102"/>
      <c r="U332" s="102"/>
      <c r="V332" s="102"/>
      <c r="W332" s="12"/>
      <c r="X332" s="16"/>
      <c r="Y332" s="13"/>
      <c r="Z332" s="8"/>
      <c r="AA332" s="8"/>
      <c r="AB332" s="8"/>
    </row>
    <row r="333" spans="2:28" s="14" customFormat="1">
      <c r="B333" s="8"/>
      <c r="C333" s="8"/>
      <c r="D333" s="8"/>
      <c r="E333" s="8"/>
      <c r="F333" s="8"/>
      <c r="G333" s="76"/>
      <c r="H333" s="76"/>
      <c r="I333" s="76"/>
      <c r="J333" s="15"/>
      <c r="K333" s="15"/>
      <c r="L333" s="101"/>
      <c r="M333" s="15"/>
      <c r="N333" s="82"/>
      <c r="O333" s="100"/>
      <c r="P333" s="100"/>
      <c r="Q333" s="100"/>
      <c r="R333" s="16"/>
      <c r="S333" s="16"/>
      <c r="T333" s="102"/>
      <c r="U333" s="102"/>
      <c r="V333" s="102"/>
      <c r="W333" s="12"/>
      <c r="X333" s="16"/>
      <c r="Y333" s="13"/>
      <c r="Z333" s="8"/>
      <c r="AA333" s="8"/>
      <c r="AB333" s="8"/>
    </row>
    <row r="334" spans="2:28" s="14" customFormat="1">
      <c r="B334" s="8"/>
      <c r="C334" s="8"/>
      <c r="D334" s="8"/>
      <c r="E334" s="8"/>
      <c r="F334" s="8"/>
      <c r="G334" s="76"/>
      <c r="H334" s="76"/>
      <c r="I334" s="76"/>
      <c r="J334" s="15"/>
      <c r="K334" s="15"/>
      <c r="L334" s="101"/>
      <c r="M334" s="15"/>
      <c r="N334" s="82"/>
      <c r="O334" s="100"/>
      <c r="P334" s="100"/>
      <c r="Q334" s="100"/>
      <c r="R334" s="16"/>
      <c r="S334" s="16"/>
      <c r="T334" s="102"/>
      <c r="U334" s="102"/>
      <c r="V334" s="102"/>
      <c r="W334" s="12"/>
      <c r="X334" s="16"/>
      <c r="Y334" s="13"/>
      <c r="Z334" s="8"/>
      <c r="AA334" s="8"/>
      <c r="AB334" s="8"/>
    </row>
    <row r="335" spans="2:28" s="14" customFormat="1">
      <c r="B335" s="8"/>
      <c r="C335" s="8"/>
      <c r="D335" s="8"/>
      <c r="E335" s="8"/>
      <c r="F335" s="8"/>
      <c r="G335" s="76"/>
      <c r="H335" s="76"/>
      <c r="I335" s="76"/>
      <c r="J335" s="15"/>
      <c r="K335" s="15"/>
      <c r="L335" s="101"/>
      <c r="M335" s="15"/>
      <c r="N335" s="82"/>
      <c r="O335" s="100"/>
      <c r="P335" s="100"/>
      <c r="Q335" s="100"/>
      <c r="R335" s="16"/>
      <c r="S335" s="16"/>
      <c r="T335" s="102"/>
      <c r="U335" s="102"/>
      <c r="V335" s="102"/>
      <c r="W335" s="12"/>
      <c r="X335" s="16"/>
      <c r="Y335" s="13"/>
      <c r="Z335" s="8"/>
      <c r="AA335" s="8"/>
      <c r="AB335" s="8"/>
    </row>
    <row r="336" spans="2:28" s="14" customFormat="1">
      <c r="B336" s="8"/>
      <c r="C336" s="8"/>
      <c r="D336" s="8"/>
      <c r="E336" s="8"/>
      <c r="F336" s="8"/>
      <c r="G336" s="76"/>
      <c r="H336" s="76"/>
      <c r="I336" s="76"/>
      <c r="J336" s="15"/>
      <c r="K336" s="15"/>
      <c r="L336" s="101"/>
      <c r="M336" s="15"/>
      <c r="N336" s="82"/>
      <c r="O336" s="100"/>
      <c r="P336" s="100"/>
      <c r="Q336" s="100"/>
      <c r="R336" s="16"/>
      <c r="S336" s="16"/>
      <c r="T336" s="102"/>
      <c r="U336" s="102"/>
      <c r="V336" s="102"/>
      <c r="W336" s="12"/>
      <c r="X336" s="16"/>
      <c r="Y336" s="13"/>
      <c r="Z336" s="8"/>
      <c r="AA336" s="8"/>
      <c r="AB336" s="8"/>
    </row>
    <row r="337" spans="2:28" s="14" customFormat="1">
      <c r="B337" s="8"/>
      <c r="C337" s="8"/>
      <c r="D337" s="8"/>
      <c r="E337" s="8"/>
      <c r="F337" s="8"/>
      <c r="G337" s="76"/>
      <c r="H337" s="76"/>
      <c r="I337" s="76"/>
      <c r="J337" s="15"/>
      <c r="K337" s="15"/>
      <c r="L337" s="101"/>
      <c r="M337" s="15"/>
      <c r="N337" s="82"/>
      <c r="O337" s="100"/>
      <c r="P337" s="100"/>
      <c r="Q337" s="100"/>
      <c r="R337" s="16"/>
      <c r="S337" s="16"/>
      <c r="T337" s="102"/>
      <c r="U337" s="102"/>
      <c r="V337" s="102"/>
      <c r="W337" s="12"/>
      <c r="X337" s="16"/>
      <c r="Y337" s="13"/>
      <c r="Z337" s="8"/>
      <c r="AA337" s="8"/>
      <c r="AB337" s="8"/>
    </row>
    <row r="338" spans="2:28" s="14" customFormat="1">
      <c r="B338" s="8"/>
      <c r="C338" s="8"/>
      <c r="D338" s="8"/>
      <c r="E338" s="8"/>
      <c r="F338" s="8"/>
      <c r="G338" s="76"/>
      <c r="H338" s="76"/>
      <c r="I338" s="76"/>
      <c r="J338" s="15"/>
      <c r="K338" s="15"/>
      <c r="L338" s="101"/>
      <c r="M338" s="15"/>
      <c r="N338" s="82"/>
      <c r="O338" s="100"/>
      <c r="P338" s="100"/>
      <c r="Q338" s="100"/>
      <c r="R338" s="16"/>
      <c r="S338" s="16"/>
      <c r="T338" s="102"/>
      <c r="U338" s="102"/>
      <c r="V338" s="102"/>
      <c r="W338" s="12"/>
      <c r="X338" s="16"/>
      <c r="Y338" s="13"/>
      <c r="Z338" s="8"/>
      <c r="AA338" s="8"/>
      <c r="AB338" s="8"/>
    </row>
    <row r="339" spans="2:28" s="14" customFormat="1">
      <c r="B339" s="8"/>
      <c r="C339" s="8"/>
      <c r="D339" s="8"/>
      <c r="E339" s="8"/>
      <c r="F339" s="8"/>
      <c r="G339" s="76"/>
      <c r="H339" s="76"/>
      <c r="I339" s="76"/>
      <c r="J339" s="15"/>
      <c r="K339" s="15"/>
      <c r="L339" s="101"/>
      <c r="M339" s="15"/>
      <c r="N339" s="82"/>
      <c r="O339" s="100"/>
      <c r="P339" s="100"/>
      <c r="Q339" s="100"/>
      <c r="R339" s="16"/>
      <c r="S339" s="16"/>
      <c r="T339" s="102"/>
      <c r="U339" s="102"/>
      <c r="V339" s="102"/>
      <c r="W339" s="12"/>
      <c r="X339" s="16"/>
      <c r="Y339" s="13"/>
      <c r="Z339" s="8"/>
      <c r="AA339" s="8"/>
      <c r="AB339" s="8"/>
    </row>
    <row r="340" spans="2:28" s="14" customFormat="1">
      <c r="B340" s="8"/>
      <c r="C340" s="8"/>
      <c r="D340" s="8"/>
      <c r="E340" s="8"/>
      <c r="F340" s="8"/>
      <c r="G340" s="76"/>
      <c r="H340" s="76"/>
      <c r="I340" s="76"/>
      <c r="J340" s="15"/>
      <c r="K340" s="15"/>
      <c r="L340" s="101"/>
      <c r="M340" s="15"/>
      <c r="N340" s="82"/>
      <c r="O340" s="100"/>
      <c r="P340" s="100"/>
      <c r="Q340" s="100"/>
      <c r="R340" s="16"/>
      <c r="S340" s="16"/>
      <c r="T340" s="102"/>
      <c r="U340" s="102"/>
      <c r="V340" s="102"/>
      <c r="W340" s="12"/>
      <c r="X340" s="16"/>
      <c r="Y340" s="13"/>
      <c r="Z340" s="8"/>
      <c r="AA340" s="8"/>
      <c r="AB340" s="8"/>
    </row>
    <row r="341" spans="2:28" s="14" customFormat="1">
      <c r="B341" s="8"/>
      <c r="C341" s="8"/>
      <c r="D341" s="8"/>
      <c r="E341" s="8"/>
      <c r="F341" s="8"/>
      <c r="G341" s="76"/>
      <c r="H341" s="76"/>
      <c r="I341" s="76"/>
      <c r="J341" s="15"/>
      <c r="K341" s="15"/>
      <c r="L341" s="101"/>
      <c r="M341" s="15"/>
      <c r="N341" s="82"/>
      <c r="O341" s="100"/>
      <c r="P341" s="100"/>
      <c r="Q341" s="100"/>
      <c r="R341" s="16"/>
      <c r="S341" s="16"/>
      <c r="T341" s="102"/>
      <c r="U341" s="102"/>
      <c r="V341" s="102"/>
      <c r="W341" s="12"/>
      <c r="X341" s="16"/>
      <c r="Y341" s="13"/>
      <c r="Z341" s="8"/>
      <c r="AA341" s="8"/>
      <c r="AB341" s="8"/>
    </row>
    <row r="342" spans="2:28" s="14" customFormat="1">
      <c r="B342" s="8"/>
      <c r="C342" s="8"/>
      <c r="D342" s="8"/>
      <c r="E342" s="8"/>
      <c r="F342" s="8"/>
      <c r="G342" s="76"/>
      <c r="H342" s="76"/>
      <c r="I342" s="76"/>
      <c r="J342" s="15"/>
      <c r="K342" s="15"/>
      <c r="L342" s="101"/>
      <c r="M342" s="15"/>
      <c r="N342" s="82"/>
      <c r="O342" s="100"/>
      <c r="P342" s="100"/>
      <c r="Q342" s="100"/>
      <c r="R342" s="16"/>
      <c r="S342" s="16"/>
      <c r="T342" s="102"/>
      <c r="U342" s="102"/>
      <c r="V342" s="102"/>
      <c r="W342" s="12"/>
      <c r="X342" s="16"/>
      <c r="Y342" s="13"/>
      <c r="Z342" s="8"/>
      <c r="AA342" s="8"/>
      <c r="AB342" s="8"/>
    </row>
    <row r="343" spans="2:28" s="14" customFormat="1">
      <c r="B343" s="8"/>
      <c r="C343" s="8"/>
      <c r="D343" s="8"/>
      <c r="E343" s="8"/>
      <c r="F343" s="8"/>
      <c r="G343" s="76"/>
      <c r="H343" s="76"/>
      <c r="I343" s="76"/>
      <c r="J343" s="15"/>
      <c r="K343" s="15"/>
      <c r="L343" s="101"/>
      <c r="M343" s="15"/>
      <c r="N343" s="82"/>
      <c r="O343" s="100"/>
      <c r="P343" s="100"/>
      <c r="Q343" s="100"/>
      <c r="R343" s="16"/>
      <c r="S343" s="16"/>
      <c r="T343" s="102"/>
      <c r="U343" s="102"/>
      <c r="V343" s="102"/>
      <c r="W343" s="12"/>
      <c r="X343" s="16"/>
      <c r="Y343" s="13"/>
      <c r="Z343" s="8"/>
      <c r="AA343" s="8"/>
      <c r="AB343" s="8"/>
    </row>
    <row r="344" spans="2:28" s="14" customFormat="1">
      <c r="B344" s="8"/>
      <c r="C344" s="8"/>
      <c r="D344" s="8"/>
      <c r="E344" s="8"/>
      <c r="F344" s="8"/>
      <c r="G344" s="76"/>
      <c r="H344" s="76"/>
      <c r="I344" s="76"/>
      <c r="J344" s="15"/>
      <c r="K344" s="15"/>
      <c r="L344" s="101"/>
      <c r="M344" s="15"/>
      <c r="N344" s="82"/>
      <c r="O344" s="100"/>
      <c r="P344" s="100"/>
      <c r="Q344" s="100"/>
      <c r="R344" s="16"/>
      <c r="S344" s="16"/>
      <c r="T344" s="102"/>
      <c r="U344" s="102"/>
      <c r="V344" s="102"/>
      <c r="W344" s="12"/>
      <c r="X344" s="16"/>
      <c r="Y344" s="13"/>
      <c r="Z344" s="8"/>
      <c r="AA344" s="8"/>
      <c r="AB344" s="8"/>
    </row>
    <row r="345" spans="2:28" s="14" customFormat="1">
      <c r="B345" s="8"/>
      <c r="C345" s="8"/>
      <c r="D345" s="8"/>
      <c r="E345" s="8"/>
      <c r="F345" s="8"/>
      <c r="G345" s="76"/>
      <c r="H345" s="76"/>
      <c r="I345" s="76"/>
      <c r="J345" s="15"/>
      <c r="K345" s="15"/>
      <c r="L345" s="101"/>
      <c r="M345" s="15"/>
      <c r="N345" s="82"/>
      <c r="O345" s="100"/>
      <c r="P345" s="100"/>
      <c r="Q345" s="100"/>
      <c r="R345" s="16"/>
      <c r="S345" s="16"/>
      <c r="T345" s="102"/>
      <c r="U345" s="102"/>
      <c r="V345" s="102"/>
      <c r="W345" s="12"/>
      <c r="X345" s="16"/>
      <c r="Y345" s="13"/>
      <c r="Z345" s="8"/>
      <c r="AA345" s="8"/>
      <c r="AB345" s="8"/>
    </row>
    <row r="346" spans="2:28" s="14" customFormat="1">
      <c r="B346" s="8"/>
      <c r="C346" s="8"/>
      <c r="D346" s="8"/>
      <c r="E346" s="8"/>
      <c r="F346" s="8"/>
      <c r="G346" s="76"/>
      <c r="H346" s="76"/>
      <c r="I346" s="76"/>
      <c r="J346" s="15"/>
      <c r="K346" s="15"/>
      <c r="L346" s="101"/>
      <c r="M346" s="15"/>
      <c r="N346" s="82"/>
      <c r="O346" s="100"/>
      <c r="P346" s="100"/>
      <c r="Q346" s="100"/>
      <c r="R346" s="16"/>
      <c r="S346" s="16"/>
      <c r="T346" s="102"/>
      <c r="U346" s="102"/>
      <c r="V346" s="102"/>
      <c r="W346" s="12"/>
      <c r="X346" s="16"/>
      <c r="Y346" s="13"/>
      <c r="Z346" s="8"/>
      <c r="AA346" s="8"/>
      <c r="AB346" s="8"/>
    </row>
    <row r="347" spans="2:28" s="14" customFormat="1">
      <c r="B347" s="8"/>
      <c r="C347" s="8"/>
      <c r="D347" s="8"/>
      <c r="E347" s="8"/>
      <c r="F347" s="8"/>
      <c r="G347" s="76"/>
      <c r="H347" s="76"/>
      <c r="I347" s="76"/>
      <c r="J347" s="15"/>
      <c r="K347" s="15"/>
      <c r="L347" s="101"/>
      <c r="M347" s="15"/>
      <c r="N347" s="82"/>
      <c r="O347" s="100"/>
      <c r="P347" s="100"/>
      <c r="Q347" s="100"/>
      <c r="R347" s="16"/>
      <c r="S347" s="16"/>
      <c r="T347" s="102"/>
      <c r="U347" s="102"/>
      <c r="V347" s="102"/>
      <c r="W347" s="12"/>
      <c r="X347" s="16"/>
      <c r="Y347" s="13"/>
      <c r="Z347" s="8"/>
      <c r="AA347" s="8"/>
      <c r="AB347" s="8"/>
    </row>
    <row r="348" spans="2:28" s="14" customFormat="1">
      <c r="B348" s="8"/>
      <c r="C348" s="8"/>
      <c r="D348" s="8"/>
      <c r="E348" s="8"/>
      <c r="F348" s="8"/>
      <c r="G348" s="76"/>
      <c r="H348" s="76"/>
      <c r="I348" s="76"/>
      <c r="J348" s="15"/>
      <c r="K348" s="15"/>
      <c r="L348" s="101"/>
      <c r="M348" s="15"/>
      <c r="N348" s="82"/>
      <c r="O348" s="100"/>
      <c r="P348" s="100"/>
      <c r="Q348" s="100"/>
      <c r="R348" s="16"/>
      <c r="S348" s="16"/>
      <c r="T348" s="102"/>
      <c r="U348" s="102"/>
      <c r="V348" s="102"/>
      <c r="W348" s="12"/>
      <c r="X348" s="16"/>
      <c r="Y348" s="13"/>
      <c r="Z348" s="8"/>
      <c r="AA348" s="8"/>
      <c r="AB348" s="8"/>
    </row>
    <row r="349" spans="2:28" s="14" customFormat="1">
      <c r="B349" s="8"/>
      <c r="C349" s="8"/>
      <c r="D349" s="8"/>
      <c r="E349" s="8"/>
      <c r="F349" s="8"/>
      <c r="G349" s="76"/>
      <c r="H349" s="76"/>
      <c r="I349" s="76"/>
      <c r="J349" s="15"/>
      <c r="K349" s="15"/>
      <c r="L349" s="101"/>
      <c r="M349" s="15"/>
      <c r="N349" s="82"/>
      <c r="O349" s="100"/>
      <c r="P349" s="100"/>
      <c r="Q349" s="100"/>
      <c r="R349" s="16"/>
      <c r="S349" s="16"/>
      <c r="T349" s="102"/>
      <c r="U349" s="102"/>
      <c r="V349" s="102"/>
      <c r="W349" s="12"/>
      <c r="X349" s="16"/>
      <c r="Y349" s="13"/>
      <c r="Z349" s="8"/>
      <c r="AA349" s="8"/>
      <c r="AB349" s="8"/>
    </row>
    <row r="350" spans="2:28" s="14" customFormat="1">
      <c r="B350" s="8"/>
      <c r="C350" s="8"/>
      <c r="D350" s="8"/>
      <c r="E350" s="8"/>
      <c r="F350" s="8"/>
      <c r="G350" s="76"/>
      <c r="H350" s="76"/>
      <c r="I350" s="76"/>
      <c r="J350" s="15"/>
      <c r="K350" s="15"/>
      <c r="L350" s="101"/>
      <c r="M350" s="15"/>
      <c r="N350" s="82"/>
      <c r="O350" s="100"/>
      <c r="P350" s="100"/>
      <c r="Q350" s="100"/>
      <c r="R350" s="16"/>
      <c r="S350" s="16"/>
      <c r="T350" s="102"/>
      <c r="U350" s="102"/>
      <c r="V350" s="102"/>
      <c r="W350" s="12"/>
      <c r="X350" s="16"/>
      <c r="Y350" s="13"/>
      <c r="Z350" s="8"/>
      <c r="AA350" s="8"/>
      <c r="AB350" s="8"/>
    </row>
    <row r="351" spans="2:28" s="14" customFormat="1">
      <c r="B351" s="8"/>
      <c r="C351" s="8"/>
      <c r="D351" s="8"/>
      <c r="E351" s="8"/>
      <c r="F351" s="8"/>
      <c r="G351" s="76"/>
      <c r="H351" s="76"/>
      <c r="I351" s="76"/>
      <c r="J351" s="15"/>
      <c r="K351" s="15"/>
      <c r="L351" s="101"/>
      <c r="M351" s="15"/>
      <c r="N351" s="82"/>
      <c r="O351" s="100"/>
      <c r="P351" s="100"/>
      <c r="Q351" s="100"/>
      <c r="R351" s="16"/>
      <c r="S351" s="16"/>
      <c r="T351" s="102"/>
      <c r="U351" s="102"/>
      <c r="V351" s="102"/>
      <c r="W351" s="12"/>
      <c r="X351" s="16"/>
      <c r="Y351" s="13"/>
      <c r="Z351" s="8"/>
      <c r="AA351" s="8"/>
      <c r="AB351" s="8"/>
    </row>
    <row r="352" spans="2:28" s="14" customFormat="1">
      <c r="B352" s="8"/>
      <c r="C352" s="8"/>
      <c r="D352" s="8"/>
      <c r="E352" s="8"/>
      <c r="F352" s="8"/>
      <c r="G352" s="76"/>
      <c r="H352" s="76"/>
      <c r="I352" s="76"/>
      <c r="J352" s="15"/>
      <c r="K352" s="15"/>
      <c r="L352" s="101"/>
      <c r="M352" s="15"/>
      <c r="N352" s="82"/>
      <c r="O352" s="100"/>
      <c r="P352" s="100"/>
      <c r="Q352" s="100"/>
      <c r="R352" s="16"/>
      <c r="S352" s="16"/>
      <c r="T352" s="102"/>
      <c r="U352" s="102"/>
      <c r="V352" s="102"/>
      <c r="W352" s="12"/>
      <c r="X352" s="16"/>
      <c r="Y352" s="13"/>
      <c r="Z352" s="8"/>
      <c r="AA352" s="8"/>
      <c r="AB352" s="8"/>
    </row>
    <row r="353" spans="2:28" s="14" customFormat="1">
      <c r="B353" s="8"/>
      <c r="C353" s="8"/>
      <c r="D353" s="8"/>
      <c r="E353" s="8"/>
      <c r="F353" s="8"/>
      <c r="G353" s="76"/>
      <c r="H353" s="76"/>
      <c r="I353" s="76"/>
      <c r="J353" s="15"/>
      <c r="K353" s="15"/>
      <c r="L353" s="101"/>
      <c r="M353" s="15"/>
      <c r="N353" s="82"/>
      <c r="O353" s="100"/>
      <c r="P353" s="100"/>
      <c r="Q353" s="100"/>
      <c r="R353" s="16"/>
      <c r="S353" s="16"/>
      <c r="T353" s="102"/>
      <c r="U353" s="102"/>
      <c r="V353" s="102"/>
      <c r="W353" s="12"/>
      <c r="X353" s="16"/>
      <c r="Y353" s="13"/>
      <c r="Z353" s="8"/>
      <c r="AA353" s="8"/>
      <c r="AB353" s="8"/>
    </row>
    <row r="354" spans="2:28" s="14" customFormat="1">
      <c r="B354" s="8"/>
      <c r="C354" s="8"/>
      <c r="D354" s="8"/>
      <c r="E354" s="8"/>
      <c r="F354" s="8"/>
      <c r="G354" s="76"/>
      <c r="H354" s="76"/>
      <c r="I354" s="76"/>
      <c r="J354" s="15"/>
      <c r="K354" s="15"/>
      <c r="L354" s="101"/>
      <c r="M354" s="15"/>
      <c r="N354" s="82"/>
      <c r="O354" s="100"/>
      <c r="P354" s="100"/>
      <c r="Q354" s="100"/>
      <c r="R354" s="16"/>
      <c r="S354" s="16"/>
      <c r="T354" s="102"/>
      <c r="U354" s="102"/>
      <c r="V354" s="102"/>
      <c r="W354" s="12"/>
      <c r="X354" s="16"/>
      <c r="Y354" s="13"/>
      <c r="Z354" s="8"/>
      <c r="AA354" s="8"/>
      <c r="AB354" s="8"/>
    </row>
    <row r="355" spans="2:28" s="14" customFormat="1">
      <c r="B355" s="8"/>
      <c r="C355" s="8"/>
      <c r="D355" s="8"/>
      <c r="E355" s="8"/>
      <c r="F355" s="8"/>
      <c r="G355" s="76"/>
      <c r="H355" s="76"/>
      <c r="I355" s="76"/>
      <c r="J355" s="15"/>
      <c r="K355" s="15"/>
      <c r="L355" s="101"/>
      <c r="M355" s="15"/>
      <c r="N355" s="82"/>
      <c r="O355" s="100"/>
      <c r="P355" s="100"/>
      <c r="Q355" s="100"/>
      <c r="R355" s="16"/>
      <c r="S355" s="16"/>
      <c r="T355" s="102"/>
      <c r="U355" s="102"/>
      <c r="V355" s="102"/>
      <c r="W355" s="12"/>
      <c r="X355" s="16"/>
      <c r="Y355" s="13"/>
      <c r="Z355" s="8"/>
      <c r="AA355" s="8"/>
      <c r="AB355" s="8"/>
    </row>
    <row r="356" spans="2:28" s="14" customFormat="1">
      <c r="B356" s="8"/>
      <c r="C356" s="8"/>
      <c r="D356" s="8"/>
      <c r="E356" s="8"/>
      <c r="F356" s="8"/>
      <c r="G356" s="76"/>
      <c r="H356" s="76"/>
      <c r="I356" s="76"/>
      <c r="J356" s="15"/>
      <c r="K356" s="15"/>
      <c r="L356" s="101"/>
      <c r="M356" s="15"/>
      <c r="N356" s="82"/>
      <c r="O356" s="100"/>
      <c r="P356" s="100"/>
      <c r="Q356" s="100"/>
      <c r="R356" s="16"/>
      <c r="S356" s="16"/>
      <c r="T356" s="102"/>
      <c r="U356" s="102"/>
      <c r="V356" s="102"/>
      <c r="W356" s="12"/>
      <c r="X356" s="16"/>
      <c r="Y356" s="13"/>
      <c r="Z356" s="8"/>
      <c r="AA356" s="8"/>
      <c r="AB356" s="8"/>
    </row>
    <row r="357" spans="2:28" s="14" customFormat="1">
      <c r="B357" s="8"/>
      <c r="C357" s="8"/>
      <c r="D357" s="8"/>
      <c r="E357" s="8"/>
      <c r="F357" s="8"/>
      <c r="G357" s="76"/>
      <c r="H357" s="76"/>
      <c r="I357" s="76"/>
      <c r="J357" s="15"/>
      <c r="K357" s="15"/>
      <c r="L357" s="101"/>
      <c r="M357" s="15"/>
      <c r="N357" s="82"/>
      <c r="O357" s="100"/>
      <c r="P357" s="100"/>
      <c r="Q357" s="100"/>
      <c r="R357" s="16"/>
      <c r="S357" s="16"/>
      <c r="T357" s="102"/>
      <c r="U357" s="102"/>
      <c r="V357" s="102"/>
      <c r="W357" s="12"/>
      <c r="X357" s="16"/>
      <c r="Y357" s="13"/>
      <c r="Z357" s="8"/>
      <c r="AA357" s="8"/>
      <c r="AB357" s="8"/>
    </row>
    <row r="358" spans="2:28" s="14" customFormat="1">
      <c r="B358" s="8"/>
      <c r="C358" s="8"/>
      <c r="D358" s="8"/>
      <c r="E358" s="8"/>
      <c r="F358" s="8"/>
      <c r="G358" s="76"/>
      <c r="H358" s="76"/>
      <c r="I358" s="76"/>
      <c r="J358" s="15"/>
      <c r="K358" s="15"/>
      <c r="L358" s="101"/>
      <c r="M358" s="15"/>
      <c r="N358" s="82"/>
      <c r="O358" s="100"/>
      <c r="P358" s="100"/>
      <c r="Q358" s="100"/>
      <c r="R358" s="16"/>
      <c r="S358" s="16"/>
      <c r="T358" s="102"/>
      <c r="U358" s="102"/>
      <c r="V358" s="102"/>
      <c r="W358" s="12"/>
      <c r="X358" s="16"/>
      <c r="Y358" s="13"/>
      <c r="Z358" s="8"/>
      <c r="AA358" s="8"/>
      <c r="AB358" s="8"/>
    </row>
    <row r="359" spans="2:28" s="14" customFormat="1">
      <c r="B359" s="8"/>
      <c r="C359" s="8"/>
      <c r="D359" s="8"/>
      <c r="E359" s="8"/>
      <c r="F359" s="8"/>
      <c r="G359" s="76"/>
      <c r="H359" s="76"/>
      <c r="I359" s="76"/>
      <c r="J359" s="15"/>
      <c r="K359" s="15"/>
      <c r="L359" s="101"/>
      <c r="M359" s="15"/>
      <c r="N359" s="82"/>
      <c r="O359" s="100"/>
      <c r="P359" s="100"/>
      <c r="Q359" s="100"/>
      <c r="R359" s="16"/>
      <c r="S359" s="16"/>
      <c r="T359" s="102"/>
      <c r="U359" s="102"/>
      <c r="V359" s="102"/>
      <c r="W359" s="12"/>
      <c r="X359" s="16"/>
      <c r="Y359" s="13"/>
      <c r="Z359" s="8"/>
      <c r="AA359" s="8"/>
      <c r="AB359" s="8"/>
    </row>
    <row r="360" spans="2:28" s="14" customFormat="1">
      <c r="B360" s="8"/>
      <c r="C360" s="8"/>
      <c r="D360" s="8"/>
      <c r="E360" s="8"/>
      <c r="F360" s="8"/>
      <c r="G360" s="76"/>
      <c r="H360" s="76"/>
      <c r="I360" s="76"/>
      <c r="J360" s="15"/>
      <c r="K360" s="15"/>
      <c r="L360" s="101"/>
      <c r="M360" s="15"/>
      <c r="N360" s="82"/>
      <c r="O360" s="100"/>
      <c r="P360" s="100"/>
      <c r="Q360" s="100"/>
      <c r="R360" s="16"/>
      <c r="S360" s="16"/>
      <c r="T360" s="102"/>
      <c r="U360" s="102"/>
      <c r="V360" s="102"/>
      <c r="W360" s="12"/>
      <c r="X360" s="16"/>
      <c r="Y360" s="13"/>
      <c r="Z360" s="8"/>
      <c r="AA360" s="8"/>
      <c r="AB360" s="8"/>
    </row>
    <row r="361" spans="2:28" s="14" customFormat="1">
      <c r="B361" s="8"/>
      <c r="C361" s="8"/>
      <c r="D361" s="8"/>
      <c r="E361" s="8"/>
      <c r="F361" s="8"/>
      <c r="G361" s="76"/>
      <c r="H361" s="76"/>
      <c r="I361" s="76"/>
      <c r="J361" s="15"/>
      <c r="K361" s="15"/>
      <c r="L361" s="101"/>
      <c r="M361" s="15"/>
      <c r="N361" s="82"/>
      <c r="O361" s="100"/>
      <c r="P361" s="100"/>
      <c r="Q361" s="100"/>
      <c r="R361" s="16"/>
      <c r="S361" s="16"/>
      <c r="T361" s="102"/>
      <c r="U361" s="102"/>
      <c r="V361" s="102"/>
      <c r="W361" s="12"/>
      <c r="X361" s="16"/>
      <c r="Y361" s="13"/>
      <c r="Z361" s="8"/>
      <c r="AA361" s="8"/>
      <c r="AB361" s="8"/>
    </row>
    <row r="362" spans="2:28" s="14" customFormat="1">
      <c r="B362" s="8"/>
      <c r="C362" s="8"/>
      <c r="D362" s="8"/>
      <c r="E362" s="8"/>
      <c r="F362" s="8"/>
      <c r="G362" s="76"/>
      <c r="H362" s="76"/>
      <c r="I362" s="76"/>
      <c r="J362" s="15"/>
      <c r="K362" s="15"/>
      <c r="L362" s="101"/>
      <c r="M362" s="15"/>
      <c r="N362" s="82"/>
      <c r="O362" s="100"/>
      <c r="P362" s="100"/>
      <c r="Q362" s="100"/>
      <c r="R362" s="16"/>
      <c r="S362" s="16"/>
      <c r="T362" s="102"/>
      <c r="U362" s="102"/>
      <c r="V362" s="102"/>
      <c r="W362" s="12"/>
      <c r="X362" s="16"/>
      <c r="Y362" s="13"/>
      <c r="Z362" s="8"/>
      <c r="AA362" s="8"/>
      <c r="AB362" s="8"/>
    </row>
    <row r="363" spans="2:28" s="14" customFormat="1">
      <c r="B363" s="8"/>
      <c r="C363" s="8"/>
      <c r="D363" s="8"/>
      <c r="E363" s="8"/>
      <c r="F363" s="8"/>
      <c r="G363" s="76"/>
      <c r="H363" s="76"/>
      <c r="I363" s="76"/>
      <c r="J363" s="15"/>
      <c r="K363" s="15"/>
      <c r="L363" s="101"/>
      <c r="M363" s="15"/>
      <c r="N363" s="82"/>
      <c r="O363" s="100"/>
      <c r="P363" s="100"/>
      <c r="Q363" s="100"/>
      <c r="R363" s="16"/>
      <c r="S363" s="16"/>
      <c r="T363" s="102"/>
      <c r="U363" s="102"/>
      <c r="V363" s="102"/>
      <c r="W363" s="12"/>
      <c r="X363" s="16"/>
      <c r="Y363" s="13"/>
      <c r="Z363" s="8"/>
      <c r="AA363" s="8"/>
      <c r="AB363" s="8"/>
    </row>
    <row r="364" spans="2:28" s="14" customFormat="1">
      <c r="B364" s="8"/>
      <c r="C364" s="8"/>
      <c r="D364" s="8"/>
      <c r="E364" s="8"/>
      <c r="F364" s="8"/>
      <c r="G364" s="76"/>
      <c r="H364" s="76"/>
      <c r="I364" s="76"/>
      <c r="J364" s="15"/>
      <c r="K364" s="15"/>
      <c r="L364" s="101"/>
      <c r="M364" s="15"/>
      <c r="N364" s="82"/>
      <c r="O364" s="100"/>
      <c r="P364" s="100"/>
      <c r="Q364" s="100"/>
      <c r="R364" s="16"/>
      <c r="S364" s="16"/>
      <c r="T364" s="102"/>
      <c r="U364" s="102"/>
      <c r="V364" s="102"/>
      <c r="W364" s="12"/>
      <c r="X364" s="16"/>
      <c r="Y364" s="13"/>
      <c r="Z364" s="8"/>
      <c r="AA364" s="8"/>
      <c r="AB364" s="8"/>
    </row>
    <row r="365" spans="2:28" s="14" customFormat="1">
      <c r="B365" s="8"/>
      <c r="C365" s="8"/>
      <c r="D365" s="8"/>
      <c r="E365" s="8"/>
      <c r="F365" s="8"/>
      <c r="G365" s="76"/>
      <c r="H365" s="76"/>
      <c r="I365" s="76"/>
      <c r="J365" s="15"/>
      <c r="K365" s="15"/>
      <c r="L365" s="101"/>
      <c r="M365" s="15"/>
      <c r="N365" s="82"/>
      <c r="O365" s="100"/>
      <c r="P365" s="100"/>
      <c r="Q365" s="100"/>
      <c r="R365" s="16"/>
      <c r="S365" s="16"/>
      <c r="T365" s="102"/>
      <c r="U365" s="102"/>
      <c r="V365" s="102"/>
      <c r="W365" s="12"/>
      <c r="X365" s="16"/>
      <c r="Y365" s="13"/>
      <c r="Z365" s="8"/>
      <c r="AA365" s="8"/>
      <c r="AB365" s="8"/>
    </row>
    <row r="366" spans="2:28" s="14" customFormat="1">
      <c r="B366" s="8"/>
      <c r="C366" s="8"/>
      <c r="D366" s="8"/>
      <c r="E366" s="8"/>
      <c r="F366" s="8"/>
      <c r="G366" s="76"/>
      <c r="H366" s="76"/>
      <c r="I366" s="76"/>
      <c r="J366" s="15"/>
      <c r="K366" s="15"/>
      <c r="L366" s="101"/>
      <c r="M366" s="15"/>
      <c r="N366" s="82"/>
      <c r="O366" s="100"/>
      <c r="P366" s="100"/>
      <c r="Q366" s="100"/>
      <c r="R366" s="16"/>
      <c r="S366" s="16"/>
      <c r="T366" s="102"/>
      <c r="U366" s="102"/>
      <c r="V366" s="102"/>
      <c r="W366" s="12"/>
      <c r="X366" s="16"/>
      <c r="Y366" s="13"/>
      <c r="Z366" s="8"/>
      <c r="AA366" s="8"/>
      <c r="AB366" s="8"/>
    </row>
    <row r="367" spans="2:28" s="14" customFormat="1">
      <c r="B367" s="8"/>
      <c r="C367" s="8"/>
      <c r="D367" s="8"/>
      <c r="E367" s="8"/>
      <c r="F367" s="8"/>
      <c r="G367" s="76"/>
      <c r="H367" s="76"/>
      <c r="I367" s="76"/>
      <c r="J367" s="15"/>
      <c r="K367" s="15"/>
      <c r="L367" s="101"/>
      <c r="M367" s="15"/>
      <c r="N367" s="82"/>
      <c r="O367" s="100"/>
      <c r="P367" s="100"/>
      <c r="Q367" s="100"/>
      <c r="R367" s="16"/>
      <c r="S367" s="16"/>
      <c r="T367" s="102"/>
      <c r="U367" s="102"/>
      <c r="V367" s="102"/>
      <c r="W367" s="12"/>
      <c r="X367" s="16"/>
      <c r="Y367" s="13"/>
      <c r="Z367" s="8"/>
      <c r="AA367" s="8"/>
      <c r="AB367" s="8"/>
    </row>
    <row r="368" spans="2:28" s="14" customFormat="1">
      <c r="B368" s="8"/>
      <c r="C368" s="8"/>
      <c r="D368" s="8"/>
      <c r="E368" s="8"/>
      <c r="F368" s="8"/>
      <c r="G368" s="76"/>
      <c r="H368" s="76"/>
      <c r="I368" s="76"/>
      <c r="J368" s="15"/>
      <c r="K368" s="15"/>
      <c r="L368" s="101"/>
      <c r="M368" s="15"/>
      <c r="N368" s="82"/>
      <c r="O368" s="100"/>
      <c r="P368" s="100"/>
      <c r="Q368" s="100"/>
      <c r="R368" s="16"/>
      <c r="S368" s="16"/>
      <c r="T368" s="102"/>
      <c r="U368" s="102"/>
      <c r="V368" s="102"/>
      <c r="W368" s="12"/>
      <c r="X368" s="16"/>
      <c r="Y368" s="13"/>
      <c r="Z368" s="8"/>
      <c r="AA368" s="8"/>
      <c r="AB368" s="8"/>
    </row>
    <row r="369" spans="2:28" s="14" customFormat="1">
      <c r="B369" s="8"/>
      <c r="C369" s="8"/>
      <c r="D369" s="8"/>
      <c r="E369" s="8"/>
      <c r="F369" s="8"/>
      <c r="G369" s="76"/>
      <c r="H369" s="76"/>
      <c r="I369" s="76"/>
      <c r="J369" s="15"/>
      <c r="K369" s="15"/>
      <c r="L369" s="101"/>
      <c r="M369" s="15"/>
      <c r="N369" s="82"/>
      <c r="O369" s="100"/>
      <c r="P369" s="100"/>
      <c r="Q369" s="100"/>
      <c r="R369" s="16"/>
      <c r="S369" s="16"/>
      <c r="T369" s="102"/>
      <c r="U369" s="102"/>
      <c r="V369" s="102"/>
      <c r="W369" s="12"/>
      <c r="X369" s="16"/>
      <c r="Y369" s="13"/>
      <c r="Z369" s="8"/>
      <c r="AA369" s="8"/>
      <c r="AB369" s="8"/>
    </row>
    <row r="370" spans="2:28" s="14" customFormat="1">
      <c r="B370" s="8"/>
      <c r="C370" s="8"/>
      <c r="D370" s="8"/>
      <c r="E370" s="8"/>
      <c r="F370" s="8"/>
      <c r="G370" s="76"/>
      <c r="H370" s="76"/>
      <c r="I370" s="76"/>
      <c r="J370" s="15"/>
      <c r="K370" s="15"/>
      <c r="L370" s="101"/>
      <c r="M370" s="15"/>
      <c r="N370" s="82"/>
      <c r="O370" s="100"/>
      <c r="P370" s="100"/>
      <c r="Q370" s="100"/>
      <c r="R370" s="16"/>
      <c r="S370" s="16"/>
      <c r="T370" s="102"/>
      <c r="U370" s="102"/>
      <c r="V370" s="102"/>
      <c r="W370" s="12"/>
      <c r="X370" s="16"/>
      <c r="Y370" s="13"/>
      <c r="Z370" s="8"/>
      <c r="AA370" s="8"/>
      <c r="AB370" s="8"/>
    </row>
    <row r="371" spans="2:28" s="14" customFormat="1">
      <c r="B371" s="8"/>
      <c r="C371" s="8"/>
      <c r="D371" s="8"/>
      <c r="E371" s="8"/>
      <c r="F371" s="8"/>
      <c r="G371" s="76"/>
      <c r="H371" s="76"/>
      <c r="I371" s="76"/>
      <c r="J371" s="15"/>
      <c r="K371" s="15"/>
      <c r="L371" s="101"/>
      <c r="M371" s="15"/>
      <c r="N371" s="82"/>
      <c r="O371" s="100"/>
      <c r="P371" s="100"/>
      <c r="Q371" s="100"/>
      <c r="R371" s="16"/>
      <c r="S371" s="16"/>
      <c r="T371" s="102"/>
      <c r="U371" s="102"/>
      <c r="V371" s="102"/>
      <c r="W371" s="12"/>
      <c r="X371" s="16"/>
      <c r="Y371" s="13"/>
      <c r="Z371" s="8"/>
      <c r="AA371" s="8"/>
      <c r="AB371" s="8"/>
    </row>
    <row r="372" spans="2:28" s="14" customFormat="1">
      <c r="B372" s="8"/>
      <c r="C372" s="8"/>
      <c r="D372" s="8"/>
      <c r="E372" s="8"/>
      <c r="F372" s="8"/>
      <c r="G372" s="76"/>
      <c r="H372" s="76"/>
      <c r="I372" s="76"/>
      <c r="J372" s="15"/>
      <c r="K372" s="15"/>
      <c r="L372" s="101"/>
      <c r="M372" s="15"/>
      <c r="N372" s="82"/>
      <c r="O372" s="100"/>
      <c r="P372" s="100"/>
      <c r="Q372" s="100"/>
      <c r="R372" s="16"/>
      <c r="S372" s="16"/>
      <c r="T372" s="102"/>
      <c r="U372" s="102"/>
      <c r="V372" s="102"/>
      <c r="W372" s="12"/>
      <c r="X372" s="16"/>
      <c r="Y372" s="13"/>
      <c r="Z372" s="8"/>
      <c r="AA372" s="8"/>
      <c r="AB372" s="8"/>
    </row>
    <row r="373" spans="2:28" s="14" customFormat="1">
      <c r="B373" s="8"/>
      <c r="C373" s="8"/>
      <c r="D373" s="8"/>
      <c r="E373" s="8"/>
      <c r="F373" s="8"/>
      <c r="G373" s="76"/>
      <c r="H373" s="76"/>
      <c r="I373" s="76"/>
      <c r="J373" s="15"/>
      <c r="K373" s="15"/>
      <c r="L373" s="101"/>
      <c r="M373" s="15"/>
      <c r="N373" s="82"/>
      <c r="O373" s="100"/>
      <c r="P373" s="100"/>
      <c r="Q373" s="100"/>
      <c r="R373" s="16"/>
      <c r="S373" s="16"/>
      <c r="T373" s="102"/>
      <c r="U373" s="102"/>
      <c r="V373" s="102"/>
      <c r="W373" s="12"/>
      <c r="X373" s="16"/>
      <c r="Y373" s="13"/>
      <c r="Z373" s="8"/>
      <c r="AA373" s="8"/>
      <c r="AB373" s="8"/>
    </row>
    <row r="374" spans="2:28" s="14" customFormat="1">
      <c r="B374" s="8"/>
      <c r="C374" s="8"/>
      <c r="D374" s="8"/>
      <c r="E374" s="8"/>
      <c r="F374" s="8"/>
      <c r="G374" s="76"/>
      <c r="H374" s="76"/>
      <c r="I374" s="76"/>
      <c r="J374" s="15"/>
      <c r="K374" s="15"/>
      <c r="L374" s="101"/>
      <c r="M374" s="15"/>
      <c r="N374" s="82"/>
      <c r="O374" s="100"/>
      <c r="P374" s="100"/>
      <c r="Q374" s="100"/>
      <c r="R374" s="16"/>
      <c r="S374" s="16"/>
      <c r="T374" s="102"/>
      <c r="U374" s="102"/>
      <c r="V374" s="102"/>
      <c r="W374" s="12"/>
      <c r="X374" s="16"/>
      <c r="Y374" s="13"/>
      <c r="Z374" s="8"/>
      <c r="AA374" s="8"/>
      <c r="AB374" s="8"/>
    </row>
    <row r="375" spans="2:28" s="14" customFormat="1">
      <c r="B375" s="8"/>
      <c r="C375" s="8"/>
      <c r="D375" s="8"/>
      <c r="E375" s="8"/>
      <c r="F375" s="8"/>
      <c r="G375" s="76"/>
      <c r="H375" s="76"/>
      <c r="I375" s="76"/>
      <c r="J375" s="15"/>
      <c r="K375" s="15"/>
      <c r="L375" s="101"/>
      <c r="M375" s="15"/>
      <c r="N375" s="82"/>
      <c r="O375" s="100"/>
      <c r="P375" s="100"/>
      <c r="Q375" s="100"/>
      <c r="R375" s="16"/>
      <c r="S375" s="16"/>
      <c r="T375" s="102"/>
      <c r="U375" s="102"/>
      <c r="V375" s="102"/>
      <c r="W375" s="12"/>
      <c r="X375" s="16"/>
      <c r="Y375" s="13"/>
      <c r="Z375" s="8"/>
      <c r="AA375" s="8"/>
      <c r="AB375" s="8"/>
    </row>
    <row r="376" spans="2:28" s="14" customFormat="1">
      <c r="B376" s="8"/>
      <c r="C376" s="8"/>
      <c r="D376" s="8"/>
      <c r="E376" s="8"/>
      <c r="F376" s="8"/>
      <c r="G376" s="76"/>
      <c r="H376" s="76"/>
      <c r="I376" s="76"/>
      <c r="J376" s="15"/>
      <c r="K376" s="15"/>
      <c r="L376" s="101"/>
      <c r="M376" s="15"/>
      <c r="N376" s="82"/>
      <c r="O376" s="100"/>
      <c r="P376" s="100"/>
      <c r="Q376" s="100"/>
      <c r="R376" s="16"/>
      <c r="S376" s="16"/>
      <c r="T376" s="102"/>
      <c r="U376" s="102"/>
      <c r="V376" s="102"/>
      <c r="W376" s="12"/>
      <c r="X376" s="16"/>
      <c r="Y376" s="13"/>
      <c r="Z376" s="8"/>
      <c r="AA376" s="8"/>
      <c r="AB376" s="8"/>
    </row>
    <row r="377" spans="2:28" s="14" customFormat="1">
      <c r="B377" s="8"/>
      <c r="C377" s="8"/>
      <c r="D377" s="8"/>
      <c r="E377" s="8"/>
      <c r="F377" s="8"/>
      <c r="G377" s="76"/>
      <c r="H377" s="76"/>
      <c r="I377" s="76"/>
      <c r="J377" s="15"/>
      <c r="K377" s="15"/>
      <c r="L377" s="101"/>
      <c r="M377" s="15"/>
      <c r="N377" s="82"/>
      <c r="O377" s="100"/>
      <c r="P377" s="100"/>
      <c r="Q377" s="100"/>
      <c r="R377" s="16"/>
      <c r="S377" s="16"/>
      <c r="T377" s="102"/>
      <c r="U377" s="102"/>
      <c r="V377" s="102"/>
      <c r="W377" s="12"/>
      <c r="X377" s="16"/>
      <c r="Y377" s="13"/>
      <c r="Z377" s="8"/>
      <c r="AA377" s="8"/>
      <c r="AB377" s="8"/>
    </row>
    <row r="378" spans="2:28" s="14" customFormat="1">
      <c r="B378" s="8"/>
      <c r="C378" s="8"/>
      <c r="D378" s="8"/>
      <c r="E378" s="8"/>
      <c r="F378" s="8"/>
      <c r="G378" s="76"/>
      <c r="H378" s="76"/>
      <c r="I378" s="76"/>
      <c r="J378" s="15"/>
      <c r="K378" s="15"/>
      <c r="L378" s="101"/>
      <c r="M378" s="15"/>
      <c r="N378" s="82"/>
      <c r="O378" s="100"/>
      <c r="P378" s="100"/>
      <c r="Q378" s="100"/>
      <c r="R378" s="16"/>
      <c r="S378" s="16"/>
      <c r="T378" s="102"/>
      <c r="U378" s="102"/>
      <c r="V378" s="102"/>
      <c r="W378" s="12"/>
      <c r="X378" s="16"/>
      <c r="Y378" s="13"/>
      <c r="Z378" s="8"/>
      <c r="AA378" s="8"/>
      <c r="AB378" s="8"/>
    </row>
    <row r="379" spans="2:28" s="14" customFormat="1">
      <c r="B379" s="8"/>
      <c r="C379" s="8"/>
      <c r="D379" s="8"/>
      <c r="E379" s="8"/>
      <c r="F379" s="8"/>
      <c r="G379" s="76"/>
      <c r="H379" s="76"/>
      <c r="I379" s="76"/>
      <c r="J379" s="15"/>
      <c r="K379" s="15"/>
      <c r="L379" s="101"/>
      <c r="M379" s="15"/>
      <c r="N379" s="82"/>
      <c r="O379" s="100"/>
      <c r="P379" s="100"/>
      <c r="Q379" s="100"/>
      <c r="R379" s="16"/>
      <c r="S379" s="16"/>
      <c r="T379" s="102"/>
      <c r="U379" s="102"/>
      <c r="V379" s="102"/>
      <c r="W379" s="12"/>
      <c r="X379" s="16"/>
      <c r="Y379" s="13"/>
      <c r="Z379" s="8"/>
      <c r="AA379" s="8"/>
      <c r="AB379" s="8"/>
    </row>
    <row r="380" spans="2:28" s="14" customFormat="1">
      <c r="B380" s="8"/>
      <c r="C380" s="8"/>
      <c r="D380" s="8"/>
      <c r="E380" s="8"/>
      <c r="F380" s="8"/>
      <c r="G380" s="76"/>
      <c r="H380" s="76"/>
      <c r="I380" s="76"/>
      <c r="J380" s="15"/>
      <c r="K380" s="15"/>
      <c r="L380" s="101"/>
      <c r="M380" s="15"/>
      <c r="N380" s="82"/>
      <c r="O380" s="100"/>
      <c r="P380" s="100"/>
      <c r="Q380" s="100"/>
      <c r="R380" s="16"/>
      <c r="S380" s="16"/>
      <c r="T380" s="102"/>
      <c r="U380" s="102"/>
      <c r="V380" s="102"/>
      <c r="W380" s="12"/>
      <c r="X380" s="16"/>
      <c r="Y380" s="13"/>
      <c r="Z380" s="8"/>
      <c r="AA380" s="8"/>
      <c r="AB380" s="8"/>
    </row>
    <row r="381" spans="2:28" s="14" customFormat="1">
      <c r="B381" s="8"/>
      <c r="C381" s="8"/>
      <c r="D381" s="8"/>
      <c r="E381" s="8"/>
      <c r="F381" s="8"/>
      <c r="G381" s="76"/>
      <c r="H381" s="76"/>
      <c r="I381" s="76"/>
      <c r="J381" s="15"/>
      <c r="K381" s="15"/>
      <c r="L381" s="101"/>
      <c r="M381" s="15"/>
      <c r="N381" s="82"/>
      <c r="O381" s="100"/>
      <c r="P381" s="100"/>
      <c r="Q381" s="100"/>
      <c r="R381" s="16"/>
      <c r="S381" s="16"/>
      <c r="T381" s="102"/>
      <c r="U381" s="102"/>
      <c r="V381" s="102"/>
      <c r="W381" s="12"/>
      <c r="X381" s="16"/>
      <c r="Y381" s="13"/>
      <c r="Z381" s="8"/>
      <c r="AA381" s="8"/>
      <c r="AB381" s="8"/>
    </row>
    <row r="382" spans="2:28" s="14" customFormat="1">
      <c r="B382" s="8"/>
      <c r="C382" s="8"/>
      <c r="D382" s="8"/>
      <c r="E382" s="8"/>
      <c r="F382" s="8"/>
      <c r="G382" s="76"/>
      <c r="H382" s="76"/>
      <c r="I382" s="76"/>
      <c r="J382" s="15"/>
      <c r="K382" s="15"/>
      <c r="L382" s="101"/>
      <c r="M382" s="15"/>
      <c r="N382" s="82"/>
      <c r="O382" s="100"/>
      <c r="P382" s="100"/>
      <c r="Q382" s="100"/>
      <c r="R382" s="16"/>
      <c r="S382" s="16"/>
      <c r="T382" s="102"/>
      <c r="U382" s="102"/>
      <c r="V382" s="102"/>
      <c r="W382" s="12"/>
      <c r="X382" s="16"/>
      <c r="Y382" s="13"/>
      <c r="Z382" s="8"/>
      <c r="AA382" s="8"/>
      <c r="AB382" s="8"/>
    </row>
    <row r="383" spans="2:28" s="14" customFormat="1">
      <c r="B383" s="8"/>
      <c r="C383" s="8"/>
      <c r="D383" s="8"/>
      <c r="E383" s="8"/>
      <c r="F383" s="8"/>
      <c r="G383" s="76"/>
      <c r="H383" s="76"/>
      <c r="I383" s="76"/>
      <c r="J383" s="15"/>
      <c r="K383" s="15"/>
      <c r="L383" s="101"/>
      <c r="M383" s="15"/>
      <c r="N383" s="82"/>
      <c r="O383" s="100"/>
      <c r="P383" s="100"/>
      <c r="Q383" s="100"/>
      <c r="R383" s="16"/>
      <c r="S383" s="16"/>
      <c r="T383" s="102"/>
      <c r="U383" s="102"/>
      <c r="V383" s="102"/>
      <c r="W383" s="12"/>
      <c r="X383" s="16"/>
      <c r="Y383" s="13"/>
      <c r="Z383" s="8"/>
      <c r="AA383" s="8"/>
      <c r="AB383" s="8"/>
    </row>
    <row r="384" spans="2:28" s="14" customFormat="1">
      <c r="B384" s="8"/>
      <c r="C384" s="8"/>
      <c r="D384" s="8"/>
      <c r="E384" s="8"/>
      <c r="F384" s="8"/>
      <c r="G384" s="76"/>
      <c r="H384" s="76"/>
      <c r="I384" s="76"/>
      <c r="J384" s="15"/>
      <c r="K384" s="15"/>
      <c r="L384" s="101"/>
      <c r="M384" s="15"/>
      <c r="N384" s="82"/>
      <c r="O384" s="100"/>
      <c r="P384" s="100"/>
      <c r="Q384" s="100"/>
      <c r="R384" s="16"/>
      <c r="S384" s="16"/>
      <c r="T384" s="102"/>
      <c r="U384" s="102"/>
      <c r="V384" s="102"/>
      <c r="W384" s="12"/>
      <c r="X384" s="16"/>
      <c r="Y384" s="13"/>
      <c r="Z384" s="8"/>
      <c r="AA384" s="8"/>
      <c r="AB384" s="8"/>
    </row>
    <row r="385" spans="2:28" s="14" customFormat="1">
      <c r="B385" s="8"/>
      <c r="C385" s="8"/>
      <c r="D385" s="8"/>
      <c r="E385" s="8"/>
      <c r="F385" s="8"/>
      <c r="G385" s="76"/>
      <c r="H385" s="76"/>
      <c r="I385" s="76"/>
      <c r="J385" s="15"/>
      <c r="K385" s="15"/>
      <c r="L385" s="101"/>
      <c r="M385" s="15"/>
      <c r="N385" s="82"/>
      <c r="O385" s="100"/>
      <c r="P385" s="100"/>
      <c r="Q385" s="100"/>
      <c r="R385" s="16"/>
      <c r="S385" s="16"/>
      <c r="T385" s="102"/>
      <c r="U385" s="102"/>
      <c r="V385" s="102"/>
      <c r="W385" s="12"/>
      <c r="X385" s="16"/>
      <c r="Y385" s="13"/>
      <c r="Z385" s="8"/>
      <c r="AA385" s="8"/>
      <c r="AB385" s="8"/>
    </row>
    <row r="386" spans="2:28" s="14" customFormat="1">
      <c r="B386" s="8"/>
      <c r="C386" s="8"/>
      <c r="D386" s="8"/>
      <c r="E386" s="8"/>
      <c r="F386" s="8"/>
      <c r="G386" s="76"/>
      <c r="H386" s="76"/>
      <c r="I386" s="76"/>
      <c r="J386" s="15"/>
      <c r="K386" s="15"/>
      <c r="L386" s="101"/>
      <c r="M386" s="15"/>
      <c r="N386" s="82"/>
      <c r="O386" s="100"/>
      <c r="P386" s="100"/>
      <c r="Q386" s="100"/>
      <c r="R386" s="16"/>
      <c r="S386" s="16"/>
      <c r="T386" s="102"/>
      <c r="U386" s="102"/>
      <c r="V386" s="102"/>
      <c r="W386" s="12"/>
      <c r="X386" s="16"/>
      <c r="Y386" s="13"/>
      <c r="Z386" s="8"/>
      <c r="AA386" s="8"/>
      <c r="AB386" s="8"/>
    </row>
    <row r="387" spans="2:28" s="14" customFormat="1">
      <c r="B387" s="8"/>
      <c r="C387" s="8"/>
      <c r="D387" s="8"/>
      <c r="E387" s="8"/>
      <c r="F387" s="8"/>
      <c r="G387" s="76"/>
      <c r="H387" s="76"/>
      <c r="I387" s="76"/>
      <c r="J387" s="15"/>
      <c r="K387" s="15"/>
      <c r="L387" s="101"/>
      <c r="M387" s="15"/>
      <c r="N387" s="82"/>
      <c r="O387" s="100"/>
      <c r="P387" s="100"/>
      <c r="Q387" s="100"/>
      <c r="R387" s="16"/>
      <c r="S387" s="16"/>
      <c r="T387" s="102"/>
      <c r="U387" s="102"/>
      <c r="V387" s="102"/>
      <c r="W387" s="12"/>
      <c r="X387" s="16"/>
      <c r="Y387" s="13"/>
      <c r="Z387" s="8"/>
      <c r="AA387" s="8"/>
      <c r="AB387" s="8"/>
    </row>
    <row r="388" spans="2:28" s="14" customFormat="1">
      <c r="B388" s="8"/>
      <c r="C388" s="8"/>
      <c r="D388" s="8"/>
      <c r="E388" s="8"/>
      <c r="F388" s="8"/>
      <c r="G388" s="76"/>
      <c r="H388" s="76"/>
      <c r="I388" s="76"/>
      <c r="J388" s="15"/>
      <c r="K388" s="15"/>
      <c r="L388" s="101"/>
      <c r="M388" s="15"/>
      <c r="N388" s="82"/>
      <c r="O388" s="100"/>
      <c r="P388" s="100"/>
      <c r="Q388" s="100"/>
      <c r="R388" s="16"/>
      <c r="S388" s="16"/>
      <c r="T388" s="102"/>
      <c r="U388" s="102"/>
      <c r="V388" s="102"/>
      <c r="W388" s="12"/>
      <c r="X388" s="16"/>
      <c r="Y388" s="13"/>
      <c r="Z388" s="8"/>
      <c r="AA388" s="8"/>
      <c r="AB388" s="8"/>
    </row>
    <row r="389" spans="2:28" s="14" customFormat="1">
      <c r="B389" s="8"/>
      <c r="C389" s="8"/>
      <c r="D389" s="8"/>
      <c r="E389" s="8"/>
      <c r="F389" s="8"/>
      <c r="G389" s="76"/>
      <c r="H389" s="76"/>
      <c r="I389" s="76"/>
      <c r="J389" s="15"/>
      <c r="K389" s="15"/>
      <c r="L389" s="101"/>
      <c r="M389" s="15"/>
      <c r="N389" s="82"/>
      <c r="O389" s="100"/>
      <c r="P389" s="100"/>
      <c r="Q389" s="100"/>
      <c r="R389" s="16"/>
      <c r="S389" s="16"/>
      <c r="T389" s="102"/>
      <c r="U389" s="102"/>
      <c r="V389" s="102"/>
      <c r="W389" s="12"/>
      <c r="X389" s="16"/>
      <c r="Y389" s="13"/>
      <c r="Z389" s="8"/>
      <c r="AA389" s="8"/>
      <c r="AB389" s="8"/>
    </row>
    <row r="390" spans="2:28" s="14" customFormat="1">
      <c r="B390" s="8"/>
      <c r="C390" s="8"/>
      <c r="D390" s="8"/>
      <c r="E390" s="8"/>
      <c r="F390" s="8"/>
      <c r="G390" s="76"/>
      <c r="H390" s="76"/>
      <c r="I390" s="76"/>
      <c r="J390" s="15"/>
      <c r="K390" s="15"/>
      <c r="L390" s="101"/>
      <c r="M390" s="15"/>
      <c r="N390" s="82"/>
      <c r="O390" s="100"/>
      <c r="P390" s="100"/>
      <c r="Q390" s="100"/>
      <c r="R390" s="16"/>
      <c r="S390" s="16"/>
      <c r="T390" s="102"/>
      <c r="U390" s="102"/>
      <c r="V390" s="102"/>
      <c r="W390" s="12"/>
      <c r="X390" s="16"/>
      <c r="Y390" s="13"/>
      <c r="Z390" s="8"/>
      <c r="AA390" s="8"/>
      <c r="AB390" s="8"/>
    </row>
    <row r="391" spans="2:28" s="14" customFormat="1">
      <c r="B391" s="8"/>
      <c r="C391" s="8"/>
      <c r="D391" s="8"/>
      <c r="E391" s="8"/>
      <c r="F391" s="8"/>
      <c r="G391" s="76"/>
      <c r="H391" s="76"/>
      <c r="I391" s="76"/>
      <c r="J391" s="15"/>
      <c r="K391" s="15"/>
      <c r="L391" s="101"/>
      <c r="M391" s="15"/>
      <c r="N391" s="82"/>
      <c r="O391" s="100"/>
      <c r="P391" s="100"/>
      <c r="Q391" s="100"/>
      <c r="R391" s="16"/>
      <c r="S391" s="16"/>
      <c r="T391" s="102"/>
      <c r="U391" s="102"/>
      <c r="V391" s="102"/>
      <c r="W391" s="12"/>
      <c r="X391" s="16"/>
      <c r="Y391" s="13"/>
      <c r="Z391" s="8"/>
      <c r="AA391" s="8"/>
      <c r="AB391" s="8"/>
    </row>
    <row r="392" spans="2:28" s="14" customFormat="1">
      <c r="B392" s="8"/>
      <c r="C392" s="8"/>
      <c r="D392" s="8"/>
      <c r="E392" s="8"/>
      <c r="F392" s="8"/>
      <c r="G392" s="76"/>
      <c r="H392" s="76"/>
      <c r="I392" s="76"/>
      <c r="J392" s="15"/>
      <c r="K392" s="15"/>
      <c r="L392" s="101"/>
      <c r="M392" s="15"/>
      <c r="N392" s="82"/>
      <c r="O392" s="100"/>
      <c r="P392" s="100"/>
      <c r="Q392" s="100"/>
      <c r="R392" s="16"/>
      <c r="S392" s="16"/>
      <c r="T392" s="102"/>
      <c r="U392" s="102"/>
      <c r="V392" s="102"/>
      <c r="W392" s="12"/>
      <c r="X392" s="16"/>
      <c r="Y392" s="13"/>
      <c r="Z392" s="8"/>
      <c r="AA392" s="8"/>
      <c r="AB392" s="8"/>
    </row>
    <row r="393" spans="2:28" s="14" customFormat="1">
      <c r="B393" s="8"/>
      <c r="C393" s="8"/>
      <c r="D393" s="8"/>
      <c r="E393" s="8"/>
      <c r="F393" s="8"/>
      <c r="G393" s="76"/>
      <c r="H393" s="76"/>
      <c r="I393" s="76"/>
      <c r="J393" s="15"/>
      <c r="K393" s="15"/>
      <c r="L393" s="101"/>
      <c r="M393" s="15"/>
      <c r="N393" s="82"/>
      <c r="O393" s="100"/>
      <c r="P393" s="100"/>
      <c r="Q393" s="100"/>
      <c r="R393" s="16"/>
      <c r="S393" s="16"/>
      <c r="T393" s="102"/>
      <c r="U393" s="102"/>
      <c r="V393" s="102"/>
      <c r="W393" s="12"/>
      <c r="X393" s="16"/>
      <c r="Y393" s="13"/>
      <c r="Z393" s="8"/>
      <c r="AA393" s="8"/>
      <c r="AB393" s="8"/>
    </row>
    <row r="394" spans="2:28" s="14" customFormat="1">
      <c r="B394" s="8"/>
      <c r="C394" s="8"/>
      <c r="D394" s="8"/>
      <c r="E394" s="8"/>
      <c r="F394" s="8"/>
      <c r="G394" s="76"/>
      <c r="H394" s="76"/>
      <c r="I394" s="76"/>
      <c r="J394" s="15"/>
      <c r="K394" s="15"/>
      <c r="L394" s="101"/>
      <c r="M394" s="15"/>
      <c r="N394" s="82"/>
      <c r="O394" s="100"/>
      <c r="P394" s="100"/>
      <c r="Q394" s="100"/>
      <c r="R394" s="16"/>
      <c r="S394" s="16"/>
      <c r="T394" s="102"/>
      <c r="U394" s="102"/>
      <c r="V394" s="102"/>
      <c r="W394" s="12"/>
      <c r="X394" s="16"/>
      <c r="Y394" s="13"/>
      <c r="Z394" s="8"/>
      <c r="AA394" s="8"/>
      <c r="AB394" s="8"/>
    </row>
    <row r="395" spans="2:28" s="14" customFormat="1">
      <c r="B395" s="8"/>
      <c r="C395" s="8"/>
      <c r="D395" s="8"/>
      <c r="E395" s="8"/>
      <c r="F395" s="8"/>
      <c r="G395" s="76"/>
      <c r="H395" s="76"/>
      <c r="I395" s="76"/>
      <c r="J395" s="15"/>
      <c r="K395" s="15"/>
      <c r="L395" s="101"/>
      <c r="M395" s="15"/>
      <c r="N395" s="82"/>
      <c r="O395" s="100"/>
      <c r="P395" s="100"/>
      <c r="Q395" s="100"/>
      <c r="R395" s="16"/>
      <c r="S395" s="16"/>
      <c r="T395" s="102"/>
      <c r="U395" s="102"/>
      <c r="V395" s="102"/>
      <c r="W395" s="12"/>
      <c r="X395" s="16"/>
      <c r="Y395" s="13"/>
      <c r="Z395" s="8"/>
      <c r="AA395" s="8"/>
      <c r="AB395" s="8"/>
    </row>
    <row r="396" spans="2:28" s="14" customFormat="1">
      <c r="B396" s="8"/>
      <c r="C396" s="8"/>
      <c r="D396" s="8"/>
      <c r="E396" s="8"/>
      <c r="F396" s="8"/>
      <c r="G396" s="76"/>
      <c r="H396" s="76"/>
      <c r="I396" s="76"/>
      <c r="J396" s="15"/>
      <c r="K396" s="15"/>
      <c r="L396" s="101"/>
      <c r="M396" s="15"/>
      <c r="N396" s="82"/>
      <c r="O396" s="100"/>
      <c r="P396" s="100"/>
      <c r="Q396" s="100"/>
      <c r="R396" s="16"/>
      <c r="S396" s="16"/>
      <c r="T396" s="102"/>
      <c r="U396" s="102"/>
      <c r="V396" s="102"/>
      <c r="W396" s="12"/>
      <c r="X396" s="16"/>
      <c r="Y396" s="13"/>
      <c r="Z396" s="8"/>
      <c r="AA396" s="8"/>
      <c r="AB396" s="8"/>
    </row>
    <row r="397" spans="2:28" s="14" customFormat="1">
      <c r="B397" s="8"/>
      <c r="C397" s="8"/>
      <c r="D397" s="8"/>
      <c r="E397" s="8"/>
      <c r="F397" s="8"/>
      <c r="G397" s="76"/>
      <c r="H397" s="76"/>
      <c r="I397" s="76"/>
      <c r="J397" s="15"/>
      <c r="K397" s="15"/>
      <c r="L397" s="101"/>
      <c r="M397" s="15"/>
      <c r="N397" s="82"/>
      <c r="O397" s="100"/>
      <c r="P397" s="100"/>
      <c r="Q397" s="100"/>
      <c r="R397" s="16"/>
      <c r="S397" s="16"/>
      <c r="T397" s="102"/>
      <c r="U397" s="102"/>
      <c r="V397" s="102"/>
      <c r="W397" s="12"/>
      <c r="X397" s="16"/>
      <c r="Y397" s="13"/>
      <c r="Z397" s="8"/>
      <c r="AA397" s="8"/>
      <c r="AB397" s="8"/>
    </row>
    <row r="398" spans="2:28" s="14" customFormat="1">
      <c r="B398" s="8"/>
      <c r="C398" s="8"/>
      <c r="D398" s="8"/>
      <c r="E398" s="8"/>
      <c r="F398" s="8"/>
      <c r="G398" s="76"/>
      <c r="H398" s="76"/>
      <c r="I398" s="76"/>
      <c r="J398" s="15"/>
      <c r="K398" s="15"/>
      <c r="L398" s="101"/>
      <c r="M398" s="15"/>
      <c r="N398" s="82"/>
      <c r="O398" s="100"/>
      <c r="P398" s="100"/>
      <c r="Q398" s="100"/>
      <c r="R398" s="16"/>
      <c r="S398" s="16"/>
      <c r="T398" s="102"/>
      <c r="U398" s="102"/>
      <c r="V398" s="102"/>
      <c r="W398" s="12"/>
      <c r="X398" s="16"/>
      <c r="Y398" s="13"/>
      <c r="Z398" s="8"/>
      <c r="AA398" s="8"/>
      <c r="AB398" s="8"/>
    </row>
    <row r="399" spans="2:28" s="14" customFormat="1">
      <c r="B399" s="8"/>
      <c r="C399" s="8"/>
      <c r="D399" s="8"/>
      <c r="E399" s="8"/>
      <c r="F399" s="8"/>
      <c r="G399" s="76"/>
      <c r="H399" s="76"/>
      <c r="I399" s="76"/>
      <c r="J399" s="15"/>
      <c r="K399" s="15"/>
      <c r="L399" s="101"/>
      <c r="M399" s="15"/>
      <c r="N399" s="82"/>
      <c r="O399" s="100"/>
      <c r="P399" s="100"/>
      <c r="Q399" s="100"/>
      <c r="R399" s="16"/>
      <c r="S399" s="16"/>
      <c r="T399" s="102"/>
      <c r="U399" s="102"/>
      <c r="V399" s="102"/>
      <c r="W399" s="12"/>
      <c r="X399" s="16"/>
      <c r="Y399" s="13"/>
      <c r="Z399" s="8"/>
      <c r="AA399" s="8"/>
      <c r="AB399" s="8"/>
    </row>
    <row r="400" spans="2:28" s="14" customFormat="1">
      <c r="B400" s="8"/>
      <c r="C400" s="8"/>
      <c r="D400" s="8"/>
      <c r="E400" s="8"/>
      <c r="F400" s="8"/>
      <c r="G400" s="76"/>
      <c r="H400" s="76"/>
      <c r="I400" s="76"/>
      <c r="J400" s="15"/>
      <c r="K400" s="15"/>
      <c r="L400" s="101"/>
      <c r="M400" s="15"/>
      <c r="N400" s="82"/>
      <c r="O400" s="100"/>
      <c r="P400" s="100"/>
      <c r="Q400" s="100"/>
      <c r="R400" s="16"/>
      <c r="S400" s="16"/>
      <c r="T400" s="102"/>
      <c r="U400" s="102"/>
      <c r="V400" s="102"/>
      <c r="W400" s="12"/>
      <c r="X400" s="16"/>
      <c r="Y400" s="13"/>
      <c r="Z400" s="8"/>
      <c r="AA400" s="8"/>
      <c r="AB400" s="8"/>
    </row>
    <row r="401" spans="2:28" s="14" customFormat="1">
      <c r="B401" s="8"/>
      <c r="C401" s="8"/>
      <c r="D401" s="8"/>
      <c r="E401" s="8"/>
      <c r="F401" s="8"/>
      <c r="G401" s="76"/>
      <c r="H401" s="76"/>
      <c r="I401" s="76"/>
      <c r="J401" s="15"/>
      <c r="K401" s="15"/>
      <c r="L401" s="101"/>
      <c r="M401" s="15"/>
      <c r="N401" s="82"/>
      <c r="O401" s="100"/>
      <c r="P401" s="100"/>
      <c r="Q401" s="100"/>
      <c r="R401" s="16"/>
      <c r="S401" s="16"/>
      <c r="T401" s="102"/>
      <c r="U401" s="102"/>
      <c r="V401" s="102"/>
      <c r="W401" s="12"/>
      <c r="X401" s="16"/>
      <c r="Y401" s="13"/>
      <c r="Z401" s="8"/>
      <c r="AA401" s="8"/>
      <c r="AB401" s="8"/>
    </row>
    <row r="402" spans="2:28" s="14" customFormat="1">
      <c r="B402" s="8"/>
      <c r="C402" s="8"/>
      <c r="D402" s="8"/>
      <c r="E402" s="8"/>
      <c r="F402" s="8"/>
      <c r="G402" s="76"/>
      <c r="H402" s="76"/>
      <c r="I402" s="76"/>
      <c r="J402" s="15"/>
      <c r="K402" s="15"/>
      <c r="L402" s="101"/>
      <c r="M402" s="15"/>
      <c r="N402" s="82"/>
      <c r="O402" s="100"/>
      <c r="P402" s="100"/>
      <c r="Q402" s="100"/>
      <c r="R402" s="16"/>
      <c r="S402" s="16"/>
      <c r="T402" s="102"/>
      <c r="U402" s="102"/>
      <c r="V402" s="102"/>
      <c r="W402" s="12"/>
      <c r="X402" s="16"/>
      <c r="Y402" s="13"/>
      <c r="Z402" s="8"/>
      <c r="AA402" s="8"/>
      <c r="AB402" s="8"/>
    </row>
    <row r="403" spans="2:28" s="14" customFormat="1">
      <c r="B403" s="8"/>
      <c r="C403" s="8"/>
      <c r="D403" s="8"/>
      <c r="E403" s="8"/>
      <c r="F403" s="8"/>
      <c r="G403" s="76"/>
      <c r="H403" s="76"/>
      <c r="I403" s="76"/>
      <c r="J403" s="15"/>
      <c r="K403" s="15"/>
      <c r="L403" s="101"/>
      <c r="M403" s="15"/>
      <c r="N403" s="82"/>
      <c r="O403" s="100"/>
      <c r="P403" s="100"/>
      <c r="Q403" s="100"/>
      <c r="R403" s="16"/>
      <c r="S403" s="16"/>
      <c r="T403" s="102"/>
      <c r="U403" s="102"/>
      <c r="V403" s="102"/>
      <c r="W403" s="12"/>
      <c r="X403" s="16"/>
      <c r="Y403" s="13"/>
      <c r="Z403" s="8"/>
      <c r="AA403" s="8"/>
      <c r="AB403" s="8"/>
    </row>
    <row r="404" spans="2:28" s="14" customFormat="1">
      <c r="B404" s="8"/>
      <c r="C404" s="8"/>
      <c r="D404" s="8"/>
      <c r="E404" s="8"/>
      <c r="F404" s="8"/>
      <c r="G404" s="76"/>
      <c r="H404" s="76"/>
      <c r="I404" s="76"/>
      <c r="J404" s="15"/>
      <c r="K404" s="15"/>
      <c r="L404" s="101"/>
      <c r="M404" s="15"/>
      <c r="N404" s="82"/>
      <c r="O404" s="100"/>
      <c r="P404" s="100"/>
      <c r="Q404" s="100"/>
      <c r="R404" s="16"/>
      <c r="S404" s="16"/>
      <c r="T404" s="102"/>
      <c r="U404" s="102"/>
      <c r="V404" s="102"/>
      <c r="W404" s="12"/>
      <c r="X404" s="16"/>
      <c r="Y404" s="13"/>
      <c r="Z404" s="8"/>
      <c r="AA404" s="8"/>
      <c r="AB404" s="8"/>
    </row>
    <row r="405" spans="2:28" s="14" customFormat="1">
      <c r="B405" s="8"/>
      <c r="C405" s="8"/>
      <c r="D405" s="8"/>
      <c r="E405" s="8"/>
      <c r="F405" s="8"/>
      <c r="G405" s="76"/>
      <c r="H405" s="76"/>
      <c r="I405" s="76"/>
      <c r="J405" s="15"/>
      <c r="K405" s="15"/>
      <c r="L405" s="101"/>
      <c r="M405" s="15"/>
      <c r="N405" s="82"/>
      <c r="O405" s="100"/>
      <c r="P405" s="100"/>
      <c r="Q405" s="100"/>
      <c r="R405" s="16"/>
      <c r="S405" s="16"/>
      <c r="T405" s="102"/>
      <c r="U405" s="102"/>
      <c r="V405" s="102"/>
      <c r="W405" s="12"/>
      <c r="X405" s="16"/>
      <c r="Y405" s="13"/>
      <c r="Z405" s="8"/>
      <c r="AA405" s="8"/>
      <c r="AB405" s="8"/>
    </row>
    <row r="406" spans="2:28" s="14" customFormat="1">
      <c r="B406" s="8"/>
      <c r="C406" s="8"/>
      <c r="D406" s="8"/>
      <c r="E406" s="8"/>
      <c r="F406" s="8"/>
      <c r="G406" s="76"/>
      <c r="H406" s="76"/>
      <c r="I406" s="76"/>
      <c r="J406" s="15"/>
      <c r="K406" s="15"/>
      <c r="L406" s="101"/>
      <c r="M406" s="15"/>
      <c r="N406" s="82"/>
      <c r="O406" s="100"/>
      <c r="P406" s="100"/>
      <c r="Q406" s="100"/>
      <c r="R406" s="16"/>
      <c r="S406" s="16"/>
      <c r="T406" s="102"/>
      <c r="U406" s="102"/>
      <c r="V406" s="102"/>
      <c r="W406" s="12"/>
      <c r="X406" s="16"/>
      <c r="Y406" s="13"/>
      <c r="Z406" s="8"/>
      <c r="AA406" s="8"/>
      <c r="AB406" s="8"/>
    </row>
    <row r="407" spans="2:28" s="14" customFormat="1">
      <c r="B407" s="8"/>
      <c r="C407" s="8"/>
      <c r="D407" s="8"/>
      <c r="E407" s="8"/>
      <c r="F407" s="8"/>
      <c r="G407" s="76"/>
      <c r="H407" s="76"/>
      <c r="I407" s="76"/>
      <c r="J407" s="15"/>
      <c r="K407" s="15"/>
      <c r="L407" s="101"/>
      <c r="M407" s="15"/>
      <c r="N407" s="82"/>
      <c r="O407" s="100"/>
      <c r="P407" s="100"/>
      <c r="Q407" s="100"/>
      <c r="R407" s="16"/>
      <c r="S407" s="16"/>
      <c r="T407" s="102"/>
      <c r="U407" s="102"/>
      <c r="V407" s="102"/>
      <c r="W407" s="12"/>
      <c r="X407" s="16"/>
      <c r="Y407" s="13"/>
      <c r="Z407" s="8"/>
      <c r="AA407" s="8"/>
      <c r="AB407" s="8"/>
    </row>
    <row r="408" spans="2:28" s="14" customFormat="1">
      <c r="B408" s="8"/>
      <c r="C408" s="8"/>
      <c r="D408" s="8"/>
      <c r="E408" s="8"/>
      <c r="F408" s="8"/>
      <c r="G408" s="76"/>
      <c r="H408" s="76"/>
      <c r="I408" s="76"/>
      <c r="J408" s="15"/>
      <c r="K408" s="15"/>
      <c r="L408" s="101"/>
      <c r="M408" s="15"/>
      <c r="N408" s="82"/>
      <c r="O408" s="100"/>
      <c r="P408" s="100"/>
      <c r="Q408" s="100"/>
      <c r="R408" s="16"/>
      <c r="S408" s="16"/>
      <c r="T408" s="102"/>
      <c r="U408" s="102"/>
      <c r="V408" s="102"/>
      <c r="W408" s="12"/>
      <c r="X408" s="16"/>
      <c r="Y408" s="13"/>
      <c r="Z408" s="8"/>
      <c r="AA408" s="8"/>
      <c r="AB408" s="8"/>
    </row>
    <row r="409" spans="2:28" s="14" customFormat="1">
      <c r="B409" s="8"/>
      <c r="C409" s="8"/>
      <c r="D409" s="8"/>
      <c r="E409" s="8"/>
      <c r="F409" s="8"/>
      <c r="G409" s="76"/>
      <c r="H409" s="76"/>
      <c r="I409" s="76"/>
      <c r="J409" s="15"/>
      <c r="K409" s="15"/>
      <c r="L409" s="101"/>
      <c r="M409" s="15"/>
      <c r="N409" s="82"/>
      <c r="O409" s="100"/>
      <c r="P409" s="100"/>
      <c r="Q409" s="100"/>
      <c r="R409" s="16"/>
      <c r="S409" s="16"/>
      <c r="T409" s="102"/>
      <c r="U409" s="102"/>
      <c r="V409" s="102"/>
      <c r="W409" s="12"/>
      <c r="X409" s="16"/>
      <c r="Y409" s="13"/>
      <c r="Z409" s="8"/>
      <c r="AA409" s="8"/>
      <c r="AB409" s="8"/>
    </row>
    <row r="410" spans="2:28" s="14" customFormat="1">
      <c r="B410" s="8"/>
      <c r="C410" s="8"/>
      <c r="D410" s="8"/>
      <c r="E410" s="8"/>
      <c r="F410" s="8"/>
      <c r="G410" s="76"/>
      <c r="H410" s="76"/>
      <c r="I410" s="76"/>
      <c r="J410" s="15"/>
      <c r="K410" s="15"/>
      <c r="L410" s="101"/>
      <c r="M410" s="15"/>
      <c r="N410" s="82"/>
      <c r="O410" s="100"/>
      <c r="P410" s="100"/>
      <c r="Q410" s="100"/>
      <c r="R410" s="16"/>
      <c r="S410" s="16"/>
      <c r="T410" s="102"/>
      <c r="U410" s="102"/>
      <c r="V410" s="102"/>
      <c r="W410" s="12"/>
      <c r="X410" s="16"/>
      <c r="Y410" s="13"/>
      <c r="Z410" s="8"/>
      <c r="AA410" s="8"/>
      <c r="AB410" s="8"/>
    </row>
    <row r="411" spans="2:28" s="14" customFormat="1">
      <c r="B411" s="8"/>
      <c r="C411" s="8"/>
      <c r="D411" s="8"/>
      <c r="E411" s="8"/>
      <c r="F411" s="8"/>
      <c r="G411" s="76"/>
      <c r="H411" s="76"/>
      <c r="I411" s="76"/>
      <c r="J411" s="15"/>
      <c r="K411" s="15"/>
      <c r="L411" s="101"/>
      <c r="M411" s="15"/>
      <c r="N411" s="82"/>
      <c r="O411" s="100"/>
      <c r="P411" s="100"/>
      <c r="Q411" s="100"/>
      <c r="R411" s="16"/>
      <c r="S411" s="16"/>
      <c r="T411" s="102"/>
      <c r="U411" s="102"/>
      <c r="V411" s="102"/>
      <c r="W411" s="12"/>
      <c r="X411" s="16"/>
      <c r="Y411" s="13"/>
      <c r="Z411" s="8"/>
      <c r="AA411" s="8"/>
      <c r="AB411" s="8"/>
    </row>
    <row r="412" spans="2:28" s="14" customFormat="1">
      <c r="B412" s="8"/>
      <c r="C412" s="8"/>
      <c r="D412" s="8"/>
      <c r="E412" s="8"/>
      <c r="F412" s="8"/>
      <c r="G412" s="76"/>
      <c r="H412" s="76"/>
      <c r="I412" s="76"/>
      <c r="J412" s="15"/>
      <c r="K412" s="15"/>
      <c r="L412" s="101"/>
      <c r="M412" s="15"/>
      <c r="N412" s="82"/>
      <c r="O412" s="100"/>
      <c r="P412" s="100"/>
      <c r="Q412" s="100"/>
      <c r="R412" s="16"/>
      <c r="S412" s="16"/>
      <c r="T412" s="102"/>
      <c r="U412" s="102"/>
      <c r="V412" s="102"/>
      <c r="W412" s="12"/>
      <c r="X412" s="16"/>
      <c r="Y412" s="13"/>
      <c r="Z412" s="8"/>
      <c r="AA412" s="8"/>
      <c r="AB412" s="8"/>
    </row>
    <row r="413" spans="2:28" s="14" customFormat="1">
      <c r="B413" s="8"/>
      <c r="C413" s="8"/>
      <c r="D413" s="8"/>
      <c r="E413" s="8"/>
      <c r="F413" s="8"/>
      <c r="G413" s="76"/>
      <c r="H413" s="76"/>
      <c r="I413" s="76"/>
      <c r="J413" s="15"/>
      <c r="K413" s="15"/>
      <c r="L413" s="101"/>
      <c r="M413" s="15"/>
      <c r="N413" s="82"/>
      <c r="O413" s="100"/>
      <c r="P413" s="100"/>
      <c r="Q413" s="100"/>
      <c r="R413" s="16"/>
      <c r="S413" s="16"/>
      <c r="T413" s="102"/>
      <c r="U413" s="102"/>
      <c r="V413" s="102"/>
      <c r="W413" s="12"/>
      <c r="X413" s="16"/>
      <c r="Y413" s="13"/>
      <c r="Z413" s="8"/>
      <c r="AA413" s="8"/>
      <c r="AB413" s="8"/>
    </row>
    <row r="414" spans="2:28" s="14" customFormat="1">
      <c r="B414" s="8"/>
      <c r="C414" s="8"/>
      <c r="D414" s="8"/>
      <c r="E414" s="8"/>
      <c r="F414" s="8"/>
      <c r="G414" s="76"/>
      <c r="H414" s="76"/>
      <c r="I414" s="76"/>
      <c r="J414" s="15"/>
      <c r="K414" s="15"/>
      <c r="L414" s="101"/>
      <c r="M414" s="15"/>
      <c r="N414" s="82"/>
      <c r="O414" s="100"/>
      <c r="P414" s="100"/>
      <c r="Q414" s="100"/>
      <c r="R414" s="16"/>
      <c r="S414" s="16"/>
      <c r="T414" s="102"/>
      <c r="U414" s="102"/>
      <c r="V414" s="102"/>
      <c r="W414" s="12"/>
      <c r="X414" s="16"/>
      <c r="Y414" s="13"/>
      <c r="Z414" s="8"/>
      <c r="AA414" s="8"/>
      <c r="AB414" s="8"/>
    </row>
    <row r="415" spans="2:28" s="14" customFormat="1">
      <c r="B415" s="8"/>
      <c r="C415" s="8"/>
      <c r="D415" s="8"/>
      <c r="E415" s="8"/>
      <c r="F415" s="8"/>
      <c r="G415" s="76"/>
      <c r="H415" s="76"/>
      <c r="I415" s="76"/>
      <c r="J415" s="15"/>
      <c r="K415" s="15"/>
      <c r="L415" s="101"/>
      <c r="M415" s="15"/>
      <c r="N415" s="82"/>
      <c r="O415" s="100"/>
      <c r="P415" s="100"/>
      <c r="Q415" s="100"/>
      <c r="R415" s="16"/>
      <c r="S415" s="16"/>
      <c r="T415" s="102"/>
      <c r="U415" s="102"/>
      <c r="V415" s="102"/>
      <c r="W415" s="12"/>
      <c r="X415" s="16"/>
      <c r="Y415" s="13"/>
      <c r="Z415" s="8"/>
      <c r="AA415" s="8"/>
      <c r="AB415" s="8"/>
    </row>
    <row r="416" spans="2:28" s="14" customFormat="1">
      <c r="B416" s="8"/>
      <c r="C416" s="8"/>
      <c r="D416" s="8"/>
      <c r="E416" s="8"/>
      <c r="F416" s="8"/>
      <c r="G416" s="76"/>
      <c r="H416" s="76"/>
      <c r="I416" s="76"/>
      <c r="J416" s="15"/>
      <c r="K416" s="15"/>
      <c r="L416" s="101"/>
      <c r="M416" s="15"/>
      <c r="N416" s="82"/>
      <c r="O416" s="100"/>
      <c r="P416" s="100"/>
      <c r="Q416" s="100"/>
      <c r="R416" s="16"/>
      <c r="S416" s="16"/>
      <c r="T416" s="102"/>
      <c r="U416" s="102"/>
      <c r="V416" s="102"/>
      <c r="W416" s="12"/>
      <c r="X416" s="16"/>
      <c r="Y416" s="13"/>
      <c r="Z416" s="8"/>
      <c r="AA416" s="8"/>
      <c r="AB416" s="8"/>
    </row>
    <row r="417" spans="2:28" s="14" customFormat="1">
      <c r="B417" s="8"/>
      <c r="C417" s="8"/>
      <c r="D417" s="8"/>
      <c r="E417" s="8"/>
      <c r="F417" s="8"/>
      <c r="G417" s="76"/>
      <c r="H417" s="76"/>
      <c r="I417" s="76"/>
      <c r="J417" s="15"/>
      <c r="K417" s="15"/>
      <c r="L417" s="101"/>
      <c r="M417" s="15"/>
      <c r="N417" s="82"/>
      <c r="O417" s="100"/>
      <c r="P417" s="100"/>
      <c r="Q417" s="100"/>
      <c r="R417" s="16"/>
      <c r="S417" s="16"/>
      <c r="T417" s="102"/>
      <c r="U417" s="102"/>
      <c r="V417" s="102"/>
      <c r="W417" s="12"/>
      <c r="X417" s="16"/>
      <c r="Y417" s="13"/>
      <c r="Z417" s="8"/>
      <c r="AA417" s="8"/>
      <c r="AB417" s="8"/>
    </row>
    <row r="418" spans="2:28" s="14" customFormat="1">
      <c r="B418" s="8"/>
      <c r="C418" s="8"/>
      <c r="D418" s="8"/>
      <c r="E418" s="8"/>
      <c r="F418" s="8"/>
      <c r="G418" s="76"/>
      <c r="H418" s="76"/>
      <c r="I418" s="76"/>
      <c r="J418" s="15"/>
      <c r="K418" s="15"/>
      <c r="L418" s="101"/>
      <c r="M418" s="15"/>
      <c r="N418" s="82"/>
      <c r="O418" s="100"/>
      <c r="P418" s="100"/>
      <c r="Q418" s="100"/>
      <c r="R418" s="16"/>
      <c r="S418" s="16"/>
      <c r="T418" s="102"/>
      <c r="U418" s="102"/>
      <c r="V418" s="102"/>
      <c r="W418" s="12"/>
      <c r="X418" s="16"/>
      <c r="Y418" s="13"/>
      <c r="Z418" s="8"/>
      <c r="AA418" s="8"/>
      <c r="AB418" s="8"/>
    </row>
    <row r="419" spans="2:28" s="14" customFormat="1">
      <c r="B419" s="8"/>
      <c r="C419" s="8"/>
      <c r="D419" s="8"/>
      <c r="E419" s="8"/>
      <c r="F419" s="8"/>
      <c r="G419" s="76"/>
      <c r="H419" s="76"/>
      <c r="I419" s="76"/>
      <c r="J419" s="15"/>
      <c r="K419" s="15"/>
      <c r="L419" s="101"/>
      <c r="M419" s="15"/>
      <c r="N419" s="82"/>
      <c r="O419" s="100"/>
      <c r="P419" s="100"/>
      <c r="Q419" s="100"/>
      <c r="R419" s="16"/>
      <c r="S419" s="16"/>
      <c r="T419" s="102"/>
      <c r="U419" s="102"/>
      <c r="V419" s="102"/>
      <c r="W419" s="12"/>
      <c r="X419" s="16"/>
      <c r="Y419" s="13"/>
      <c r="Z419" s="8"/>
      <c r="AA419" s="8"/>
      <c r="AB419" s="8"/>
    </row>
    <row r="420" spans="2:28" s="14" customFormat="1">
      <c r="B420" s="8"/>
      <c r="C420" s="8"/>
      <c r="D420" s="8"/>
      <c r="E420" s="8"/>
      <c r="F420" s="8"/>
      <c r="G420" s="76"/>
      <c r="H420" s="76"/>
      <c r="I420" s="76"/>
      <c r="J420" s="15"/>
      <c r="K420" s="15"/>
      <c r="L420" s="101"/>
      <c r="M420" s="15"/>
      <c r="N420" s="82"/>
      <c r="O420" s="100"/>
      <c r="P420" s="100"/>
      <c r="Q420" s="100"/>
      <c r="R420" s="16"/>
      <c r="S420" s="16"/>
      <c r="T420" s="102"/>
      <c r="U420" s="102"/>
      <c r="V420" s="102"/>
      <c r="W420" s="12"/>
      <c r="X420" s="16"/>
      <c r="Y420" s="13"/>
      <c r="Z420" s="8"/>
      <c r="AA420" s="8"/>
      <c r="AB420" s="8"/>
    </row>
    <row r="421" spans="2:28" s="14" customFormat="1">
      <c r="B421" s="8"/>
      <c r="C421" s="8"/>
      <c r="D421" s="8"/>
      <c r="E421" s="8"/>
      <c r="F421" s="8"/>
      <c r="G421" s="76"/>
      <c r="H421" s="76"/>
      <c r="I421" s="76"/>
      <c r="J421" s="15"/>
      <c r="K421" s="15"/>
      <c r="L421" s="101"/>
      <c r="M421" s="15"/>
      <c r="N421" s="82"/>
      <c r="O421" s="100"/>
      <c r="P421" s="100"/>
      <c r="Q421" s="100"/>
      <c r="R421" s="16"/>
      <c r="S421" s="16"/>
      <c r="T421" s="102"/>
      <c r="U421" s="102"/>
      <c r="V421" s="102"/>
      <c r="W421" s="12"/>
      <c r="X421" s="16"/>
      <c r="Y421" s="13"/>
      <c r="Z421" s="8"/>
      <c r="AA421" s="8"/>
      <c r="AB421" s="8"/>
    </row>
    <row r="422" spans="2:28" s="14" customFormat="1">
      <c r="B422" s="8"/>
      <c r="C422" s="8"/>
      <c r="D422" s="8"/>
      <c r="E422" s="8"/>
      <c r="F422" s="8"/>
      <c r="G422" s="76"/>
      <c r="H422" s="76"/>
      <c r="I422" s="76"/>
      <c r="J422" s="15"/>
      <c r="K422" s="15"/>
      <c r="L422" s="101"/>
      <c r="M422" s="15"/>
      <c r="N422" s="82"/>
      <c r="O422" s="100"/>
      <c r="P422" s="100"/>
      <c r="Q422" s="100"/>
      <c r="R422" s="16"/>
      <c r="S422" s="16"/>
      <c r="T422" s="102"/>
      <c r="U422" s="102"/>
      <c r="V422" s="102"/>
      <c r="W422" s="12"/>
      <c r="X422" s="16"/>
      <c r="Y422" s="13"/>
      <c r="Z422" s="8"/>
      <c r="AA422" s="8"/>
      <c r="AB422" s="8"/>
    </row>
    <row r="423" spans="2:28" s="14" customFormat="1">
      <c r="B423" s="8"/>
      <c r="C423" s="8"/>
      <c r="D423" s="8"/>
      <c r="E423" s="8"/>
      <c r="F423" s="8"/>
      <c r="G423" s="76"/>
      <c r="H423" s="76"/>
      <c r="I423" s="76"/>
      <c r="J423" s="15"/>
      <c r="K423" s="15"/>
      <c r="L423" s="101"/>
      <c r="M423" s="15"/>
      <c r="N423" s="82"/>
      <c r="O423" s="100"/>
      <c r="P423" s="100"/>
      <c r="Q423" s="100"/>
      <c r="R423" s="16"/>
      <c r="S423" s="16"/>
      <c r="T423" s="102"/>
      <c r="U423" s="102"/>
      <c r="V423" s="102"/>
      <c r="W423" s="12"/>
      <c r="X423" s="16"/>
      <c r="Y423" s="13"/>
      <c r="Z423" s="8"/>
      <c r="AA423" s="8"/>
      <c r="AB423" s="8"/>
    </row>
    <row r="424" spans="2:28" s="14" customFormat="1">
      <c r="B424" s="8"/>
      <c r="C424" s="8"/>
      <c r="D424" s="8"/>
      <c r="E424" s="8"/>
      <c r="F424" s="8"/>
      <c r="G424" s="76"/>
      <c r="H424" s="76"/>
      <c r="I424" s="76"/>
      <c r="J424" s="15"/>
      <c r="K424" s="15"/>
      <c r="L424" s="101"/>
      <c r="M424" s="15"/>
      <c r="N424" s="82"/>
      <c r="O424" s="100"/>
      <c r="P424" s="100"/>
      <c r="Q424" s="100"/>
      <c r="R424" s="16"/>
      <c r="S424" s="16"/>
      <c r="T424" s="102"/>
      <c r="U424" s="102"/>
      <c r="V424" s="102"/>
      <c r="W424" s="12"/>
      <c r="X424" s="16"/>
      <c r="Y424" s="13"/>
      <c r="Z424" s="8"/>
      <c r="AA424" s="8"/>
      <c r="AB424" s="8"/>
    </row>
    <row r="425" spans="2:28" s="14" customFormat="1">
      <c r="B425" s="8"/>
      <c r="C425" s="8"/>
      <c r="D425" s="8"/>
      <c r="E425" s="8"/>
      <c r="F425" s="8"/>
      <c r="G425" s="76"/>
      <c r="H425" s="76"/>
      <c r="I425" s="76"/>
      <c r="J425" s="15"/>
      <c r="K425" s="15"/>
      <c r="L425" s="101"/>
      <c r="M425" s="15"/>
      <c r="N425" s="82"/>
      <c r="O425" s="100"/>
      <c r="P425" s="100"/>
      <c r="Q425" s="100"/>
      <c r="R425" s="16"/>
      <c r="S425" s="16"/>
      <c r="T425" s="102"/>
      <c r="U425" s="102"/>
      <c r="V425" s="102"/>
      <c r="W425" s="12"/>
      <c r="X425" s="16"/>
      <c r="Y425" s="13"/>
      <c r="Z425" s="8"/>
      <c r="AA425" s="8"/>
      <c r="AB425" s="8"/>
    </row>
    <row r="426" spans="2:28" s="14" customFormat="1">
      <c r="B426" s="8"/>
      <c r="C426" s="8"/>
      <c r="D426" s="8"/>
      <c r="E426" s="8"/>
      <c r="F426" s="8"/>
      <c r="G426" s="76"/>
      <c r="H426" s="76"/>
      <c r="I426" s="76"/>
      <c r="J426" s="15"/>
      <c r="K426" s="15"/>
      <c r="L426" s="101"/>
      <c r="M426" s="15"/>
      <c r="N426" s="82"/>
      <c r="O426" s="100"/>
      <c r="P426" s="100"/>
      <c r="Q426" s="100"/>
      <c r="R426" s="16"/>
      <c r="S426" s="16"/>
      <c r="T426" s="102"/>
      <c r="U426" s="102"/>
      <c r="V426" s="102"/>
      <c r="W426" s="12"/>
      <c r="X426" s="16"/>
      <c r="Y426" s="13"/>
      <c r="Z426" s="8"/>
      <c r="AA426" s="8"/>
      <c r="AB426" s="8"/>
    </row>
    <row r="427" spans="2:28" s="14" customFormat="1">
      <c r="B427" s="8"/>
      <c r="C427" s="8"/>
      <c r="D427" s="8"/>
      <c r="E427" s="8"/>
      <c r="F427" s="8"/>
      <c r="G427" s="76"/>
      <c r="H427" s="76"/>
      <c r="I427" s="76"/>
      <c r="J427" s="15"/>
      <c r="K427" s="15"/>
      <c r="L427" s="101"/>
      <c r="M427" s="15"/>
      <c r="N427" s="82"/>
      <c r="O427" s="100"/>
      <c r="P427" s="100"/>
      <c r="Q427" s="100"/>
      <c r="R427" s="16"/>
      <c r="S427" s="16"/>
      <c r="T427" s="102"/>
      <c r="U427" s="102"/>
      <c r="V427" s="102"/>
      <c r="W427" s="12"/>
      <c r="X427" s="16"/>
      <c r="Y427" s="13"/>
      <c r="Z427" s="8"/>
      <c r="AA427" s="8"/>
      <c r="AB427" s="8"/>
    </row>
    <row r="428" spans="2:28" s="14" customFormat="1">
      <c r="B428" s="8"/>
      <c r="C428" s="8"/>
      <c r="D428" s="8"/>
      <c r="E428" s="8"/>
      <c r="F428" s="8"/>
      <c r="G428" s="76"/>
      <c r="H428" s="76"/>
      <c r="I428" s="76"/>
      <c r="J428" s="15"/>
      <c r="K428" s="15"/>
      <c r="L428" s="101"/>
      <c r="M428" s="15"/>
      <c r="N428" s="82"/>
      <c r="O428" s="100"/>
      <c r="P428" s="100"/>
      <c r="Q428" s="100"/>
      <c r="R428" s="16"/>
      <c r="S428" s="16"/>
      <c r="T428" s="102"/>
      <c r="U428" s="102"/>
      <c r="V428" s="102"/>
      <c r="W428" s="12"/>
      <c r="X428" s="16"/>
      <c r="Y428" s="13"/>
      <c r="Z428" s="8"/>
      <c r="AA428" s="8"/>
      <c r="AB428" s="8"/>
    </row>
    <row r="429" spans="2:28" s="14" customFormat="1">
      <c r="B429" s="8"/>
      <c r="C429" s="8"/>
      <c r="D429" s="8"/>
      <c r="E429" s="8"/>
      <c r="F429" s="8"/>
      <c r="G429" s="76"/>
      <c r="H429" s="76"/>
      <c r="I429" s="76"/>
      <c r="J429" s="15"/>
      <c r="K429" s="15"/>
      <c r="L429" s="101"/>
      <c r="M429" s="15"/>
      <c r="N429" s="82"/>
      <c r="O429" s="100"/>
      <c r="P429" s="100"/>
      <c r="Q429" s="100"/>
      <c r="R429" s="16"/>
      <c r="S429" s="16"/>
      <c r="T429" s="102"/>
      <c r="U429" s="102"/>
      <c r="V429" s="102"/>
      <c r="W429" s="12"/>
      <c r="X429" s="16"/>
      <c r="Y429" s="13"/>
      <c r="Z429" s="8"/>
      <c r="AA429" s="8"/>
      <c r="AB429" s="8"/>
    </row>
    <row r="430" spans="2:28" s="14" customFormat="1">
      <c r="B430" s="8"/>
      <c r="C430" s="8"/>
      <c r="D430" s="8"/>
      <c r="E430" s="8"/>
      <c r="F430" s="8"/>
      <c r="G430" s="76"/>
      <c r="H430" s="76"/>
      <c r="I430" s="76"/>
      <c r="J430" s="15"/>
      <c r="K430" s="15"/>
      <c r="L430" s="101"/>
      <c r="M430" s="15"/>
      <c r="N430" s="82"/>
      <c r="O430" s="100"/>
      <c r="P430" s="100"/>
      <c r="Q430" s="100"/>
      <c r="R430" s="16"/>
      <c r="S430" s="16"/>
      <c r="T430" s="102"/>
      <c r="U430" s="102"/>
      <c r="V430" s="102"/>
      <c r="W430" s="12"/>
      <c r="X430" s="16"/>
      <c r="Y430" s="13"/>
      <c r="Z430" s="8"/>
      <c r="AA430" s="8"/>
      <c r="AB430" s="8"/>
    </row>
    <row r="431" spans="2:28" s="14" customFormat="1">
      <c r="B431" s="8"/>
      <c r="C431" s="8"/>
      <c r="D431" s="8"/>
      <c r="E431" s="8"/>
      <c r="F431" s="8"/>
      <c r="G431" s="76"/>
      <c r="H431" s="76"/>
      <c r="I431" s="76"/>
      <c r="J431" s="15"/>
      <c r="K431" s="15"/>
      <c r="L431" s="101"/>
      <c r="M431" s="15"/>
      <c r="N431" s="82"/>
      <c r="O431" s="100"/>
      <c r="P431" s="100"/>
      <c r="Q431" s="100"/>
      <c r="R431" s="16"/>
      <c r="S431" s="16"/>
      <c r="T431" s="102"/>
      <c r="U431" s="102"/>
      <c r="V431" s="102"/>
      <c r="W431" s="12"/>
      <c r="X431" s="16"/>
      <c r="Y431" s="13"/>
      <c r="Z431" s="8"/>
      <c r="AA431" s="8"/>
      <c r="AB431" s="8"/>
    </row>
    <row r="432" spans="2:28" s="14" customFormat="1">
      <c r="B432" s="8"/>
      <c r="C432" s="8"/>
      <c r="D432" s="8"/>
      <c r="E432" s="8"/>
      <c r="F432" s="8"/>
      <c r="G432" s="76"/>
      <c r="H432" s="76"/>
      <c r="I432" s="76"/>
      <c r="J432" s="15"/>
      <c r="K432" s="15"/>
      <c r="L432" s="101"/>
      <c r="M432" s="15"/>
      <c r="N432" s="82"/>
      <c r="O432" s="100"/>
      <c r="P432" s="100"/>
      <c r="Q432" s="100"/>
      <c r="R432" s="16"/>
      <c r="S432" s="16"/>
      <c r="T432" s="102"/>
      <c r="U432" s="102"/>
      <c r="V432" s="102"/>
      <c r="W432" s="12"/>
      <c r="X432" s="16"/>
      <c r="Y432" s="13"/>
      <c r="Z432" s="8"/>
      <c r="AA432" s="8"/>
      <c r="AB432" s="8"/>
    </row>
    <row r="433" spans="2:28" s="14" customFormat="1">
      <c r="B433" s="8"/>
      <c r="C433" s="8"/>
      <c r="D433" s="8"/>
      <c r="E433" s="8"/>
      <c r="F433" s="8"/>
      <c r="G433" s="76"/>
      <c r="H433" s="76"/>
      <c r="I433" s="76"/>
      <c r="J433" s="15"/>
      <c r="K433" s="15"/>
      <c r="L433" s="101"/>
      <c r="M433" s="15"/>
      <c r="N433" s="82"/>
      <c r="O433" s="100"/>
      <c r="P433" s="100"/>
      <c r="Q433" s="100"/>
      <c r="R433" s="16"/>
      <c r="S433" s="16"/>
      <c r="T433" s="102"/>
      <c r="U433" s="102"/>
      <c r="V433" s="102"/>
      <c r="W433" s="12"/>
      <c r="X433" s="16"/>
      <c r="Y433" s="13"/>
      <c r="Z433" s="8"/>
      <c r="AA433" s="8"/>
      <c r="AB433" s="8"/>
    </row>
    <row r="434" spans="2:28" s="14" customFormat="1">
      <c r="B434" s="8"/>
      <c r="C434" s="8"/>
      <c r="D434" s="8"/>
      <c r="E434" s="8"/>
      <c r="F434" s="8"/>
      <c r="G434" s="76"/>
      <c r="H434" s="76"/>
      <c r="I434" s="76"/>
      <c r="J434" s="15"/>
      <c r="K434" s="15"/>
      <c r="L434" s="101"/>
      <c r="M434" s="15"/>
      <c r="N434" s="82"/>
      <c r="O434" s="100"/>
      <c r="P434" s="100"/>
      <c r="Q434" s="100"/>
      <c r="R434" s="16"/>
      <c r="S434" s="16"/>
      <c r="T434" s="102"/>
      <c r="U434" s="102"/>
      <c r="V434" s="102"/>
      <c r="W434" s="12"/>
      <c r="X434" s="16"/>
      <c r="Y434" s="13"/>
      <c r="Z434" s="8"/>
      <c r="AA434" s="8"/>
      <c r="AB434" s="8"/>
    </row>
    <row r="435" spans="2:28" s="14" customFormat="1">
      <c r="B435" s="8"/>
      <c r="C435" s="8"/>
      <c r="D435" s="8"/>
      <c r="E435" s="8"/>
      <c r="F435" s="8"/>
      <c r="G435" s="76"/>
      <c r="H435" s="76"/>
      <c r="I435" s="76"/>
      <c r="J435" s="15"/>
      <c r="K435" s="15"/>
      <c r="L435" s="101"/>
      <c r="M435" s="15"/>
      <c r="N435" s="82"/>
      <c r="O435" s="100"/>
      <c r="P435" s="100"/>
      <c r="Q435" s="100"/>
      <c r="R435" s="16"/>
      <c r="S435" s="16"/>
      <c r="T435" s="102"/>
      <c r="U435" s="102"/>
      <c r="V435" s="102"/>
      <c r="W435" s="12"/>
      <c r="X435" s="16"/>
      <c r="Y435" s="13"/>
      <c r="Z435" s="8"/>
      <c r="AA435" s="8"/>
      <c r="AB435" s="8"/>
    </row>
    <row r="436" spans="2:28" s="14" customFormat="1">
      <c r="B436" s="8"/>
      <c r="C436" s="8"/>
      <c r="D436" s="8"/>
      <c r="E436" s="8"/>
      <c r="F436" s="8"/>
      <c r="G436" s="76"/>
      <c r="H436" s="76"/>
      <c r="I436" s="76"/>
      <c r="J436" s="15"/>
      <c r="K436" s="15"/>
      <c r="L436" s="101"/>
      <c r="M436" s="15"/>
      <c r="N436" s="82"/>
      <c r="O436" s="100"/>
      <c r="P436" s="100"/>
      <c r="Q436" s="100"/>
      <c r="R436" s="16"/>
      <c r="S436" s="16"/>
      <c r="T436" s="102"/>
      <c r="U436" s="102"/>
      <c r="V436" s="102"/>
      <c r="W436" s="12"/>
      <c r="X436" s="16"/>
      <c r="Y436" s="13"/>
      <c r="Z436" s="8"/>
      <c r="AA436" s="8"/>
      <c r="AB436" s="8"/>
    </row>
    <row r="437" spans="2:28" s="14" customFormat="1">
      <c r="B437" s="8"/>
      <c r="C437" s="8"/>
      <c r="D437" s="8"/>
      <c r="E437" s="8"/>
      <c r="F437" s="8"/>
      <c r="G437" s="76"/>
      <c r="H437" s="76"/>
      <c r="I437" s="76"/>
      <c r="J437" s="15"/>
      <c r="K437" s="15"/>
      <c r="L437" s="101"/>
      <c r="M437" s="15"/>
      <c r="N437" s="82"/>
      <c r="O437" s="100"/>
      <c r="P437" s="100"/>
      <c r="Q437" s="100"/>
      <c r="R437" s="16"/>
      <c r="S437" s="16"/>
      <c r="T437" s="102"/>
      <c r="U437" s="102"/>
      <c r="V437" s="102"/>
      <c r="W437" s="12"/>
      <c r="X437" s="16"/>
      <c r="Y437" s="13"/>
      <c r="Z437" s="8"/>
      <c r="AA437" s="8"/>
      <c r="AB437" s="8"/>
    </row>
    <row r="438" spans="2:28" s="14" customFormat="1">
      <c r="B438" s="8"/>
      <c r="C438" s="8"/>
      <c r="D438" s="8"/>
      <c r="E438" s="8"/>
      <c r="F438" s="8"/>
      <c r="G438" s="76"/>
      <c r="H438" s="76"/>
      <c r="I438" s="76"/>
      <c r="J438" s="15"/>
      <c r="K438" s="15"/>
      <c r="L438" s="101"/>
      <c r="M438" s="15"/>
      <c r="N438" s="82"/>
      <c r="O438" s="100"/>
      <c r="P438" s="100"/>
      <c r="Q438" s="100"/>
      <c r="R438" s="16"/>
      <c r="S438" s="16"/>
      <c r="T438" s="102"/>
      <c r="U438" s="102"/>
      <c r="V438" s="102"/>
      <c r="W438" s="12"/>
      <c r="X438" s="16"/>
      <c r="Y438" s="13"/>
      <c r="Z438" s="8"/>
      <c r="AA438" s="8"/>
      <c r="AB438" s="8"/>
    </row>
    <row r="439" spans="2:28" s="14" customFormat="1">
      <c r="B439" s="8"/>
      <c r="C439" s="8"/>
      <c r="D439" s="8"/>
      <c r="E439" s="8"/>
      <c r="F439" s="8"/>
      <c r="G439" s="76"/>
      <c r="H439" s="76"/>
      <c r="I439" s="76"/>
      <c r="J439" s="15"/>
      <c r="K439" s="15"/>
      <c r="L439" s="101"/>
      <c r="M439" s="15"/>
      <c r="N439" s="82"/>
      <c r="O439" s="100"/>
      <c r="P439" s="100"/>
      <c r="Q439" s="100"/>
      <c r="R439" s="16"/>
      <c r="S439" s="16"/>
      <c r="T439" s="102"/>
      <c r="U439" s="102"/>
      <c r="V439" s="102"/>
      <c r="W439" s="12"/>
      <c r="X439" s="16"/>
      <c r="Y439" s="13"/>
      <c r="Z439" s="8"/>
      <c r="AA439" s="8"/>
      <c r="AB439" s="8"/>
    </row>
    <row r="440" spans="2:28" s="14" customFormat="1">
      <c r="B440" s="8"/>
      <c r="C440" s="8"/>
      <c r="D440" s="8"/>
      <c r="E440" s="8"/>
      <c r="F440" s="8"/>
      <c r="G440" s="76"/>
      <c r="H440" s="76"/>
      <c r="I440" s="76"/>
      <c r="J440" s="15"/>
      <c r="K440" s="15"/>
      <c r="L440" s="101"/>
      <c r="M440" s="15"/>
      <c r="N440" s="82"/>
      <c r="O440" s="100"/>
      <c r="P440" s="100"/>
      <c r="Q440" s="100"/>
      <c r="R440" s="16"/>
      <c r="S440" s="16"/>
      <c r="T440" s="102"/>
      <c r="U440" s="102"/>
      <c r="V440" s="102"/>
      <c r="W440" s="12"/>
      <c r="X440" s="16"/>
      <c r="Y440" s="13"/>
      <c r="Z440" s="8"/>
      <c r="AA440" s="8"/>
      <c r="AB440" s="8"/>
    </row>
    <row r="441" spans="2:28" s="14" customFormat="1">
      <c r="B441" s="8"/>
      <c r="C441" s="8"/>
      <c r="D441" s="8"/>
      <c r="E441" s="8"/>
      <c r="F441" s="8"/>
      <c r="G441" s="76"/>
      <c r="H441" s="76"/>
      <c r="I441" s="76"/>
      <c r="J441" s="15"/>
      <c r="K441" s="15"/>
      <c r="L441" s="101"/>
      <c r="M441" s="15"/>
      <c r="N441" s="82"/>
      <c r="O441" s="100"/>
      <c r="P441" s="100"/>
      <c r="Q441" s="100"/>
      <c r="R441" s="16"/>
      <c r="S441" s="16"/>
      <c r="T441" s="102"/>
      <c r="U441" s="102"/>
      <c r="V441" s="102"/>
      <c r="W441" s="12"/>
      <c r="X441" s="16"/>
      <c r="Y441" s="13"/>
      <c r="Z441" s="8"/>
      <c r="AA441" s="8"/>
      <c r="AB441" s="8"/>
    </row>
    <row r="442" spans="2:28" s="14" customFormat="1">
      <c r="B442" s="8"/>
      <c r="C442" s="8"/>
      <c r="D442" s="8"/>
      <c r="E442" s="8"/>
      <c r="F442" s="8"/>
      <c r="G442" s="76"/>
      <c r="H442" s="76"/>
      <c r="I442" s="76"/>
      <c r="J442" s="15"/>
      <c r="K442" s="15"/>
      <c r="L442" s="101"/>
      <c r="M442" s="15"/>
      <c r="N442" s="82"/>
      <c r="O442" s="100"/>
      <c r="P442" s="100"/>
      <c r="Q442" s="100"/>
      <c r="R442" s="16"/>
      <c r="S442" s="16"/>
      <c r="T442" s="102"/>
      <c r="U442" s="102"/>
      <c r="V442" s="102"/>
      <c r="W442" s="12"/>
      <c r="X442" s="16"/>
      <c r="Y442" s="13"/>
      <c r="Z442" s="8"/>
      <c r="AA442" s="8"/>
      <c r="AB442" s="8"/>
    </row>
    <row r="443" spans="2:28" s="14" customFormat="1">
      <c r="B443" s="8"/>
      <c r="C443" s="8"/>
      <c r="D443" s="8"/>
      <c r="E443" s="8"/>
      <c r="F443" s="8"/>
      <c r="G443" s="76"/>
      <c r="H443" s="76"/>
      <c r="I443" s="76"/>
      <c r="J443" s="15"/>
      <c r="K443" s="15"/>
      <c r="L443" s="101"/>
      <c r="M443" s="15"/>
      <c r="N443" s="82"/>
      <c r="O443" s="100"/>
      <c r="P443" s="100"/>
      <c r="Q443" s="100"/>
      <c r="R443" s="16"/>
      <c r="S443" s="16"/>
      <c r="T443" s="102"/>
      <c r="U443" s="102"/>
      <c r="V443" s="102"/>
      <c r="W443" s="12"/>
      <c r="X443" s="16"/>
      <c r="Y443" s="13"/>
      <c r="Z443" s="8"/>
      <c r="AA443" s="8"/>
      <c r="AB443" s="8"/>
    </row>
    <row r="444" spans="2:28" s="14" customFormat="1">
      <c r="B444" s="8"/>
      <c r="C444" s="8"/>
      <c r="D444" s="8"/>
      <c r="E444" s="8"/>
      <c r="F444" s="8"/>
      <c r="G444" s="76"/>
      <c r="H444" s="76"/>
      <c r="I444" s="76"/>
      <c r="J444" s="15"/>
      <c r="K444" s="15"/>
      <c r="L444" s="101"/>
      <c r="M444" s="15"/>
      <c r="N444" s="82"/>
      <c r="O444" s="100"/>
      <c r="P444" s="100"/>
      <c r="Q444" s="100"/>
      <c r="R444" s="16"/>
      <c r="S444" s="16"/>
      <c r="T444" s="102"/>
      <c r="U444" s="102"/>
      <c r="V444" s="102"/>
      <c r="W444" s="12"/>
      <c r="X444" s="16"/>
      <c r="Y444" s="13"/>
      <c r="Z444" s="8"/>
      <c r="AA444" s="8"/>
      <c r="AB444" s="8"/>
    </row>
    <row r="445" spans="2:28" s="14" customFormat="1">
      <c r="B445" s="8"/>
      <c r="C445" s="8"/>
      <c r="D445" s="8"/>
      <c r="E445" s="8"/>
      <c r="F445" s="8"/>
      <c r="G445" s="76"/>
      <c r="H445" s="76"/>
      <c r="I445" s="76"/>
      <c r="J445" s="15"/>
      <c r="K445" s="15"/>
      <c r="L445" s="101"/>
      <c r="M445" s="15"/>
      <c r="N445" s="82"/>
      <c r="O445" s="100"/>
      <c r="P445" s="100"/>
      <c r="Q445" s="100"/>
      <c r="R445" s="16"/>
      <c r="S445" s="16"/>
      <c r="T445" s="102"/>
      <c r="U445" s="102"/>
      <c r="V445" s="102"/>
      <c r="W445" s="12"/>
      <c r="X445" s="16"/>
      <c r="Y445" s="13"/>
      <c r="Z445" s="8"/>
      <c r="AA445" s="8"/>
      <c r="AB445" s="8"/>
    </row>
    <row r="446" spans="2:28" s="14" customFormat="1">
      <c r="B446" s="8"/>
      <c r="C446" s="8"/>
      <c r="D446" s="8"/>
      <c r="E446" s="8"/>
      <c r="F446" s="8"/>
      <c r="G446" s="76"/>
      <c r="H446" s="76"/>
      <c r="I446" s="76"/>
      <c r="J446" s="15"/>
      <c r="K446" s="15"/>
      <c r="L446" s="101"/>
      <c r="M446" s="15"/>
      <c r="N446" s="82"/>
      <c r="O446" s="100"/>
      <c r="P446" s="100"/>
      <c r="Q446" s="100"/>
      <c r="R446" s="16"/>
      <c r="S446" s="16"/>
      <c r="T446" s="102"/>
      <c r="U446" s="102"/>
      <c r="V446" s="102"/>
      <c r="W446" s="12"/>
      <c r="X446" s="16"/>
      <c r="Y446" s="13"/>
      <c r="Z446" s="8"/>
      <c r="AA446" s="8"/>
      <c r="AB446" s="8"/>
    </row>
  </sheetData>
  <autoFilter ref="B12:AI33"/>
  <mergeCells count="13">
    <mergeCell ref="J51:K51"/>
    <mergeCell ref="N56:R56"/>
    <mergeCell ref="C56:E56"/>
    <mergeCell ref="C51:E51"/>
    <mergeCell ref="C50:D50"/>
    <mergeCell ref="C44:R44"/>
    <mergeCell ref="C42:P42"/>
    <mergeCell ref="C40:P40"/>
    <mergeCell ref="C41:N41"/>
    <mergeCell ref="B11:X11"/>
    <mergeCell ref="W33:X33"/>
    <mergeCell ref="C43:G43"/>
    <mergeCell ref="C39:O39"/>
  </mergeCells>
  <pageMargins left="0.19685039370078741" right="0.19685039370078741" top="0.19685039370078741" bottom="0.19685039370078741" header="0" footer="0.19685039370078741"/>
  <pageSetup paperSize="9" scale="22" fitToHeight="0" orientation="landscape" horizontalDpi="300" verticalDpi="300" r:id="rId1"/>
  <headerFooter alignWithMargins="0">
    <oddFooter>&amp;CСтр. &amp;P из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Ан.справка</vt:lpstr>
      <vt:lpstr>Протокол  </vt:lpstr>
      <vt:lpstr>Ан.справка!Заголовки_для_печати</vt:lpstr>
      <vt:lpstr>'Протокол  '!Заголовки_для_печати</vt:lpstr>
      <vt:lpstr>Ан.справка!Область_печати</vt:lpstr>
      <vt:lpstr>'Протокол  '!Область_печати</vt:lpstr>
    </vt:vector>
  </TitlesOfParts>
  <Company>ООО «АРКТИК СПГ 2»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Гейгер Лариса Викторовна</dc:creator>
  <cp:lastModifiedBy>Данник Павел Александрович</cp:lastModifiedBy>
  <cp:lastPrinted>2019-05-27T14:59:31Z</cp:lastPrinted>
  <dcterms:created xsi:type="dcterms:W3CDTF">2017-03-30T12:40:13Z</dcterms:created>
  <dcterms:modified xsi:type="dcterms:W3CDTF">2020-06-01T07:52:18Z</dcterms:modified>
</cp:coreProperties>
</file>