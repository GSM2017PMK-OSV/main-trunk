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3040" windowHeight="9192" tabRatio="500"/>
  </bookViews>
  <sheets>
    <sheet name="P&amp;L (ОПиУ) — Март 2026" sheetId="1" r:id="rId1"/>
    <sheet name="ОДДС (Cash Flow) — Март 2026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61" i="2" l="1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3" i="2"/>
  <c r="F53" i="2"/>
  <c r="G52" i="2"/>
  <c r="F52" i="2"/>
  <c r="G51" i="2"/>
  <c r="F51" i="2"/>
  <c r="G50" i="2"/>
  <c r="F50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7" i="2"/>
  <c r="F7" i="2"/>
  <c r="G6" i="2"/>
  <c r="F6" i="2"/>
  <c r="G5" i="2"/>
  <c r="F5" i="2"/>
  <c r="G4" i="2"/>
  <c r="F4" i="2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D28" i="1"/>
  <c r="D27" i="1"/>
  <c r="F27" i="1" s="1"/>
  <c r="C27" i="1"/>
  <c r="C28" i="1" s="1"/>
  <c r="F28" i="1" s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E28" i="1" l="1"/>
  <c r="E27" i="1"/>
</calcChain>
</file>

<file path=xl/sharedStrings.xml><?xml version="1.0" encoding="utf-8"?>
<sst xmlns="http://schemas.openxmlformats.org/spreadsheetml/2006/main" count="369" uniqueCount="301">
  <si>
    <t>ООО «ВЕКТОР-ТРЕЙД» | ОТЧЁТ О ПРИБЫЛЯХ И УБЫТКАХ | МАРТ 2026</t>
  </si>
  <si>
    <t>Статья</t>
  </si>
  <si>
    <t>Подстатья / Комментарий</t>
  </si>
  <si>
    <t>План (руб)</t>
  </si>
  <si>
    <t>Факт (руб)</t>
  </si>
  <si>
    <t>Отклонение (руб)</t>
  </si>
  <si>
    <t>Откл. (%)</t>
  </si>
  <si>
    <t>Причина отклонения</t>
  </si>
  <si>
    <t>1. ВЫРУЧКА (без НДС)</t>
  </si>
  <si>
    <t>1.1 Оптовые продажи</t>
  </si>
  <si>
    <t>Продажи дистрибьюторам B2B</t>
  </si>
  <si>
    <t xml:space="preserve">   – Опт: товарная группа А</t>
  </si>
  <si>
    <t>Электроника и бытовая техника</t>
  </si>
  <si>
    <t xml:space="preserve">   – Опт: товарная группа Б</t>
  </si>
  <si>
    <t>Хозяйственные товары</t>
  </si>
  <si>
    <t xml:space="preserve">   – Опт: товарная группа В</t>
  </si>
  <si>
    <t>Продукты питания (СТМ)</t>
  </si>
  <si>
    <t>1.2 Розничные продажи</t>
  </si>
  <si>
    <t>Сеть фирменных магазинов (12 точек)</t>
  </si>
  <si>
    <t xml:space="preserve">   – Розница Москва</t>
  </si>
  <si>
    <t>7 торговых точек</t>
  </si>
  <si>
    <t xml:space="preserve">   – Розница регионы</t>
  </si>
  <si>
    <t>5 торговых точек</t>
  </si>
  <si>
    <t>1.3 Онлайн-канал</t>
  </si>
  <si>
    <t>Собственный сайт + маркетплейсы</t>
  </si>
  <si>
    <t xml:space="preserve">   – Собственный интернет-магазин</t>
  </si>
  <si>
    <t>vektortrade.ru</t>
  </si>
  <si>
    <t xml:space="preserve">   – Маркетплейс Wildberries</t>
  </si>
  <si>
    <t>Комиссия 15%</t>
  </si>
  <si>
    <t xml:space="preserve">   – Маркетплейс Ozon</t>
  </si>
  <si>
    <t>Комиссия 13%</t>
  </si>
  <si>
    <t>1.4 Прочая выручка</t>
  </si>
  <si>
    <t>Сервис, ремонт, доп. услуги</t>
  </si>
  <si>
    <t>ИТОГО ВЫРУЧКА</t>
  </si>
  <si>
    <t>Перевыполнение плана по всем каналам</t>
  </si>
  <si>
    <t>2. СЕБЕСТОИМОСТЬ ПРОДАЖ</t>
  </si>
  <si>
    <t>2.1 Закупочная стоимость товаров</t>
  </si>
  <si>
    <t>Опт — прямые поставщики</t>
  </si>
  <si>
    <t>Рост закупочных цен у поставщика ООО «АгроПрод» +12%; срочные закупки вне договора</t>
  </si>
  <si>
    <t xml:space="preserve">   – в т.ч. опт: группа А</t>
  </si>
  <si>
    <t>Электроника</t>
  </si>
  <si>
    <t xml:space="preserve">   – в т.ч. опт: группа Б</t>
  </si>
  <si>
    <t>Хозтовары</t>
  </si>
  <si>
    <t xml:space="preserve">   – в т.ч. опт: группа В</t>
  </si>
  <si>
    <t>Продукты СТМ</t>
  </si>
  <si>
    <t>Переход поставщика на новый прайс +22.7%; внеплановые закупки при дефиците</t>
  </si>
  <si>
    <t>2.2 Закупочная стоимость товаров</t>
  </si>
  <si>
    <t>Розница</t>
  </si>
  <si>
    <t>2.3 Закупочная стоимость товаров</t>
  </si>
  <si>
    <t>Онлайн-канал</t>
  </si>
  <si>
    <t>2.4 Комиссии маркетплейсов</t>
  </si>
  <si>
    <t>Wildberries + Ozon</t>
  </si>
  <si>
    <t>2.5 Упаковка и материалы</t>
  </si>
  <si>
    <t>Расходные материалы склад/доставка</t>
  </si>
  <si>
    <t>ИТОГО СЕБЕСТОИМОСТЬ</t>
  </si>
  <si>
    <t>Рост себестоимости в оптовом канале (гр. В)</t>
  </si>
  <si>
    <t>ВАЛОВАЯ ПРИБЫЛЬ</t>
  </si>
  <si>
    <t>Снижение маржи из-за перерасхода себестоимости в опте</t>
  </si>
  <si>
    <t>Валовая маржа, %</t>
  </si>
  <si>
    <t>3. ОПЕРАЦИОННЫЕ РАСХОДЫ (OPEX)</t>
  </si>
  <si>
    <t>3.1 Фонд оплаты труда (ФОТ)</t>
  </si>
  <si>
    <t>Весь персонал включая страховые взносы</t>
  </si>
  <si>
    <t>Выплата бонусов по итогам продаж Q4 2025 — досрочное начисление</t>
  </si>
  <si>
    <t xml:space="preserve">   – ФОТ: административный персонал</t>
  </si>
  <si>
    <t>Офис, бухгалтерия, IT</t>
  </si>
  <si>
    <t xml:space="preserve">   – ФОТ: продажи и маркетинг</t>
  </si>
  <si>
    <t>Торговые представители + маркетологи</t>
  </si>
  <si>
    <t xml:space="preserve">   – ФОТ: склад и логистика</t>
  </si>
  <si>
    <t>Кладовщики, водители, экспедиторы</t>
  </si>
  <si>
    <t>3.2 Аренда</t>
  </si>
  <si>
    <t>Офис + склады + торговые площади</t>
  </si>
  <si>
    <t>Плановое значение</t>
  </si>
  <si>
    <t xml:space="preserve">   – Аренда: склады (2 объекта)</t>
  </si>
  <si>
    <t>Складской комплекс Химки + Котельники</t>
  </si>
  <si>
    <t xml:space="preserve">   – Аренда: торговые площади</t>
  </si>
  <si>
    <t>12 точек, фиксированная ставка</t>
  </si>
  <si>
    <t xml:space="preserve">   – Аренда: офис</t>
  </si>
  <si>
    <t>Центральный офис</t>
  </si>
  <si>
    <t>3.3 Маркетинг и реклама</t>
  </si>
  <si>
    <t>Все рекламные каналы</t>
  </si>
  <si>
    <t>Неудачная имиджевая кампания в Яндекс.Директ: CTR 0.4% vs план 1.8%; дополнительный бюджет на «спасение» результатов</t>
  </si>
  <si>
    <t xml:space="preserve">   – Онлайн-реклама (Яндекс.Директ)</t>
  </si>
  <si>
    <t>Performance-маркетинг</t>
  </si>
  <si>
    <t>Перерасход 98%: низкая конверсия, вынужденное масштабирование ставок</t>
  </si>
  <si>
    <t xml:space="preserve">   – Таргетированная реклама (ВКонтакте)</t>
  </si>
  <si>
    <t>SMM + таргет</t>
  </si>
  <si>
    <t>Дополнительные запуски для компенсации Директ</t>
  </si>
  <si>
    <t xml:space="preserve">   – Промо-акции в торговых точках</t>
  </si>
  <si>
    <t>Листовки, POS-материалы, скидки</t>
  </si>
  <si>
    <t xml:space="preserve">   – Email/SMS-рассылки</t>
  </si>
  <si>
    <t>CRM-маркетинг, база 85k контактов</t>
  </si>
  <si>
    <t xml:space="preserve">   – Маркетинг: прочее</t>
  </si>
  <si>
    <t>Партнёрские программы, брендинг</t>
  </si>
  <si>
    <t>3.4 Логистика и доставка</t>
  </si>
  <si>
    <t>Доставка клиентам + межскладские перемещения</t>
  </si>
  <si>
    <t xml:space="preserve">   – Доставка клиентам (опт)</t>
  </si>
  <si>
    <t>Собственный автопарк + аутсорс</t>
  </si>
  <si>
    <t xml:space="preserve">   – Доставка клиентам (розница/онлайн)</t>
  </si>
  <si>
    <t>СДЭК, Боксберри, Почта РФ</t>
  </si>
  <si>
    <t xml:space="preserve">   – Межскладская логистика</t>
  </si>
  <si>
    <t>Перемещения остатков</t>
  </si>
  <si>
    <t>3.5 Амортизация</t>
  </si>
  <si>
    <t>ОС и НМА</t>
  </si>
  <si>
    <t>3.6 Коммунальные услуги</t>
  </si>
  <si>
    <t>Электроэнергия, вода, связь, интернет</t>
  </si>
  <si>
    <t>3.7 IT и программное обеспечение</t>
  </si>
  <si>
    <t>1С, CRM, хостинг, лицензии</t>
  </si>
  <si>
    <t>3.8 Охрана</t>
  </si>
  <si>
    <t>ЧОП + видеонаблюдение</t>
  </si>
  <si>
    <t>3.9 Банковское обслуживание</t>
  </si>
  <si>
    <t>РКО, эквайринг, валютный контроль</t>
  </si>
  <si>
    <t>3.10 Прочие операционные расходы</t>
  </si>
  <si>
    <t>Канцтовары, командировки, прочее</t>
  </si>
  <si>
    <t>ИТОГО ОПЕРАЦИОННЫЕ РАСХОДЫ</t>
  </si>
  <si>
    <t>Перерасход по ФОТ и маркетингу</t>
  </si>
  <si>
    <t>ОПЕРАЦИОННАЯ ПРИБЫЛЬ (EBIT)</t>
  </si>
  <si>
    <t>Снижение несмотря на рост выручки из-за роста себестоимости и маркетинга</t>
  </si>
  <si>
    <t>4. ПРОЧИЕ ДОХОДЫ / РАСХОДЫ</t>
  </si>
  <si>
    <t>4.1 Проценты к получению</t>
  </si>
  <si>
    <t>Депозит в Сбербанке</t>
  </si>
  <si>
    <t>4.2 Проценты к уплате</t>
  </si>
  <si>
    <t>Овердрафт (экстренное использование)</t>
  </si>
  <si>
    <t>Использован овердрафт в связи с кассовым разрывом 13-16 марта</t>
  </si>
  <si>
    <t>4.3 Штрафы и пени полученные</t>
  </si>
  <si>
    <t>От контрагентов за просрочку</t>
  </si>
  <si>
    <t>4.4 Штрафы и пени уплаченные</t>
  </si>
  <si>
    <t>Нарушение сроков поставки</t>
  </si>
  <si>
    <t>Штраф ООО «МегаМаркет» за срыв сроков поставки партии №М-2204</t>
  </si>
  <si>
    <t>4.5 Курсовые разницы</t>
  </si>
  <si>
    <t>Импортные контракты (USD/EUR)</t>
  </si>
  <si>
    <t>4.6 Прочие внереализационные доходы</t>
  </si>
  <si>
    <t>Субаренда, прочее</t>
  </si>
  <si>
    <t>ИТОГО ПРОЧИЕ ДОХОДЫ / (РАСХОДЫ)</t>
  </si>
  <si>
    <t>Дополнительные расходы на овердрафт и штрафы</t>
  </si>
  <si>
    <t>ПРИБЫЛЬ ДО НАЛОГОВ (EBT)</t>
  </si>
  <si>
    <t>5. Налог на прибыль (20%)</t>
  </si>
  <si>
    <t>Расчётное значение</t>
  </si>
  <si>
    <t>ЧИСТАЯ ПРИБЫЛЬ</t>
  </si>
  <si>
    <t>Итоговое снижение 15.5% от плана: рост себестоимости + маркетинг + кассовые расходы</t>
  </si>
  <si>
    <t>Рентабельность чистой прибыли, %</t>
  </si>
  <si>
    <t>ООО «ВЕКТОР-ТРЕЙД» | ОТЧЁТ О ДВИЖЕНИИ ДЕНЕЖНЫХ СРЕДСТВ | МАРТ 2026</t>
  </si>
  <si>
    <t>Статья / Контрагент</t>
  </si>
  <si>
    <t>Дата / Период</t>
  </si>
  <si>
    <t>ОСТАТОК ДЕНЕЖНЫХ СРЕДСТВ НА НАЧАЛО ПЕРИОДА</t>
  </si>
  <si>
    <t>Остаток на расчётном счёте (р/с Сбербанк)</t>
  </si>
  <si>
    <t>01.03.2026</t>
  </si>
  <si>
    <t>Основной расчётный счёт</t>
  </si>
  <si>
    <t>Остаток на расчётном счёте (р/с ВТБ)</t>
  </si>
  <si>
    <t>Зарплатный проект</t>
  </si>
  <si>
    <t>Касса (розничные точки суммарно)</t>
  </si>
  <si>
    <t>Остатки в 12 ТТ</t>
  </si>
  <si>
    <t>ИТОГО ОСТАТОК НА 01.03.2026</t>
  </si>
  <si>
    <t>I. ПОСТУПЛЕНИЯ ДЕНЕЖНЫХ СРЕДСТВ</t>
  </si>
  <si>
    <t>1.1 Оплата от покупателей — опт</t>
  </si>
  <si>
    <t>01-05.03.2026</t>
  </si>
  <si>
    <t>ООО «ТехноДом» — погашение дебиторки за февраль</t>
  </si>
  <si>
    <t>1.2 Оплата от покупателей — опт</t>
  </si>
  <si>
    <t>06-10.03.2026</t>
  </si>
  <si>
    <t>ИП Смирнов А.В. — текущие отгрузки</t>
  </si>
  <si>
    <t>1.3 Оплата от покупателей — опт</t>
  </si>
  <si>
    <t>11-15.03.2026</t>
  </si>
  <si>
    <t>ООО «РегионТорг» — предоплата 50% новый договор</t>
  </si>
  <si>
    <t>1.4 Оплата от покупателей — опт (КЛЮЧЕВОЙ КЛИЕНТ)</t>
  </si>
  <si>
    <t>16-31.03.2026</t>
  </si>
  <si>
    <t>ООО «МегаМаркет» — оплата по счёту №МА-2201 от 15.02.2026 (отсрочка 30 дн.)</t>
  </si>
  <si>
    <t>ДЕБИТОРКА НЕ ПОСТУПИЛА: ООО «МегаМаркет» запросил отсрочку +15 дней (финансовые трудности у клиента)</t>
  </si>
  <si>
    <t>1.5 Оплата от покупателей — опт</t>
  </si>
  <si>
    <t>20-25.03.2026</t>
  </si>
  <si>
    <t>ООО «ТоргПром» — текущие отгрузки</t>
  </si>
  <si>
    <t>1.6 Оплата от покупателей — опт</t>
  </si>
  <si>
    <t>26-31.03.2026</t>
  </si>
  <si>
    <t>Прочие оптовые покупатели (8 контрагентов)</t>
  </si>
  <si>
    <t>1.7 Выручка розничных магазинов (наличные + эквайринг)</t>
  </si>
  <si>
    <t>01-31.03.2026</t>
  </si>
  <si>
    <t>Москва, 7 ТТ — агрегированно</t>
  </si>
  <si>
    <t>1.8 Выручка розничных магазинов (наличные + эквайринг)</t>
  </si>
  <si>
    <t>Регионы, 5 ТТ — агрегированно</t>
  </si>
  <si>
    <t>1.9 Поступления от онлайн-продаж — сайт</t>
  </si>
  <si>
    <t>Эквайринг vektortrade.ru (Т+1)</t>
  </si>
  <si>
    <t>1.10 Поступления от маркетплейса Wildberries</t>
  </si>
  <si>
    <t>Выплата за февраль (еженедельные транши)</t>
  </si>
  <si>
    <t>1.11 Поступления от маркетплейса Ozon</t>
  </si>
  <si>
    <t>1.12 Поступления — прочая выручка</t>
  </si>
  <si>
    <t>Услуги сервиса, субаренда</t>
  </si>
  <si>
    <t>1.13 Поступления процентов по депозиту</t>
  </si>
  <si>
    <t>15.03.2026</t>
  </si>
  <si>
    <t>Депозит Сбербанк, ставка 14% годовых</t>
  </si>
  <si>
    <t>1.14 Поступление штрафов от контрагентов</t>
  </si>
  <si>
    <t>22.03.2026</t>
  </si>
  <si>
    <t>Штраф ООО «ЛогистПро» за задержку доставки</t>
  </si>
  <si>
    <t>1.15 Прочие поступления</t>
  </si>
  <si>
    <t>31.03.2026</t>
  </si>
  <si>
    <t>Возврат переплаты налогов (НДС к возмещению)</t>
  </si>
  <si>
    <t>ИТОГО ПОСТУПЛЕНИЯ</t>
  </si>
  <si>
    <t>Недопоступление 18 млн от ООО «МегаМаркет» частично компенсировано ростом розницы</t>
  </si>
  <si>
    <t>II. ПЛАТЕЖИ ДЕНЕЖНЫХ СРЕДСТВ</t>
  </si>
  <si>
    <t xml:space="preserve">  А. Платежи поставщикам товаров</t>
  </si>
  <si>
    <t>2.1 Оплата поставщику — ООО «ЭлектроИмпорт»</t>
  </si>
  <si>
    <t>03.03.2026</t>
  </si>
  <si>
    <t>Счёт №ЭИ-2201, партия электроники</t>
  </si>
  <si>
    <t>2.2 Оплата поставщику — ООО «АгроПрод»</t>
  </si>
  <si>
    <t>08.03.2026 (ПЛАН: 20.03)</t>
  </si>
  <si>
    <t>Счёт №АП-2203, продукты СТМ — ОПЛАЧЕН ДОСРОЧНО по требованию поставщика</t>
  </si>
  <si>
    <t>ДОСРОЧНЫЙ ПЛАТЁЖ: поставщик потребовал оплату до 10.03 под угрозой разрыва контракта; спровоцировал кассовый разрыв 13-16.03</t>
  </si>
  <si>
    <t>2.3 Оплата поставщику — ООО «ХозТрейд»</t>
  </si>
  <si>
    <t>12.03.2026</t>
  </si>
  <si>
    <t>Счёт №ХТ-2202, хозтовары</t>
  </si>
  <si>
    <t>2.4 Оплата поставщику — ИП Карпов Д.Е.</t>
  </si>
  <si>
    <t>14.03.2026</t>
  </si>
  <si>
    <t>Упаковочные материалы, фурнитура</t>
  </si>
  <si>
    <t>2.5 Оплата поставщику — ООО «РосПласт»</t>
  </si>
  <si>
    <t>18.03.2026</t>
  </si>
  <si>
    <t>Полимерная тара, расходники склад</t>
  </si>
  <si>
    <t>2.6 Оплата поставщику — ООО «ЛайтГрупп»</t>
  </si>
  <si>
    <t>21.03.2026</t>
  </si>
  <si>
    <t>Сезонный товар (весна), предоплата 30%</t>
  </si>
  <si>
    <t>2.7 Прочие поставщики товаров</t>
  </si>
  <si>
    <t>11 мелких поставщиков, суммарно</t>
  </si>
  <si>
    <t xml:space="preserve">  Б. Операционные расходы</t>
  </si>
  <si>
    <t>3.1 Выплата заработной платы — аванс</t>
  </si>
  <si>
    <t>10.03.2026</t>
  </si>
  <si>
    <t>50% ФОТ, все сотрудники</t>
  </si>
  <si>
    <t>3.2 Выплата заработной платы — расчёт</t>
  </si>
  <si>
    <t>25.03.2026</t>
  </si>
  <si>
    <t>50% ФОТ + НДФЛ перечислен</t>
  </si>
  <si>
    <t>3.3 Страховые взносы (СВ)</t>
  </si>
  <si>
    <t>ФНС, тариф 30%</t>
  </si>
  <si>
    <t>3.4 Аренда офиса и складов</t>
  </si>
  <si>
    <t>05.03.2026</t>
  </si>
  <si>
    <t>Предоплата за март (фиксированная)</t>
  </si>
  <si>
    <t>3.5 Оплата логистических услуг — ООО «СпидДеливери»</t>
  </si>
  <si>
    <t>07-28.03.2026</t>
  </si>
  <si>
    <t>Доставка клиентам, 3 рейса</t>
  </si>
  <si>
    <t>3.6 Оплата СДЭК / Боксберри</t>
  </si>
  <si>
    <t>Доставка онлайн-заказов, реестр</t>
  </si>
  <si>
    <t>3.7 Маркетинг — Яндекс.Директ</t>
  </si>
  <si>
    <t>Автоплатёж рекламный кабинет</t>
  </si>
  <si>
    <t>Перерасход 98%: докупался трафик для восстановления конверсии после провала кампании</t>
  </si>
  <si>
    <t>3.8 Маркетинг — ВКонтакте / MyTarget</t>
  </si>
  <si>
    <t>Таргетированная реклама</t>
  </si>
  <si>
    <t>3.9 Маркетинг — промо-материалы</t>
  </si>
  <si>
    <t>ООО «ПринтМастер», тираж листовок/POS</t>
  </si>
  <si>
    <t>3.10 Коммунальные услуги</t>
  </si>
  <si>
    <t>20.03.2026</t>
  </si>
  <si>
    <t>Электроэнергия, вода (МосЭнергоСбыт)</t>
  </si>
  <si>
    <t>3.11 IT-услуги и лицензии</t>
  </si>
  <si>
    <t>1С-сопровождение, CRM Битрикс24, хостинг</t>
  </si>
  <si>
    <t>3.12 Охрана — ООО «СтражПлюс»</t>
  </si>
  <si>
    <t>ЧОП, ежемесячный платёж</t>
  </si>
  <si>
    <t>3.13 Банковские услуги (РКО + эквайринг)</t>
  </si>
  <si>
    <t>Сбербанк + ВТБ</t>
  </si>
  <si>
    <t>3.14 Прочие операционные платежи</t>
  </si>
  <si>
    <t xml:space="preserve">  В. Налоговые платежи</t>
  </si>
  <si>
    <t>4.1 НДС к уплате в бюджет</t>
  </si>
  <si>
    <t>1/3 платёжа за Q4 2025</t>
  </si>
  <si>
    <t>4.2 Налог на прибыль (авансовый платёж)</t>
  </si>
  <si>
    <t>28.03.2026</t>
  </si>
  <si>
    <t>Аванс за январь-март 2026</t>
  </si>
  <si>
    <t>4.3 Налог на имущество</t>
  </si>
  <si>
    <t>Квартальный авансовый платёж</t>
  </si>
  <si>
    <t>4.4 Транспортный налог</t>
  </si>
  <si>
    <t>Авансовый платёж, 4 ТС</t>
  </si>
  <si>
    <t xml:space="preserve">  Г. Финансовые платежи</t>
  </si>
  <si>
    <t>5.1 Погашение тела кредита — ВТБ</t>
  </si>
  <si>
    <t>Кредитная линия №КЛ-2023-47, плановый взнос</t>
  </si>
  <si>
    <t>5.2 Уплата процентов по кредиту — ВТБ</t>
  </si>
  <si>
    <t>Ставка 16.5% годовых</t>
  </si>
  <si>
    <t>5.3 Проценты по овердрафту — Сбербанк</t>
  </si>
  <si>
    <t>Использование 13-16.03, сумма 15 млн, ставка 19%</t>
  </si>
  <si>
    <t>НЕЗАПЛАНИРОВАННЫЙ ПЛАТЁЖ: использован овердрафт из-за кассового разрыва (досрочный платёж АгроПрод + задержка МегаМаркет)</t>
  </si>
  <si>
    <t>5.4 Штрафы уплаченные</t>
  </si>
  <si>
    <t>ООО «МегаМаркет» — штраф за задержку поставки</t>
  </si>
  <si>
    <t>Незапланированный штраф</t>
  </si>
  <si>
    <t>ИТОГО ПЛАТЕЖИ</t>
  </si>
  <si>
    <t>Рост платежей: перерасход по маркетингу + проценты по овердрафту + штраф</t>
  </si>
  <si>
    <t>ЧИСТЫЙ ДЕНЕЖНЫЙ ПОТОК ЗА ПЕРИОД</t>
  </si>
  <si>
    <t>Отрицательное отклонение: недопоступление от МегаМаркет + незаплан. платежи</t>
  </si>
  <si>
    <t>ОСТАТОК ДЕНЕЖНЫХ СРЕДСТВ НА КОНЕЦ ПЕРИОДА (31.03.2026)</t>
  </si>
  <si>
    <t>Кассовый разрыв 13-16.03 покрыт овердрафтом; конечный остаток восстановлен частично</t>
  </si>
  <si>
    <t>СПРАВОЧНО: Кассовый разрыв 13–16 марта 2026 г.</t>
  </si>
  <si>
    <t>Остаток на 12.03.2026 (факт)</t>
  </si>
  <si>
    <t>До кассового разрыва</t>
  </si>
  <si>
    <t>Платёж ООО «АгроПрод» (досрочный)</t>
  </si>
  <si>
    <t>08.03.2026</t>
  </si>
  <si>
    <t>Ушёл раньше плана на 12 дней</t>
  </si>
  <si>
    <t>Досрочная оплата спровоцировала разрыв</t>
  </si>
  <si>
    <t>Непоступление от ООО «МегаМаркет»</t>
  </si>
  <si>
    <t>16.03.2026</t>
  </si>
  <si>
    <t>Ожидалось 18 млн — не пришло</t>
  </si>
  <si>
    <t>Дебиторка задержана</t>
  </si>
  <si>
    <t>Расчётный остаток на 13.03 без овердрафта</t>
  </si>
  <si>
    <t>13.03.2026</t>
  </si>
  <si>
    <t>Гипотетический (отрицательный)</t>
  </si>
  <si>
    <t>Требовался овердрафт</t>
  </si>
  <si>
    <t>Использование овердрафта Сбербанк</t>
  </si>
  <si>
    <t>Лимит 20 млн, использовано 15 млн</t>
  </si>
  <si>
    <t>Вынужденная мера</t>
  </si>
  <si>
    <t>Погашение овердрафта</t>
  </si>
  <si>
    <t>17.03.2026</t>
  </si>
  <si>
    <t>Частично из поступлений розницы</t>
  </si>
  <si>
    <t>Погашен за 4 дня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</si>
</sst>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1F3864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i/>
      <sz val="10"/>
      <color rgb="FF000000"/>
      <name val="Arial"/>
      <charset val="1"/>
    </font>
    <font>
      <b/>
      <sz val="10"/>
      <name val="Arial"/>
      <charset val="1"/>
    </font>
    <font>
      <b/>
      <sz val="10"/>
      <color rgb="FF0000FF"/>
      <name val="Arial"/>
      <charset val="1"/>
    </font>
    <font>
      <i/>
      <sz val="10"/>
      <color rgb="FF7F3F00"/>
      <name val="Arial"/>
      <charset val="1"/>
    </font>
    <font>
      <b/>
      <sz val="11"/>
      <color rgb="FFC00000"/>
      <name val="Arial"/>
      <charset val="1"/>
    </font>
    <font>
      <sz val="10"/>
      <color rgb="FFC0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E8F0FA"/>
        <bgColor rgb="FFE2EFDA"/>
      </patternFill>
    </fill>
    <fill>
      <patternFill patternType="solid">
        <fgColor rgb="FFFFFFFF"/>
        <bgColor rgb="FFE8F0FA"/>
      </patternFill>
    </fill>
    <fill>
      <patternFill patternType="solid">
        <fgColor rgb="FFD6E4F0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8F0F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8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0" fillId="4" borderId="1" xfId="0" applyNumberFormat="1" applyFill="1" applyBorder="1"/>
    <xf numFmtId="164" fontId="0" fillId="4" borderId="1" xfId="0" applyNumberFormat="1" applyFill="1" applyBorder="1"/>
    <xf numFmtId="0" fontId="0" fillId="4" borderId="1" xfId="0" applyFill="1" applyBorder="1"/>
    <xf numFmtId="0" fontId="4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3" fontId="8" fillId="6" borderId="1" xfId="0" applyNumberFormat="1" applyFont="1" applyFill="1" applyBorder="1"/>
    <xf numFmtId="3" fontId="7" fillId="6" borderId="1" xfId="0" applyNumberFormat="1" applyFont="1" applyFill="1" applyBorder="1"/>
    <xf numFmtId="164" fontId="7" fillId="6" borderId="1" xfId="0" applyNumberFormat="1" applyFont="1" applyFill="1" applyBorder="1"/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3" fontId="5" fillId="7" borderId="1" xfId="0" applyNumberFormat="1" applyFont="1" applyFill="1" applyBorder="1" applyAlignment="1">
      <alignment horizontal="center" vertical="center" wrapText="1"/>
    </xf>
    <xf numFmtId="3" fontId="4" fillId="7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3" fontId="5" fillId="8" borderId="1" xfId="0" applyNumberFormat="1" applyFont="1" applyFill="1" applyBorder="1" applyAlignment="1">
      <alignment horizontal="center" vertical="center" wrapText="1"/>
    </xf>
    <xf numFmtId="3" fontId="4" fillId="8" borderId="1" xfId="0" applyNumberFormat="1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3" fontId="8" fillId="8" borderId="1" xfId="0" applyNumberFormat="1" applyFont="1" applyFill="1" applyBorder="1"/>
    <xf numFmtId="3" fontId="7" fillId="8" borderId="1" xfId="0" applyNumberFormat="1" applyFont="1" applyFill="1" applyBorder="1"/>
    <xf numFmtId="164" fontId="7" fillId="8" borderId="1" xfId="0" applyNumberFormat="1" applyFont="1" applyFill="1" applyBorder="1"/>
    <xf numFmtId="3" fontId="8" fillId="9" borderId="1" xfId="0" applyNumberFormat="1" applyFont="1" applyFill="1" applyBorder="1"/>
    <xf numFmtId="3" fontId="7" fillId="9" borderId="1" xfId="0" applyNumberFormat="1" applyFont="1" applyFill="1" applyBorder="1"/>
    <xf numFmtId="164" fontId="7" fillId="9" borderId="1" xfId="0" applyNumberFormat="1" applyFont="1" applyFill="1" applyBorder="1"/>
    <xf numFmtId="0" fontId="4" fillId="9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4" fillId="5" borderId="1" xfId="0" applyFont="1" applyFill="1" applyBorder="1"/>
    <xf numFmtId="0" fontId="4" fillId="7" borderId="1" xfId="0" applyFont="1" applyFill="1" applyBorder="1"/>
    <xf numFmtId="3" fontId="11" fillId="7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/>
    <xf numFmtId="3" fontId="5" fillId="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8F0FA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F3F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abSelected="1" zoomScaleNormal="100" workbookViewId="0">
      <pane ySplit="2" topLeftCell="A45" activePane="bottomLeft" state="frozen"/>
      <selection pane="bottomLeft" sqref="A1:G1"/>
    </sheetView>
  </sheetViews>
  <sheetFormatPr defaultColWidth="8.6640625" defaultRowHeight="14.4" x14ac:dyDescent="0.3"/>
  <cols>
    <col min="1" max="1" width="38" customWidth="1"/>
    <col min="2" max="2" width="42" customWidth="1"/>
    <col min="3" max="5" width="18" customWidth="1"/>
    <col min="6" max="6" width="12" customWidth="1"/>
    <col min="7" max="7" width="42" customWidth="1"/>
  </cols>
  <sheetData>
    <row r="1" spans="1:7" ht="36" customHeight="1" x14ac:dyDescent="0.3">
      <c r="A1" s="6" t="s">
        <v>0</v>
      </c>
      <c r="B1" s="6"/>
      <c r="C1" s="6"/>
      <c r="D1" s="6"/>
      <c r="E1" s="6"/>
      <c r="F1" s="6"/>
      <c r="G1" s="6"/>
    </row>
    <row r="2" spans="1:7" ht="30" customHeight="1" x14ac:dyDescent="0.3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spans="1:7" ht="21.75" customHeight="1" x14ac:dyDescent="0.3">
      <c r="A3" s="5" t="s">
        <v>8</v>
      </c>
      <c r="B3" s="5"/>
      <c r="C3" s="8"/>
      <c r="D3" s="8"/>
      <c r="E3" s="8"/>
      <c r="F3" s="9"/>
      <c r="G3" s="10"/>
    </row>
    <row r="4" spans="1:7" ht="18" customHeight="1" x14ac:dyDescent="0.3">
      <c r="A4" s="11" t="s">
        <v>9</v>
      </c>
      <c r="B4" s="11" t="s">
        <v>10</v>
      </c>
      <c r="C4" s="12">
        <v>78000000</v>
      </c>
      <c r="D4" s="12">
        <v>83200000</v>
      </c>
      <c r="E4" s="13">
        <f t="shared" ref="E4:E16" si="0">D4-C4</f>
        <v>5200000</v>
      </c>
      <c r="F4" s="14">
        <f t="shared" ref="F4:F16" si="1">IF(C4&lt;&gt;0,(D4-C4)/ABS(C4),0)</f>
        <v>6.6666666666666666E-2</v>
      </c>
      <c r="G4" s="15"/>
    </row>
    <row r="5" spans="1:7" ht="18" customHeight="1" x14ac:dyDescent="0.3">
      <c r="A5" s="11" t="s">
        <v>11</v>
      </c>
      <c r="B5" s="11" t="s">
        <v>12</v>
      </c>
      <c r="C5" s="12">
        <v>32000000</v>
      </c>
      <c r="D5" s="12">
        <v>34500000</v>
      </c>
      <c r="E5" s="13">
        <f t="shared" si="0"/>
        <v>2500000</v>
      </c>
      <c r="F5" s="14">
        <f t="shared" si="1"/>
        <v>7.8125E-2</v>
      </c>
      <c r="G5" s="15"/>
    </row>
    <row r="6" spans="1:7" ht="18" customHeight="1" x14ac:dyDescent="0.3">
      <c r="A6" s="11" t="s">
        <v>13</v>
      </c>
      <c r="B6" s="11" t="s">
        <v>14</v>
      </c>
      <c r="C6" s="12">
        <v>28000000</v>
      </c>
      <c r="D6" s="12">
        <v>29700000</v>
      </c>
      <c r="E6" s="13">
        <f t="shared" si="0"/>
        <v>1700000</v>
      </c>
      <c r="F6" s="14">
        <f t="shared" si="1"/>
        <v>6.0714285714285714E-2</v>
      </c>
      <c r="G6" s="15"/>
    </row>
    <row r="7" spans="1:7" ht="18" customHeight="1" x14ac:dyDescent="0.3">
      <c r="A7" s="11" t="s">
        <v>15</v>
      </c>
      <c r="B7" s="11" t="s">
        <v>16</v>
      </c>
      <c r="C7" s="12">
        <v>18000000</v>
      </c>
      <c r="D7" s="12">
        <v>19000000</v>
      </c>
      <c r="E7" s="13">
        <f t="shared" si="0"/>
        <v>1000000</v>
      </c>
      <c r="F7" s="14">
        <f t="shared" si="1"/>
        <v>5.5555555555555552E-2</v>
      </c>
      <c r="G7" s="15"/>
    </row>
    <row r="8" spans="1:7" ht="18" customHeight="1" x14ac:dyDescent="0.3">
      <c r="A8" s="11" t="s">
        <v>17</v>
      </c>
      <c r="B8" s="11" t="s">
        <v>18</v>
      </c>
      <c r="C8" s="12">
        <v>52000000</v>
      </c>
      <c r="D8" s="12">
        <v>54600000</v>
      </c>
      <c r="E8" s="13">
        <f t="shared" si="0"/>
        <v>2600000</v>
      </c>
      <c r="F8" s="14">
        <f t="shared" si="1"/>
        <v>0.05</v>
      </c>
      <c r="G8" s="15"/>
    </row>
    <row r="9" spans="1:7" ht="18" customHeight="1" x14ac:dyDescent="0.3">
      <c r="A9" s="11" t="s">
        <v>19</v>
      </c>
      <c r="B9" s="11" t="s">
        <v>20</v>
      </c>
      <c r="C9" s="12">
        <v>32000000</v>
      </c>
      <c r="D9" s="12">
        <v>33400000</v>
      </c>
      <c r="E9" s="13">
        <f t="shared" si="0"/>
        <v>1400000</v>
      </c>
      <c r="F9" s="14">
        <f t="shared" si="1"/>
        <v>4.3749999999999997E-2</v>
      </c>
      <c r="G9" s="15"/>
    </row>
    <row r="10" spans="1:7" ht="18" customHeight="1" x14ac:dyDescent="0.3">
      <c r="A10" s="11" t="s">
        <v>21</v>
      </c>
      <c r="B10" s="11" t="s">
        <v>22</v>
      </c>
      <c r="C10" s="12">
        <v>20000000</v>
      </c>
      <c r="D10" s="12">
        <v>21200000</v>
      </c>
      <c r="E10" s="13">
        <f t="shared" si="0"/>
        <v>1200000</v>
      </c>
      <c r="F10" s="14">
        <f t="shared" si="1"/>
        <v>0.06</v>
      </c>
      <c r="G10" s="15"/>
    </row>
    <row r="11" spans="1:7" ht="18" customHeight="1" x14ac:dyDescent="0.3">
      <c r="A11" s="11" t="s">
        <v>23</v>
      </c>
      <c r="B11" s="11" t="s">
        <v>24</v>
      </c>
      <c r="C11" s="12">
        <v>28000000</v>
      </c>
      <c r="D11" s="12">
        <v>28700000</v>
      </c>
      <c r="E11" s="13">
        <f t="shared" si="0"/>
        <v>700000</v>
      </c>
      <c r="F11" s="14">
        <f t="shared" si="1"/>
        <v>2.5000000000000001E-2</v>
      </c>
      <c r="G11" s="15"/>
    </row>
    <row r="12" spans="1:7" ht="18" customHeight="1" x14ac:dyDescent="0.3">
      <c r="A12" s="11" t="s">
        <v>25</v>
      </c>
      <c r="B12" s="11" t="s">
        <v>26</v>
      </c>
      <c r="C12" s="12">
        <v>12000000</v>
      </c>
      <c r="D12" s="12">
        <v>11800000</v>
      </c>
      <c r="E12" s="13">
        <f t="shared" si="0"/>
        <v>-200000</v>
      </c>
      <c r="F12" s="14">
        <f t="shared" si="1"/>
        <v>-1.6666666666666666E-2</v>
      </c>
      <c r="G12" s="15"/>
    </row>
    <row r="13" spans="1:7" ht="18" customHeight="1" x14ac:dyDescent="0.3">
      <c r="A13" s="11" t="s">
        <v>27</v>
      </c>
      <c r="B13" s="11" t="s">
        <v>28</v>
      </c>
      <c r="C13" s="12">
        <v>10000000</v>
      </c>
      <c r="D13" s="12">
        <v>11200000</v>
      </c>
      <c r="E13" s="13">
        <f t="shared" si="0"/>
        <v>1200000</v>
      </c>
      <c r="F13" s="14">
        <f t="shared" si="1"/>
        <v>0.12</v>
      </c>
      <c r="G13" s="15"/>
    </row>
    <row r="14" spans="1:7" ht="18" customHeight="1" x14ac:dyDescent="0.3">
      <c r="A14" s="11" t="s">
        <v>29</v>
      </c>
      <c r="B14" s="11" t="s">
        <v>30</v>
      </c>
      <c r="C14" s="12">
        <v>6000000</v>
      </c>
      <c r="D14" s="12">
        <v>5700000</v>
      </c>
      <c r="E14" s="13">
        <f t="shared" si="0"/>
        <v>-300000</v>
      </c>
      <c r="F14" s="14">
        <f t="shared" si="1"/>
        <v>-0.05</v>
      </c>
      <c r="G14" s="15"/>
    </row>
    <row r="15" spans="1:7" ht="18" customHeight="1" x14ac:dyDescent="0.3">
      <c r="A15" s="11" t="s">
        <v>31</v>
      </c>
      <c r="B15" s="11" t="s">
        <v>32</v>
      </c>
      <c r="C15" s="12">
        <v>2000000</v>
      </c>
      <c r="D15" s="12">
        <v>2100000</v>
      </c>
      <c r="E15" s="13">
        <f t="shared" si="0"/>
        <v>100000</v>
      </c>
      <c r="F15" s="14">
        <f t="shared" si="1"/>
        <v>0.05</v>
      </c>
      <c r="G15" s="15"/>
    </row>
    <row r="16" spans="1:7" ht="19.5" customHeight="1" x14ac:dyDescent="0.3">
      <c r="A16" s="4" t="s">
        <v>33</v>
      </c>
      <c r="B16" s="4"/>
      <c r="C16" s="16">
        <v>160000000</v>
      </c>
      <c r="D16" s="16">
        <v>168600000</v>
      </c>
      <c r="E16" s="17">
        <f t="shared" si="0"/>
        <v>8600000</v>
      </c>
      <c r="F16" s="18">
        <f t="shared" si="1"/>
        <v>5.3749999999999999E-2</v>
      </c>
      <c r="G16" s="19" t="s">
        <v>34</v>
      </c>
    </row>
    <row r="17" spans="1:7" ht="21.75" customHeight="1" x14ac:dyDescent="0.3">
      <c r="A17" s="5" t="s">
        <v>35</v>
      </c>
      <c r="B17" s="5"/>
      <c r="C17" s="8"/>
      <c r="D17" s="8"/>
      <c r="E17" s="8"/>
      <c r="F17" s="9"/>
      <c r="G17" s="10"/>
    </row>
    <row r="18" spans="1:7" ht="39" customHeight="1" x14ac:dyDescent="0.3">
      <c r="A18" s="20" t="s">
        <v>36</v>
      </c>
      <c r="B18" s="20" t="s">
        <v>37</v>
      </c>
      <c r="C18" s="21">
        <v>42000000</v>
      </c>
      <c r="D18" s="21">
        <v>46800000</v>
      </c>
      <c r="E18" s="22">
        <f t="shared" ref="E18:E28" si="2">D18-C18</f>
        <v>4800000</v>
      </c>
      <c r="F18" s="23">
        <f t="shared" ref="F18:F28" si="3">IF(C18&lt;&gt;0,(D18-C18)/ABS(C18),0)</f>
        <v>0.11428571428571428</v>
      </c>
      <c r="G18" s="24" t="s">
        <v>38</v>
      </c>
    </row>
    <row r="19" spans="1:7" ht="18" customHeight="1" x14ac:dyDescent="0.3">
      <c r="A19" s="11" t="s">
        <v>39</v>
      </c>
      <c r="B19" s="11" t="s">
        <v>40</v>
      </c>
      <c r="C19" s="12">
        <v>16000000</v>
      </c>
      <c r="D19" s="12">
        <v>17200000</v>
      </c>
      <c r="E19" s="13">
        <f t="shared" si="2"/>
        <v>1200000</v>
      </c>
      <c r="F19" s="14">
        <f t="shared" si="3"/>
        <v>7.4999999999999997E-2</v>
      </c>
      <c r="G19" s="15"/>
    </row>
    <row r="20" spans="1:7" ht="18" customHeight="1" x14ac:dyDescent="0.3">
      <c r="A20" s="11" t="s">
        <v>41</v>
      </c>
      <c r="B20" s="11" t="s">
        <v>42</v>
      </c>
      <c r="C20" s="12">
        <v>15000000</v>
      </c>
      <c r="D20" s="12">
        <v>16100000</v>
      </c>
      <c r="E20" s="13">
        <f t="shared" si="2"/>
        <v>1100000</v>
      </c>
      <c r="F20" s="14">
        <f t="shared" si="3"/>
        <v>7.3333333333333334E-2</v>
      </c>
      <c r="G20" s="15"/>
    </row>
    <row r="21" spans="1:7" ht="32.4" customHeight="1" x14ac:dyDescent="0.3">
      <c r="A21" s="20" t="s">
        <v>43</v>
      </c>
      <c r="B21" s="20" t="s">
        <v>44</v>
      </c>
      <c r="C21" s="21">
        <v>11000000</v>
      </c>
      <c r="D21" s="21">
        <v>13500000</v>
      </c>
      <c r="E21" s="22">
        <f t="shared" si="2"/>
        <v>2500000</v>
      </c>
      <c r="F21" s="23">
        <f t="shared" si="3"/>
        <v>0.22727272727272727</v>
      </c>
      <c r="G21" s="24" t="s">
        <v>45</v>
      </c>
    </row>
    <row r="22" spans="1:7" ht="18" customHeight="1" x14ac:dyDescent="0.3">
      <c r="A22" s="11" t="s">
        <v>46</v>
      </c>
      <c r="B22" s="11" t="s">
        <v>47</v>
      </c>
      <c r="C22" s="12">
        <v>28000000</v>
      </c>
      <c r="D22" s="12">
        <v>28900000</v>
      </c>
      <c r="E22" s="13">
        <f t="shared" si="2"/>
        <v>900000</v>
      </c>
      <c r="F22" s="14">
        <f t="shared" si="3"/>
        <v>3.214285714285714E-2</v>
      </c>
      <c r="G22" s="15"/>
    </row>
    <row r="23" spans="1:7" ht="18" customHeight="1" x14ac:dyDescent="0.3">
      <c r="A23" s="11" t="s">
        <v>48</v>
      </c>
      <c r="B23" s="11" t="s">
        <v>49</v>
      </c>
      <c r="C23" s="12">
        <v>14500000</v>
      </c>
      <c r="D23" s="12">
        <v>15100000</v>
      </c>
      <c r="E23" s="13">
        <f t="shared" si="2"/>
        <v>600000</v>
      </c>
      <c r="F23" s="14">
        <f t="shared" si="3"/>
        <v>4.1379310344827586E-2</v>
      </c>
      <c r="G23" s="15"/>
    </row>
    <row r="24" spans="1:7" ht="18" customHeight="1" x14ac:dyDescent="0.3">
      <c r="A24" s="11" t="s">
        <v>50</v>
      </c>
      <c r="B24" s="11" t="s">
        <v>51</v>
      </c>
      <c r="C24" s="12">
        <v>2400000</v>
      </c>
      <c r="D24" s="12">
        <v>2530000</v>
      </c>
      <c r="E24" s="13">
        <f t="shared" si="2"/>
        <v>130000</v>
      </c>
      <c r="F24" s="14">
        <f t="shared" si="3"/>
        <v>5.4166666666666669E-2</v>
      </c>
      <c r="G24" s="15"/>
    </row>
    <row r="25" spans="1:7" ht="18" customHeight="1" x14ac:dyDescent="0.3">
      <c r="A25" s="11" t="s">
        <v>52</v>
      </c>
      <c r="B25" s="11" t="s">
        <v>53</v>
      </c>
      <c r="C25" s="12">
        <v>1800000</v>
      </c>
      <c r="D25" s="12">
        <v>1950000</v>
      </c>
      <c r="E25" s="13">
        <f t="shared" si="2"/>
        <v>150000</v>
      </c>
      <c r="F25" s="14">
        <f t="shared" si="3"/>
        <v>8.3333333333333329E-2</v>
      </c>
      <c r="G25" s="15"/>
    </row>
    <row r="26" spans="1:7" ht="19.5" customHeight="1" x14ac:dyDescent="0.3">
      <c r="A26" s="4" t="s">
        <v>54</v>
      </c>
      <c r="B26" s="4"/>
      <c r="C26" s="16">
        <v>88700000</v>
      </c>
      <c r="D26" s="16">
        <v>95280000</v>
      </c>
      <c r="E26" s="17">
        <f t="shared" si="2"/>
        <v>6580000</v>
      </c>
      <c r="F26" s="18">
        <f t="shared" si="3"/>
        <v>7.4182638105975196E-2</v>
      </c>
      <c r="G26" s="19" t="s">
        <v>55</v>
      </c>
    </row>
    <row r="27" spans="1:7" ht="33.6" customHeight="1" x14ac:dyDescent="0.3">
      <c r="A27" s="25" t="s">
        <v>56</v>
      </c>
      <c r="B27" s="25"/>
      <c r="C27" s="26">
        <f>C16-C26</f>
        <v>71300000</v>
      </c>
      <c r="D27" s="26">
        <f>D16-D26</f>
        <v>73320000</v>
      </c>
      <c r="E27" s="27">
        <f t="shared" si="2"/>
        <v>2020000</v>
      </c>
      <c r="F27" s="28">
        <f t="shared" si="3"/>
        <v>2.8330995792426369E-2</v>
      </c>
      <c r="G27" s="29" t="s">
        <v>57</v>
      </c>
    </row>
    <row r="28" spans="1:7" ht="18" customHeight="1" x14ac:dyDescent="0.3">
      <c r="A28" s="11" t="s">
        <v>58</v>
      </c>
      <c r="B28" s="11"/>
      <c r="C28" s="30">
        <f>C27/C16</f>
        <v>0.44562499999999999</v>
      </c>
      <c r="D28" s="30">
        <f>D27/D16</f>
        <v>0.43487544483985763</v>
      </c>
      <c r="E28" s="14">
        <f t="shared" si="2"/>
        <v>-1.0749555160142366E-2</v>
      </c>
      <c r="F28" s="14">
        <f t="shared" si="3"/>
        <v>-2.4122423921778099E-2</v>
      </c>
      <c r="G28" s="15"/>
    </row>
    <row r="29" spans="1:7" ht="21.75" customHeight="1" x14ac:dyDescent="0.3">
      <c r="A29" s="5" t="s">
        <v>59</v>
      </c>
      <c r="B29" s="5"/>
      <c r="C29" s="8"/>
      <c r="D29" s="8"/>
      <c r="E29" s="8"/>
      <c r="F29" s="9"/>
      <c r="G29" s="10"/>
    </row>
    <row r="30" spans="1:7" ht="32.4" customHeight="1" x14ac:dyDescent="0.3">
      <c r="A30" s="11" t="s">
        <v>60</v>
      </c>
      <c r="B30" s="11" t="s">
        <v>61</v>
      </c>
      <c r="C30" s="12">
        <v>18500000</v>
      </c>
      <c r="D30" s="12">
        <v>19100000</v>
      </c>
      <c r="E30" s="13">
        <f t="shared" ref="E30:E55" si="4">D30-C30</f>
        <v>600000</v>
      </c>
      <c r="F30" s="14">
        <f t="shared" ref="F30:F55" si="5">IF(C30&lt;&gt;0,(D30-C30)/ABS(C30),0)</f>
        <v>3.2432432432432434E-2</v>
      </c>
      <c r="G30" s="31" t="s">
        <v>62</v>
      </c>
    </row>
    <row r="31" spans="1:7" ht="18" customHeight="1" x14ac:dyDescent="0.3">
      <c r="A31" s="11" t="s">
        <v>63</v>
      </c>
      <c r="B31" s="11" t="s">
        <v>64</v>
      </c>
      <c r="C31" s="12">
        <v>5500000</v>
      </c>
      <c r="D31" s="12">
        <v>5700000</v>
      </c>
      <c r="E31" s="13">
        <f t="shared" si="4"/>
        <v>200000</v>
      </c>
      <c r="F31" s="14">
        <f t="shared" si="5"/>
        <v>3.6363636363636362E-2</v>
      </c>
      <c r="G31" s="15"/>
    </row>
    <row r="32" spans="1:7" ht="18" customHeight="1" x14ac:dyDescent="0.3">
      <c r="A32" s="11" t="s">
        <v>65</v>
      </c>
      <c r="B32" s="11" t="s">
        <v>66</v>
      </c>
      <c r="C32" s="12">
        <v>7000000</v>
      </c>
      <c r="D32" s="12">
        <v>7400000</v>
      </c>
      <c r="E32" s="13">
        <f t="shared" si="4"/>
        <v>400000</v>
      </c>
      <c r="F32" s="14">
        <f t="shared" si="5"/>
        <v>5.7142857142857141E-2</v>
      </c>
      <c r="G32" s="15"/>
    </row>
    <row r="33" spans="1:7" ht="18" customHeight="1" x14ac:dyDescent="0.3">
      <c r="A33" s="11" t="s">
        <v>67</v>
      </c>
      <c r="B33" s="11" t="s">
        <v>68</v>
      </c>
      <c r="C33" s="12">
        <v>6000000</v>
      </c>
      <c r="D33" s="12">
        <v>6000000</v>
      </c>
      <c r="E33" s="13">
        <f t="shared" si="4"/>
        <v>0</v>
      </c>
      <c r="F33" s="14">
        <f t="shared" si="5"/>
        <v>0</v>
      </c>
      <c r="G33" s="15"/>
    </row>
    <row r="34" spans="1:7" ht="18" customHeight="1" x14ac:dyDescent="0.3">
      <c r="A34" s="11" t="s">
        <v>69</v>
      </c>
      <c r="B34" s="11" t="s">
        <v>70</v>
      </c>
      <c r="C34" s="12">
        <v>6200000</v>
      </c>
      <c r="D34" s="12">
        <v>6200000</v>
      </c>
      <c r="E34" s="13">
        <f t="shared" si="4"/>
        <v>0</v>
      </c>
      <c r="F34" s="14">
        <f t="shared" si="5"/>
        <v>0</v>
      </c>
      <c r="G34" s="31" t="s">
        <v>71</v>
      </c>
    </row>
    <row r="35" spans="1:7" ht="18" customHeight="1" x14ac:dyDescent="0.3">
      <c r="A35" s="11" t="s">
        <v>72</v>
      </c>
      <c r="B35" s="11" t="s">
        <v>73</v>
      </c>
      <c r="C35" s="12">
        <v>3500000</v>
      </c>
      <c r="D35" s="12">
        <v>3500000</v>
      </c>
      <c r="E35" s="13">
        <f t="shared" si="4"/>
        <v>0</v>
      </c>
      <c r="F35" s="14">
        <f t="shared" si="5"/>
        <v>0</v>
      </c>
      <c r="G35" s="31" t="s">
        <v>71</v>
      </c>
    </row>
    <row r="36" spans="1:7" ht="18" customHeight="1" x14ac:dyDescent="0.3">
      <c r="A36" s="11" t="s">
        <v>74</v>
      </c>
      <c r="B36" s="11" t="s">
        <v>75</v>
      </c>
      <c r="C36" s="12">
        <v>2200000</v>
      </c>
      <c r="D36" s="12">
        <v>2200000</v>
      </c>
      <c r="E36" s="13">
        <f t="shared" si="4"/>
        <v>0</v>
      </c>
      <c r="F36" s="14">
        <f t="shared" si="5"/>
        <v>0</v>
      </c>
      <c r="G36" s="31" t="s">
        <v>71</v>
      </c>
    </row>
    <row r="37" spans="1:7" ht="18" customHeight="1" x14ac:dyDescent="0.3">
      <c r="A37" s="11" t="s">
        <v>76</v>
      </c>
      <c r="B37" s="11" t="s">
        <v>77</v>
      </c>
      <c r="C37" s="12">
        <v>500000</v>
      </c>
      <c r="D37" s="12">
        <v>500000</v>
      </c>
      <c r="E37" s="13">
        <f t="shared" si="4"/>
        <v>0</v>
      </c>
      <c r="F37" s="14">
        <f t="shared" si="5"/>
        <v>0</v>
      </c>
      <c r="G37" s="31" t="s">
        <v>71</v>
      </c>
    </row>
    <row r="38" spans="1:7" ht="18" customHeight="1" x14ac:dyDescent="0.3">
      <c r="A38" s="20" t="s">
        <v>78</v>
      </c>
      <c r="B38" s="20" t="s">
        <v>79</v>
      </c>
      <c r="C38" s="21">
        <v>3500000</v>
      </c>
      <c r="D38" s="21">
        <v>4900000</v>
      </c>
      <c r="E38" s="22">
        <f t="shared" si="4"/>
        <v>1400000</v>
      </c>
      <c r="F38" s="23">
        <f t="shared" si="5"/>
        <v>0.4</v>
      </c>
      <c r="G38" s="24" t="s">
        <v>80</v>
      </c>
    </row>
    <row r="39" spans="1:7" ht="18" customHeight="1" x14ac:dyDescent="0.3">
      <c r="A39" s="20" t="s">
        <v>81</v>
      </c>
      <c r="B39" s="20" t="s">
        <v>82</v>
      </c>
      <c r="C39" s="21">
        <v>1200000</v>
      </c>
      <c r="D39" s="21">
        <v>2380000</v>
      </c>
      <c r="E39" s="22">
        <f t="shared" si="4"/>
        <v>1180000</v>
      </c>
      <c r="F39" s="23">
        <f t="shared" si="5"/>
        <v>0.98333333333333328</v>
      </c>
      <c r="G39" s="24" t="s">
        <v>83</v>
      </c>
    </row>
    <row r="40" spans="1:7" ht="18" customHeight="1" x14ac:dyDescent="0.3">
      <c r="A40" s="11" t="s">
        <v>84</v>
      </c>
      <c r="B40" s="11" t="s">
        <v>85</v>
      </c>
      <c r="C40" s="12">
        <v>600000</v>
      </c>
      <c r="D40" s="12">
        <v>720000</v>
      </c>
      <c r="E40" s="13">
        <f t="shared" si="4"/>
        <v>120000</v>
      </c>
      <c r="F40" s="14">
        <f t="shared" si="5"/>
        <v>0.2</v>
      </c>
      <c r="G40" s="31" t="s">
        <v>86</v>
      </c>
    </row>
    <row r="41" spans="1:7" ht="18" customHeight="1" x14ac:dyDescent="0.3">
      <c r="A41" s="11" t="s">
        <v>87</v>
      </c>
      <c r="B41" s="11" t="s">
        <v>88</v>
      </c>
      <c r="C41" s="12">
        <v>900000</v>
      </c>
      <c r="D41" s="12">
        <v>950000</v>
      </c>
      <c r="E41" s="13">
        <f t="shared" si="4"/>
        <v>50000</v>
      </c>
      <c r="F41" s="14">
        <f t="shared" si="5"/>
        <v>5.5555555555555552E-2</v>
      </c>
      <c r="G41" s="15"/>
    </row>
    <row r="42" spans="1:7" ht="18" customHeight="1" x14ac:dyDescent="0.3">
      <c r="A42" s="11" t="s">
        <v>89</v>
      </c>
      <c r="B42" s="11" t="s">
        <v>90</v>
      </c>
      <c r="C42" s="12">
        <v>200000</v>
      </c>
      <c r="D42" s="12">
        <v>210000</v>
      </c>
      <c r="E42" s="13">
        <f t="shared" si="4"/>
        <v>10000</v>
      </c>
      <c r="F42" s="14">
        <f t="shared" si="5"/>
        <v>0.05</v>
      </c>
      <c r="G42" s="31" t="s">
        <v>71</v>
      </c>
    </row>
    <row r="43" spans="1:7" ht="18" customHeight="1" x14ac:dyDescent="0.3">
      <c r="A43" s="11" t="s">
        <v>91</v>
      </c>
      <c r="B43" s="11" t="s">
        <v>92</v>
      </c>
      <c r="C43" s="12">
        <v>600000</v>
      </c>
      <c r="D43" s="12">
        <v>640000</v>
      </c>
      <c r="E43" s="13">
        <f t="shared" si="4"/>
        <v>40000</v>
      </c>
      <c r="F43" s="14">
        <f t="shared" si="5"/>
        <v>6.6666666666666666E-2</v>
      </c>
      <c r="G43" s="31" t="s">
        <v>71</v>
      </c>
    </row>
    <row r="44" spans="1:7" ht="18" customHeight="1" x14ac:dyDescent="0.3">
      <c r="A44" s="11" t="s">
        <v>93</v>
      </c>
      <c r="B44" s="11" t="s">
        <v>94</v>
      </c>
      <c r="C44" s="12">
        <v>4800000</v>
      </c>
      <c r="D44" s="12">
        <v>5050000</v>
      </c>
      <c r="E44" s="13">
        <f t="shared" si="4"/>
        <v>250000</v>
      </c>
      <c r="F44" s="14">
        <f t="shared" si="5"/>
        <v>5.2083333333333336E-2</v>
      </c>
      <c r="G44" s="15"/>
    </row>
    <row r="45" spans="1:7" ht="18" customHeight="1" x14ac:dyDescent="0.3">
      <c r="A45" s="11" t="s">
        <v>95</v>
      </c>
      <c r="B45" s="11" t="s">
        <v>96</v>
      </c>
      <c r="C45" s="12">
        <v>2500000</v>
      </c>
      <c r="D45" s="12">
        <v>2650000</v>
      </c>
      <c r="E45" s="13">
        <f t="shared" si="4"/>
        <v>150000</v>
      </c>
      <c r="F45" s="14">
        <f t="shared" si="5"/>
        <v>0.06</v>
      </c>
      <c r="G45" s="15"/>
    </row>
    <row r="46" spans="1:7" ht="18" customHeight="1" x14ac:dyDescent="0.3">
      <c r="A46" s="11" t="s">
        <v>97</v>
      </c>
      <c r="B46" s="11" t="s">
        <v>98</v>
      </c>
      <c r="C46" s="12">
        <v>1500000</v>
      </c>
      <c r="D46" s="12">
        <v>1580000</v>
      </c>
      <c r="E46" s="13">
        <f t="shared" si="4"/>
        <v>80000</v>
      </c>
      <c r="F46" s="14">
        <f t="shared" si="5"/>
        <v>5.3333333333333337E-2</v>
      </c>
      <c r="G46" s="15"/>
    </row>
    <row r="47" spans="1:7" ht="18" customHeight="1" x14ac:dyDescent="0.3">
      <c r="A47" s="11" t="s">
        <v>99</v>
      </c>
      <c r="B47" s="11" t="s">
        <v>100</v>
      </c>
      <c r="C47" s="12">
        <v>800000</v>
      </c>
      <c r="D47" s="12">
        <v>820000</v>
      </c>
      <c r="E47" s="13">
        <f t="shared" si="4"/>
        <v>20000</v>
      </c>
      <c r="F47" s="14">
        <f t="shared" si="5"/>
        <v>2.5000000000000001E-2</v>
      </c>
      <c r="G47" s="31" t="s">
        <v>71</v>
      </c>
    </row>
    <row r="48" spans="1:7" ht="18" customHeight="1" x14ac:dyDescent="0.3">
      <c r="A48" s="11" t="s">
        <v>101</v>
      </c>
      <c r="B48" s="11" t="s">
        <v>102</v>
      </c>
      <c r="C48" s="12">
        <v>1200000</v>
      </c>
      <c r="D48" s="12">
        <v>1215000</v>
      </c>
      <c r="E48" s="13">
        <f t="shared" si="4"/>
        <v>15000</v>
      </c>
      <c r="F48" s="14">
        <f t="shared" si="5"/>
        <v>1.2500000000000001E-2</v>
      </c>
      <c r="G48" s="31" t="s">
        <v>71</v>
      </c>
    </row>
    <row r="49" spans="1:7" ht="18" customHeight="1" x14ac:dyDescent="0.3">
      <c r="A49" s="11" t="s">
        <v>103</v>
      </c>
      <c r="B49" s="11" t="s">
        <v>104</v>
      </c>
      <c r="C49" s="12">
        <v>850000</v>
      </c>
      <c r="D49" s="12">
        <v>880000</v>
      </c>
      <c r="E49" s="13">
        <f t="shared" si="4"/>
        <v>30000</v>
      </c>
      <c r="F49" s="14">
        <f t="shared" si="5"/>
        <v>3.5294117647058823E-2</v>
      </c>
      <c r="G49" s="31" t="s">
        <v>71</v>
      </c>
    </row>
    <row r="50" spans="1:7" ht="18" customHeight="1" x14ac:dyDescent="0.3">
      <c r="A50" s="11" t="s">
        <v>105</v>
      </c>
      <c r="B50" s="11" t="s">
        <v>106</v>
      </c>
      <c r="C50" s="12">
        <v>420000</v>
      </c>
      <c r="D50" s="12">
        <v>435000</v>
      </c>
      <c r="E50" s="13">
        <f t="shared" si="4"/>
        <v>15000</v>
      </c>
      <c r="F50" s="14">
        <f t="shared" si="5"/>
        <v>3.5714285714285712E-2</v>
      </c>
      <c r="G50" s="31" t="s">
        <v>71</v>
      </c>
    </row>
    <row r="51" spans="1:7" ht="18" customHeight="1" x14ac:dyDescent="0.3">
      <c r="A51" s="11" t="s">
        <v>107</v>
      </c>
      <c r="B51" s="11" t="s">
        <v>108</v>
      </c>
      <c r="C51" s="12">
        <v>320000</v>
      </c>
      <c r="D51" s="12">
        <v>320000</v>
      </c>
      <c r="E51" s="13">
        <f t="shared" si="4"/>
        <v>0</v>
      </c>
      <c r="F51" s="14">
        <f t="shared" si="5"/>
        <v>0</v>
      </c>
      <c r="G51" s="31" t="s">
        <v>71</v>
      </c>
    </row>
    <row r="52" spans="1:7" ht="18" customHeight="1" x14ac:dyDescent="0.3">
      <c r="A52" s="11" t="s">
        <v>109</v>
      </c>
      <c r="B52" s="11" t="s">
        <v>110</v>
      </c>
      <c r="C52" s="12">
        <v>280000</v>
      </c>
      <c r="D52" s="12">
        <v>295000</v>
      </c>
      <c r="E52" s="13">
        <f t="shared" si="4"/>
        <v>15000</v>
      </c>
      <c r="F52" s="14">
        <f t="shared" si="5"/>
        <v>5.3571428571428568E-2</v>
      </c>
      <c r="G52" s="31" t="s">
        <v>71</v>
      </c>
    </row>
    <row r="53" spans="1:7" ht="18" customHeight="1" x14ac:dyDescent="0.3">
      <c r="A53" s="11" t="s">
        <v>111</v>
      </c>
      <c r="B53" s="11" t="s">
        <v>112</v>
      </c>
      <c r="C53" s="12">
        <v>550000</v>
      </c>
      <c r="D53" s="12">
        <v>620000</v>
      </c>
      <c r="E53" s="13">
        <f t="shared" si="4"/>
        <v>70000</v>
      </c>
      <c r="F53" s="14">
        <f t="shared" si="5"/>
        <v>0.12727272727272726</v>
      </c>
      <c r="G53" s="15"/>
    </row>
    <row r="54" spans="1:7" ht="19.5" customHeight="1" x14ac:dyDescent="0.3">
      <c r="A54" s="4" t="s">
        <v>113</v>
      </c>
      <c r="B54" s="4"/>
      <c r="C54" s="16">
        <v>36620000</v>
      </c>
      <c r="D54" s="16">
        <v>39015000</v>
      </c>
      <c r="E54" s="17">
        <f t="shared" si="4"/>
        <v>2395000</v>
      </c>
      <c r="F54" s="18">
        <f t="shared" si="5"/>
        <v>6.5401419989077003E-2</v>
      </c>
      <c r="G54" s="19" t="s">
        <v>114</v>
      </c>
    </row>
    <row r="55" spans="1:7" ht="18" customHeight="1" x14ac:dyDescent="0.3">
      <c r="A55" s="25" t="s">
        <v>115</v>
      </c>
      <c r="B55" s="25"/>
      <c r="C55" s="26">
        <v>34680000</v>
      </c>
      <c r="D55" s="26">
        <v>34305000</v>
      </c>
      <c r="E55" s="27">
        <f t="shared" si="4"/>
        <v>-375000</v>
      </c>
      <c r="F55" s="28">
        <f t="shared" si="5"/>
        <v>-1.0813148788927335E-2</v>
      </c>
      <c r="G55" s="29" t="s">
        <v>116</v>
      </c>
    </row>
    <row r="56" spans="1:7" ht="21.75" customHeight="1" x14ac:dyDescent="0.3">
      <c r="A56" s="5" t="s">
        <v>117</v>
      </c>
      <c r="B56" s="5"/>
      <c r="C56" s="8"/>
      <c r="D56" s="8"/>
      <c r="E56" s="8"/>
      <c r="F56" s="9"/>
      <c r="G56" s="10"/>
    </row>
    <row r="57" spans="1:7" ht="18" customHeight="1" x14ac:dyDescent="0.3">
      <c r="A57" s="11" t="s">
        <v>118</v>
      </c>
      <c r="B57" s="11" t="s">
        <v>119</v>
      </c>
      <c r="C57" s="12">
        <v>150000</v>
      </c>
      <c r="D57" s="12">
        <v>148000</v>
      </c>
      <c r="E57" s="13">
        <f t="shared" ref="E57:E66" si="6">D57-C57</f>
        <v>-2000</v>
      </c>
      <c r="F57" s="14">
        <f t="shared" ref="F57:F66" si="7">IF(C57&lt;&gt;0,(D57-C57)/ABS(C57),0)</f>
        <v>-1.3333333333333334E-2</v>
      </c>
      <c r="G57" s="31" t="s">
        <v>71</v>
      </c>
    </row>
    <row r="58" spans="1:7" ht="18" customHeight="1" x14ac:dyDescent="0.3">
      <c r="A58" s="20" t="s">
        <v>120</v>
      </c>
      <c r="B58" s="20" t="s">
        <v>121</v>
      </c>
      <c r="C58" s="21">
        <v>0</v>
      </c>
      <c r="D58" s="21">
        <v>-320000</v>
      </c>
      <c r="E58" s="22">
        <f t="shared" si="6"/>
        <v>-320000</v>
      </c>
      <c r="F58" s="23">
        <f t="shared" si="7"/>
        <v>0</v>
      </c>
      <c r="G58" s="24" t="s">
        <v>122</v>
      </c>
    </row>
    <row r="59" spans="1:7" ht="18" customHeight="1" x14ac:dyDescent="0.3">
      <c r="A59" s="11" t="s">
        <v>123</v>
      </c>
      <c r="B59" s="11" t="s">
        <v>124</v>
      </c>
      <c r="C59" s="12">
        <v>80000</v>
      </c>
      <c r="D59" s="12">
        <v>40000</v>
      </c>
      <c r="E59" s="13">
        <f t="shared" si="6"/>
        <v>-40000</v>
      </c>
      <c r="F59" s="14">
        <f t="shared" si="7"/>
        <v>-0.5</v>
      </c>
      <c r="G59" s="15"/>
    </row>
    <row r="60" spans="1:7" ht="18" customHeight="1" x14ac:dyDescent="0.3">
      <c r="A60" s="11" t="s">
        <v>125</v>
      </c>
      <c r="B60" s="11" t="s">
        <v>126</v>
      </c>
      <c r="C60" s="12">
        <v>0</v>
      </c>
      <c r="D60" s="12">
        <v>-95000</v>
      </c>
      <c r="E60" s="13">
        <f t="shared" si="6"/>
        <v>-95000</v>
      </c>
      <c r="F60" s="14">
        <f t="shared" si="7"/>
        <v>0</v>
      </c>
      <c r="G60" s="31" t="s">
        <v>127</v>
      </c>
    </row>
    <row r="61" spans="1:7" ht="18" customHeight="1" x14ac:dyDescent="0.3">
      <c r="A61" s="11" t="s">
        <v>128</v>
      </c>
      <c r="B61" s="11" t="s">
        <v>129</v>
      </c>
      <c r="C61" s="12">
        <v>50000</v>
      </c>
      <c r="D61" s="12">
        <v>35000</v>
      </c>
      <c r="E61" s="13">
        <f t="shared" si="6"/>
        <v>-15000</v>
      </c>
      <c r="F61" s="14">
        <f t="shared" si="7"/>
        <v>-0.3</v>
      </c>
      <c r="G61" s="31" t="s">
        <v>71</v>
      </c>
    </row>
    <row r="62" spans="1:7" ht="18" customHeight="1" x14ac:dyDescent="0.3">
      <c r="A62" s="11" t="s">
        <v>130</v>
      </c>
      <c r="B62" s="11" t="s">
        <v>131</v>
      </c>
      <c r="C62" s="12">
        <v>100000</v>
      </c>
      <c r="D62" s="12">
        <v>95000</v>
      </c>
      <c r="E62" s="13">
        <f t="shared" si="6"/>
        <v>-5000</v>
      </c>
      <c r="F62" s="14">
        <f t="shared" si="7"/>
        <v>-0.05</v>
      </c>
      <c r="G62" s="31" t="s">
        <v>71</v>
      </c>
    </row>
    <row r="63" spans="1:7" ht="19.5" customHeight="1" x14ac:dyDescent="0.3">
      <c r="A63" s="4" t="s">
        <v>132</v>
      </c>
      <c r="B63" s="4"/>
      <c r="C63" s="16">
        <v>380000</v>
      </c>
      <c r="D63" s="16">
        <v>-97000</v>
      </c>
      <c r="E63" s="17">
        <f t="shared" si="6"/>
        <v>-477000</v>
      </c>
      <c r="F63" s="18">
        <f t="shared" si="7"/>
        <v>-1.2552631578947369</v>
      </c>
      <c r="G63" s="19" t="s">
        <v>133</v>
      </c>
    </row>
    <row r="64" spans="1:7" ht="18" customHeight="1" x14ac:dyDescent="0.3">
      <c r="A64" s="25" t="s">
        <v>134</v>
      </c>
      <c r="B64" s="25"/>
      <c r="C64" s="26">
        <v>35060000</v>
      </c>
      <c r="D64" s="26">
        <v>34208000</v>
      </c>
      <c r="E64" s="27">
        <f t="shared" si="6"/>
        <v>-852000</v>
      </c>
      <c r="F64" s="28">
        <f t="shared" si="7"/>
        <v>-2.430119794637764E-2</v>
      </c>
      <c r="G64" s="32"/>
    </row>
    <row r="65" spans="1:7" ht="18" customHeight="1" x14ac:dyDescent="0.3">
      <c r="A65" s="11" t="s">
        <v>135</v>
      </c>
      <c r="B65" s="11" t="s">
        <v>136</v>
      </c>
      <c r="C65" s="12">
        <v>7012000</v>
      </c>
      <c r="D65" s="12">
        <v>6841600</v>
      </c>
      <c r="E65" s="13">
        <f t="shared" si="6"/>
        <v>-170400</v>
      </c>
      <c r="F65" s="14">
        <f t="shared" si="7"/>
        <v>-2.430119794637764E-2</v>
      </c>
      <c r="G65" s="15"/>
    </row>
    <row r="66" spans="1:7" ht="18" customHeight="1" x14ac:dyDescent="0.3">
      <c r="A66" s="33" t="s">
        <v>137</v>
      </c>
      <c r="B66" s="20"/>
      <c r="C66" s="21">
        <v>28048000</v>
      </c>
      <c r="D66" s="34">
        <v>27366400</v>
      </c>
      <c r="E66" s="22">
        <f t="shared" si="6"/>
        <v>-681600</v>
      </c>
      <c r="F66" s="23">
        <f t="shared" si="7"/>
        <v>-2.430119794637764E-2</v>
      </c>
      <c r="G66" s="24" t="s">
        <v>138</v>
      </c>
    </row>
    <row r="67" spans="1:7" ht="18" customHeight="1" x14ac:dyDescent="0.3">
      <c r="A67" s="11" t="s">
        <v>139</v>
      </c>
      <c r="B67" s="11"/>
      <c r="C67" s="30">
        <v>0.17530000000000001</v>
      </c>
      <c r="D67" s="30">
        <v>0.16231553973902699</v>
      </c>
      <c r="E67" s="13"/>
      <c r="F67" s="14"/>
      <c r="G67" s="15"/>
    </row>
  </sheetData>
  <mergeCells count="9">
    <mergeCell ref="A29:B29"/>
    <mergeCell ref="A54:B54"/>
    <mergeCell ref="A56:B56"/>
    <mergeCell ref="A63:B63"/>
    <mergeCell ref="A1:G1"/>
    <mergeCell ref="A3:B3"/>
    <mergeCell ref="A16:B16"/>
    <mergeCell ref="A17:B17"/>
    <mergeCell ref="A26:B2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zoomScaleNormal="100" workbookViewId="0">
      <pane ySplit="2" topLeftCell="A3" activePane="bottomLeft" state="frozen"/>
      <selection pane="bottomLeft" sqref="A1:H1"/>
    </sheetView>
  </sheetViews>
  <sheetFormatPr defaultColWidth="8.6640625" defaultRowHeight="14.4" x14ac:dyDescent="0.3"/>
  <cols>
    <col min="1" max="1" width="40" customWidth="1"/>
    <col min="2" max="2" width="28" customWidth="1"/>
    <col min="3" max="3" width="22" customWidth="1"/>
    <col min="4" max="6" width="18" customWidth="1"/>
    <col min="7" max="7" width="12" customWidth="1"/>
    <col min="8" max="8" width="44" customWidth="1"/>
  </cols>
  <sheetData>
    <row r="1" spans="1:8" ht="36" customHeight="1" x14ac:dyDescent="0.3">
      <c r="A1" s="6" t="s">
        <v>140</v>
      </c>
      <c r="B1" s="6"/>
      <c r="C1" s="6"/>
      <c r="D1" s="6"/>
      <c r="E1" s="6"/>
      <c r="F1" s="6"/>
      <c r="G1" s="6"/>
      <c r="H1" s="6"/>
    </row>
    <row r="2" spans="1:8" ht="30" customHeight="1" x14ac:dyDescent="0.3">
      <c r="A2" s="7" t="s">
        <v>141</v>
      </c>
      <c r="B2" s="7" t="s">
        <v>142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</row>
    <row r="3" spans="1:8" ht="21.75" customHeight="1" x14ac:dyDescent="0.3">
      <c r="A3" s="5" t="s">
        <v>143</v>
      </c>
      <c r="B3" s="5"/>
      <c r="C3" s="5"/>
      <c r="D3" s="10"/>
      <c r="E3" s="10"/>
      <c r="F3" s="10"/>
      <c r="G3" s="10"/>
      <c r="H3" s="10"/>
    </row>
    <row r="4" spans="1:8" ht="18" customHeight="1" x14ac:dyDescent="0.3">
      <c r="A4" s="11" t="s">
        <v>144</v>
      </c>
      <c r="B4" s="35" t="s">
        <v>145</v>
      </c>
      <c r="C4" s="11" t="s">
        <v>146</v>
      </c>
      <c r="D4" s="12">
        <v>18500000</v>
      </c>
      <c r="E4" s="12">
        <v>18500000</v>
      </c>
      <c r="F4" s="13">
        <f>E4-D4</f>
        <v>0</v>
      </c>
      <c r="G4" s="14">
        <f>IF(D4&lt;&gt;0,(E4-D4)/ABS(D4),0)</f>
        <v>0</v>
      </c>
      <c r="H4" s="31" t="s">
        <v>71</v>
      </c>
    </row>
    <row r="5" spans="1:8" ht="18" customHeight="1" x14ac:dyDescent="0.3">
      <c r="A5" s="11" t="s">
        <v>147</v>
      </c>
      <c r="B5" s="35" t="s">
        <v>145</v>
      </c>
      <c r="C5" s="11" t="s">
        <v>148</v>
      </c>
      <c r="D5" s="12">
        <v>3200000</v>
      </c>
      <c r="E5" s="12">
        <v>3200000</v>
      </c>
      <c r="F5" s="13">
        <f>E5-D5</f>
        <v>0</v>
      </c>
      <c r="G5" s="14">
        <f>IF(D5&lt;&gt;0,(E5-D5)/ABS(D5),0)</f>
        <v>0</v>
      </c>
      <c r="H5" s="31" t="s">
        <v>71</v>
      </c>
    </row>
    <row r="6" spans="1:8" ht="18" customHeight="1" x14ac:dyDescent="0.3">
      <c r="A6" s="11" t="s">
        <v>149</v>
      </c>
      <c r="B6" s="35" t="s">
        <v>145</v>
      </c>
      <c r="C6" s="11" t="s">
        <v>150</v>
      </c>
      <c r="D6" s="12">
        <v>850000</v>
      </c>
      <c r="E6" s="12">
        <v>850000</v>
      </c>
      <c r="F6" s="13">
        <f>E6-D6</f>
        <v>0</v>
      </c>
      <c r="G6" s="14">
        <f>IF(D6&lt;&gt;0,(E6-D6)/ABS(D6),0)</f>
        <v>0</v>
      </c>
      <c r="H6" s="31" t="s">
        <v>71</v>
      </c>
    </row>
    <row r="7" spans="1:8" ht="19.5" customHeight="1" x14ac:dyDescent="0.3">
      <c r="A7" s="4" t="s">
        <v>151</v>
      </c>
      <c r="B7" s="4"/>
      <c r="C7" s="4"/>
      <c r="D7" s="16">
        <v>22550000</v>
      </c>
      <c r="E7" s="16">
        <v>22550000</v>
      </c>
      <c r="F7" s="17">
        <f>E7-D7</f>
        <v>0</v>
      </c>
      <c r="G7" s="18">
        <f>IF(D7&lt;&gt;0,(E7-D7)/ABS(D7),0)</f>
        <v>0</v>
      </c>
      <c r="H7" s="19" t="s">
        <v>71</v>
      </c>
    </row>
    <row r="8" spans="1:8" ht="21.75" customHeight="1" x14ac:dyDescent="0.3">
      <c r="A8" s="5" t="s">
        <v>152</v>
      </c>
      <c r="B8" s="5"/>
      <c r="C8" s="5"/>
      <c r="D8" s="10"/>
      <c r="E8" s="10"/>
      <c r="F8" s="10"/>
      <c r="G8" s="10"/>
      <c r="H8" s="10"/>
    </row>
    <row r="9" spans="1:8" ht="18" customHeight="1" x14ac:dyDescent="0.3">
      <c r="A9" s="11" t="s">
        <v>153</v>
      </c>
      <c r="B9" s="35" t="s">
        <v>154</v>
      </c>
      <c r="C9" s="11" t="s">
        <v>155</v>
      </c>
      <c r="D9" s="12">
        <v>12000000</v>
      </c>
      <c r="E9" s="12">
        <v>12000000</v>
      </c>
      <c r="F9" s="13">
        <f t="shared" ref="F9:F24" si="0">E9-D9</f>
        <v>0</v>
      </c>
      <c r="G9" s="14">
        <f t="shared" ref="G9:G24" si="1">IF(D9&lt;&gt;0,(E9-D9)/ABS(D9),0)</f>
        <v>0</v>
      </c>
      <c r="H9" s="31" t="s">
        <v>71</v>
      </c>
    </row>
    <row r="10" spans="1:8" ht="18" customHeight="1" x14ac:dyDescent="0.3">
      <c r="A10" s="11" t="s">
        <v>156</v>
      </c>
      <c r="B10" s="35" t="s">
        <v>157</v>
      </c>
      <c r="C10" s="11" t="s">
        <v>158</v>
      </c>
      <c r="D10" s="12">
        <v>4500000</v>
      </c>
      <c r="E10" s="12">
        <v>4500000</v>
      </c>
      <c r="F10" s="13">
        <f t="shared" si="0"/>
        <v>0</v>
      </c>
      <c r="G10" s="14">
        <f t="shared" si="1"/>
        <v>0</v>
      </c>
      <c r="H10" s="31" t="s">
        <v>71</v>
      </c>
    </row>
    <row r="11" spans="1:8" ht="18" customHeight="1" x14ac:dyDescent="0.3">
      <c r="A11" s="11" t="s">
        <v>159</v>
      </c>
      <c r="B11" s="35" t="s">
        <v>160</v>
      </c>
      <c r="C11" s="11" t="s">
        <v>161</v>
      </c>
      <c r="D11" s="12">
        <v>6000000</v>
      </c>
      <c r="E11" s="12">
        <v>6000000</v>
      </c>
      <c r="F11" s="13">
        <f t="shared" si="0"/>
        <v>0</v>
      </c>
      <c r="G11" s="14">
        <f t="shared" si="1"/>
        <v>0</v>
      </c>
      <c r="H11" s="31" t="s">
        <v>71</v>
      </c>
    </row>
    <row r="12" spans="1:8" ht="43.2" customHeight="1" x14ac:dyDescent="0.3">
      <c r="A12" s="20" t="s">
        <v>162</v>
      </c>
      <c r="B12" s="36" t="s">
        <v>163</v>
      </c>
      <c r="C12" s="20" t="s">
        <v>164</v>
      </c>
      <c r="D12" s="21">
        <v>18000000</v>
      </c>
      <c r="E12" s="21">
        <v>0</v>
      </c>
      <c r="F12" s="22">
        <f t="shared" si="0"/>
        <v>-18000000</v>
      </c>
      <c r="G12" s="23">
        <f t="shared" si="1"/>
        <v>-1</v>
      </c>
      <c r="H12" s="24" t="s">
        <v>165</v>
      </c>
    </row>
    <row r="13" spans="1:8" ht="18" customHeight="1" x14ac:dyDescent="0.3">
      <c r="A13" s="11" t="s">
        <v>166</v>
      </c>
      <c r="B13" s="35" t="s">
        <v>167</v>
      </c>
      <c r="C13" s="11" t="s">
        <v>168</v>
      </c>
      <c r="D13" s="12">
        <v>5000000</v>
      </c>
      <c r="E13" s="12">
        <v>5200000</v>
      </c>
      <c r="F13" s="13">
        <f t="shared" si="0"/>
        <v>200000</v>
      </c>
      <c r="G13" s="14">
        <f t="shared" si="1"/>
        <v>0.04</v>
      </c>
      <c r="H13" s="15"/>
    </row>
    <row r="14" spans="1:8" ht="18" customHeight="1" x14ac:dyDescent="0.3">
      <c r="A14" s="11" t="s">
        <v>169</v>
      </c>
      <c r="B14" s="35" t="s">
        <v>170</v>
      </c>
      <c r="C14" s="11" t="s">
        <v>171</v>
      </c>
      <c r="D14" s="12">
        <v>7500000</v>
      </c>
      <c r="E14" s="12">
        <v>7800000</v>
      </c>
      <c r="F14" s="13">
        <f t="shared" si="0"/>
        <v>300000</v>
      </c>
      <c r="G14" s="14">
        <f t="shared" si="1"/>
        <v>0.04</v>
      </c>
      <c r="H14" s="15"/>
    </row>
    <row r="15" spans="1:8" ht="18" customHeight="1" x14ac:dyDescent="0.3">
      <c r="A15" s="11" t="s">
        <v>172</v>
      </c>
      <c r="B15" s="35" t="s">
        <v>173</v>
      </c>
      <c r="C15" s="11" t="s">
        <v>174</v>
      </c>
      <c r="D15" s="12">
        <v>33000000</v>
      </c>
      <c r="E15" s="12">
        <v>34200000</v>
      </c>
      <c r="F15" s="13">
        <f t="shared" si="0"/>
        <v>1200000</v>
      </c>
      <c r="G15" s="14">
        <f t="shared" si="1"/>
        <v>3.6363636363636362E-2</v>
      </c>
      <c r="H15" s="15"/>
    </row>
    <row r="16" spans="1:8" ht="18" customHeight="1" x14ac:dyDescent="0.3">
      <c r="A16" s="11" t="s">
        <v>175</v>
      </c>
      <c r="B16" s="35" t="s">
        <v>173</v>
      </c>
      <c r="C16" s="11" t="s">
        <v>176</v>
      </c>
      <c r="D16" s="12">
        <v>20500000</v>
      </c>
      <c r="E16" s="12">
        <v>21500000</v>
      </c>
      <c r="F16" s="13">
        <f t="shared" si="0"/>
        <v>1000000</v>
      </c>
      <c r="G16" s="14">
        <f t="shared" si="1"/>
        <v>4.878048780487805E-2</v>
      </c>
      <c r="H16" s="15"/>
    </row>
    <row r="17" spans="1:8" ht="18" customHeight="1" x14ac:dyDescent="0.3">
      <c r="A17" s="11" t="s">
        <v>177</v>
      </c>
      <c r="B17" s="35" t="s">
        <v>173</v>
      </c>
      <c r="C17" s="11" t="s">
        <v>178</v>
      </c>
      <c r="D17" s="12">
        <v>12000000</v>
      </c>
      <c r="E17" s="12">
        <v>11750000</v>
      </c>
      <c r="F17" s="13">
        <f t="shared" si="0"/>
        <v>-250000</v>
      </c>
      <c r="G17" s="14">
        <f t="shared" si="1"/>
        <v>-2.0833333333333332E-2</v>
      </c>
      <c r="H17" s="15"/>
    </row>
    <row r="18" spans="1:8" ht="18" customHeight="1" x14ac:dyDescent="0.3">
      <c r="A18" s="11" t="s">
        <v>179</v>
      </c>
      <c r="B18" s="35" t="s">
        <v>173</v>
      </c>
      <c r="C18" s="11" t="s">
        <v>180</v>
      </c>
      <c r="D18" s="12">
        <v>9500000</v>
      </c>
      <c r="E18" s="12">
        <v>10800000</v>
      </c>
      <c r="F18" s="13">
        <f t="shared" si="0"/>
        <v>1300000</v>
      </c>
      <c r="G18" s="14">
        <f t="shared" si="1"/>
        <v>0.1368421052631579</v>
      </c>
      <c r="H18" s="15"/>
    </row>
    <row r="19" spans="1:8" ht="18" customHeight="1" x14ac:dyDescent="0.3">
      <c r="A19" s="11" t="s">
        <v>181</v>
      </c>
      <c r="B19" s="35" t="s">
        <v>173</v>
      </c>
      <c r="C19" s="11" t="s">
        <v>180</v>
      </c>
      <c r="D19" s="12">
        <v>5800000</v>
      </c>
      <c r="E19" s="12">
        <v>5500000</v>
      </c>
      <c r="F19" s="13">
        <f t="shared" si="0"/>
        <v>-300000</v>
      </c>
      <c r="G19" s="14">
        <f t="shared" si="1"/>
        <v>-5.1724137931034482E-2</v>
      </c>
      <c r="H19" s="15"/>
    </row>
    <row r="20" spans="1:8" ht="18" customHeight="1" x14ac:dyDescent="0.3">
      <c r="A20" s="11" t="s">
        <v>182</v>
      </c>
      <c r="B20" s="35" t="s">
        <v>173</v>
      </c>
      <c r="C20" s="11" t="s">
        <v>183</v>
      </c>
      <c r="D20" s="12">
        <v>2100000</v>
      </c>
      <c r="E20" s="12">
        <v>2200000</v>
      </c>
      <c r="F20" s="13">
        <f t="shared" si="0"/>
        <v>100000</v>
      </c>
      <c r="G20" s="14">
        <f t="shared" si="1"/>
        <v>4.7619047619047616E-2</v>
      </c>
      <c r="H20" s="15"/>
    </row>
    <row r="21" spans="1:8" ht="18" customHeight="1" x14ac:dyDescent="0.3">
      <c r="A21" s="11" t="s">
        <v>184</v>
      </c>
      <c r="B21" s="35" t="s">
        <v>185</v>
      </c>
      <c r="C21" s="11" t="s">
        <v>186</v>
      </c>
      <c r="D21" s="12">
        <v>150000</v>
      </c>
      <c r="E21" s="12">
        <v>148000</v>
      </c>
      <c r="F21" s="13">
        <f t="shared" si="0"/>
        <v>-2000</v>
      </c>
      <c r="G21" s="14">
        <f t="shared" si="1"/>
        <v>-1.3333333333333334E-2</v>
      </c>
      <c r="H21" s="31" t="s">
        <v>71</v>
      </c>
    </row>
    <row r="22" spans="1:8" ht="18" customHeight="1" x14ac:dyDescent="0.3">
      <c r="A22" s="11" t="s">
        <v>187</v>
      </c>
      <c r="B22" s="35" t="s">
        <v>188</v>
      </c>
      <c r="C22" s="11" t="s">
        <v>189</v>
      </c>
      <c r="D22" s="12">
        <v>80000</v>
      </c>
      <c r="E22" s="12">
        <v>40000</v>
      </c>
      <c r="F22" s="13">
        <f t="shared" si="0"/>
        <v>-40000</v>
      </c>
      <c r="G22" s="14">
        <f t="shared" si="1"/>
        <v>-0.5</v>
      </c>
      <c r="H22" s="15"/>
    </row>
    <row r="23" spans="1:8" ht="18" customHeight="1" x14ac:dyDescent="0.3">
      <c r="A23" s="11" t="s">
        <v>190</v>
      </c>
      <c r="B23" s="35" t="s">
        <v>191</v>
      </c>
      <c r="C23" s="11" t="s">
        <v>192</v>
      </c>
      <c r="D23" s="12">
        <v>500000</v>
      </c>
      <c r="E23" s="12">
        <v>480000</v>
      </c>
      <c r="F23" s="13">
        <f t="shared" si="0"/>
        <v>-20000</v>
      </c>
      <c r="G23" s="14">
        <f t="shared" si="1"/>
        <v>-0.04</v>
      </c>
      <c r="H23" s="31" t="s">
        <v>71</v>
      </c>
    </row>
    <row r="24" spans="1:8" ht="19.5" customHeight="1" x14ac:dyDescent="0.3">
      <c r="A24" s="4" t="s">
        <v>193</v>
      </c>
      <c r="B24" s="4"/>
      <c r="C24" s="4"/>
      <c r="D24" s="16">
        <v>136630000</v>
      </c>
      <c r="E24" s="16">
        <v>122118000</v>
      </c>
      <c r="F24" s="17">
        <f t="shared" si="0"/>
        <v>-14512000</v>
      </c>
      <c r="G24" s="18">
        <f t="shared" si="1"/>
        <v>-0.10621386225572714</v>
      </c>
      <c r="H24" s="19" t="s">
        <v>194</v>
      </c>
    </row>
    <row r="25" spans="1:8" ht="21.75" customHeight="1" x14ac:dyDescent="0.3">
      <c r="A25" s="5" t="s">
        <v>195</v>
      </c>
      <c r="B25" s="5"/>
      <c r="C25" s="5"/>
      <c r="D25" s="10"/>
      <c r="E25" s="10"/>
      <c r="F25" s="10"/>
      <c r="G25" s="10"/>
      <c r="H25" s="10"/>
    </row>
    <row r="26" spans="1:8" ht="21.75" customHeight="1" x14ac:dyDescent="0.3">
      <c r="A26" s="5" t="s">
        <v>196</v>
      </c>
      <c r="B26" s="5"/>
      <c r="C26" s="5"/>
      <c r="D26" s="10"/>
      <c r="E26" s="10"/>
      <c r="F26" s="10"/>
      <c r="G26" s="10"/>
      <c r="H26" s="10"/>
    </row>
    <row r="27" spans="1:8" ht="18" customHeight="1" x14ac:dyDescent="0.3">
      <c r="A27" s="11" t="s">
        <v>197</v>
      </c>
      <c r="B27" s="35" t="s">
        <v>198</v>
      </c>
      <c r="C27" s="11" t="s">
        <v>199</v>
      </c>
      <c r="D27" s="12">
        <v>12000000</v>
      </c>
      <c r="E27" s="12">
        <v>12000000</v>
      </c>
      <c r="F27" s="13">
        <f t="shared" ref="F27:F33" si="2">E27-D27</f>
        <v>0</v>
      </c>
      <c r="G27" s="14">
        <f t="shared" ref="G27:G33" si="3">IF(D27&lt;&gt;0,(E27-D27)/ABS(D27),0)</f>
        <v>0</v>
      </c>
      <c r="H27" s="31" t="s">
        <v>71</v>
      </c>
    </row>
    <row r="28" spans="1:8" ht="18" customHeight="1" x14ac:dyDescent="0.3">
      <c r="A28" s="20" t="s">
        <v>200</v>
      </c>
      <c r="B28" s="36" t="s">
        <v>201</v>
      </c>
      <c r="C28" s="20" t="s">
        <v>202</v>
      </c>
      <c r="D28" s="21">
        <v>13500000</v>
      </c>
      <c r="E28" s="21">
        <v>13500000</v>
      </c>
      <c r="F28" s="22">
        <f t="shared" si="2"/>
        <v>0</v>
      </c>
      <c r="G28" s="23">
        <f t="shared" si="3"/>
        <v>0</v>
      </c>
      <c r="H28" s="24" t="s">
        <v>203</v>
      </c>
    </row>
    <row r="29" spans="1:8" ht="18" customHeight="1" x14ac:dyDescent="0.3">
      <c r="A29" s="11" t="s">
        <v>204</v>
      </c>
      <c r="B29" s="35" t="s">
        <v>205</v>
      </c>
      <c r="C29" s="11" t="s">
        <v>206</v>
      </c>
      <c r="D29" s="12">
        <v>9800000</v>
      </c>
      <c r="E29" s="12">
        <v>9800000</v>
      </c>
      <c r="F29" s="13">
        <f t="shared" si="2"/>
        <v>0</v>
      </c>
      <c r="G29" s="14">
        <f t="shared" si="3"/>
        <v>0</v>
      </c>
      <c r="H29" s="31" t="s">
        <v>71</v>
      </c>
    </row>
    <row r="30" spans="1:8" ht="18" customHeight="1" x14ac:dyDescent="0.3">
      <c r="A30" s="11" t="s">
        <v>207</v>
      </c>
      <c r="B30" s="35" t="s">
        <v>208</v>
      </c>
      <c r="C30" s="11" t="s">
        <v>209</v>
      </c>
      <c r="D30" s="12">
        <v>1800000</v>
      </c>
      <c r="E30" s="12">
        <v>1950000</v>
      </c>
      <c r="F30" s="13">
        <f t="shared" si="2"/>
        <v>150000</v>
      </c>
      <c r="G30" s="14">
        <f t="shared" si="3"/>
        <v>8.3333333333333329E-2</v>
      </c>
      <c r="H30" s="15"/>
    </row>
    <row r="31" spans="1:8" ht="18" customHeight="1" x14ac:dyDescent="0.3">
      <c r="A31" s="11" t="s">
        <v>210</v>
      </c>
      <c r="B31" s="35" t="s">
        <v>211</v>
      </c>
      <c r="C31" s="11" t="s">
        <v>212</v>
      </c>
      <c r="D31" s="12">
        <v>2200000</v>
      </c>
      <c r="E31" s="12">
        <v>2280000</v>
      </c>
      <c r="F31" s="13">
        <f t="shared" si="2"/>
        <v>80000</v>
      </c>
      <c r="G31" s="14">
        <f t="shared" si="3"/>
        <v>3.6363636363636362E-2</v>
      </c>
      <c r="H31" s="15"/>
    </row>
    <row r="32" spans="1:8" ht="18" customHeight="1" x14ac:dyDescent="0.3">
      <c r="A32" s="11" t="s">
        <v>213</v>
      </c>
      <c r="B32" s="35" t="s">
        <v>214</v>
      </c>
      <c r="C32" s="11" t="s">
        <v>215</v>
      </c>
      <c r="D32" s="12">
        <v>5500000</v>
      </c>
      <c r="E32" s="12">
        <v>5500000</v>
      </c>
      <c r="F32" s="13">
        <f t="shared" si="2"/>
        <v>0</v>
      </c>
      <c r="G32" s="14">
        <f t="shared" si="3"/>
        <v>0</v>
      </c>
      <c r="H32" s="31" t="s">
        <v>71</v>
      </c>
    </row>
    <row r="33" spans="1:8" ht="18" customHeight="1" x14ac:dyDescent="0.3">
      <c r="A33" s="11" t="s">
        <v>216</v>
      </c>
      <c r="B33" s="35" t="s">
        <v>173</v>
      </c>
      <c r="C33" s="11" t="s">
        <v>217</v>
      </c>
      <c r="D33" s="12">
        <v>4200000</v>
      </c>
      <c r="E33" s="12">
        <v>4350000</v>
      </c>
      <c r="F33" s="13">
        <f t="shared" si="2"/>
        <v>150000</v>
      </c>
      <c r="G33" s="14">
        <f t="shared" si="3"/>
        <v>3.5714285714285712E-2</v>
      </c>
      <c r="H33" s="15"/>
    </row>
    <row r="34" spans="1:8" ht="21.75" customHeight="1" x14ac:dyDescent="0.3">
      <c r="A34" s="5" t="s">
        <v>218</v>
      </c>
      <c r="B34" s="5"/>
      <c r="C34" s="5"/>
      <c r="D34" s="10"/>
      <c r="E34" s="10"/>
      <c r="F34" s="10"/>
      <c r="G34" s="10"/>
      <c r="H34" s="10"/>
    </row>
    <row r="35" spans="1:8" ht="18" customHeight="1" x14ac:dyDescent="0.3">
      <c r="A35" s="11" t="s">
        <v>219</v>
      </c>
      <c r="B35" s="35" t="s">
        <v>220</v>
      </c>
      <c r="C35" s="11" t="s">
        <v>221</v>
      </c>
      <c r="D35" s="12">
        <v>9000000</v>
      </c>
      <c r="E35" s="12">
        <v>9250000</v>
      </c>
      <c r="F35" s="13">
        <f t="shared" ref="F35:F48" si="4">E35-D35</f>
        <v>250000</v>
      </c>
      <c r="G35" s="14">
        <f t="shared" ref="G35:G48" si="5">IF(D35&lt;&gt;0,(E35-D35)/ABS(D35),0)</f>
        <v>2.7777777777777776E-2</v>
      </c>
      <c r="H35" s="15"/>
    </row>
    <row r="36" spans="1:8" ht="18" customHeight="1" x14ac:dyDescent="0.3">
      <c r="A36" s="11" t="s">
        <v>222</v>
      </c>
      <c r="B36" s="35" t="s">
        <v>223</v>
      </c>
      <c r="C36" s="11" t="s">
        <v>224</v>
      </c>
      <c r="D36" s="12">
        <v>9500000</v>
      </c>
      <c r="E36" s="12">
        <v>9850000</v>
      </c>
      <c r="F36" s="13">
        <f t="shared" si="4"/>
        <v>350000</v>
      </c>
      <c r="G36" s="14">
        <f t="shared" si="5"/>
        <v>3.6842105263157891E-2</v>
      </c>
      <c r="H36" s="15"/>
    </row>
    <row r="37" spans="1:8" ht="18" customHeight="1" x14ac:dyDescent="0.3">
      <c r="A37" s="11" t="s">
        <v>225</v>
      </c>
      <c r="B37" s="35" t="s">
        <v>185</v>
      </c>
      <c r="C37" s="11" t="s">
        <v>226</v>
      </c>
      <c r="D37" s="12">
        <v>3800000</v>
      </c>
      <c r="E37" s="12">
        <v>3920000</v>
      </c>
      <c r="F37" s="13">
        <f t="shared" si="4"/>
        <v>120000</v>
      </c>
      <c r="G37" s="14">
        <f t="shared" si="5"/>
        <v>3.1578947368421054E-2</v>
      </c>
      <c r="H37" s="15"/>
    </row>
    <row r="38" spans="1:8" ht="18" customHeight="1" x14ac:dyDescent="0.3">
      <c r="A38" s="11" t="s">
        <v>227</v>
      </c>
      <c r="B38" s="35" t="s">
        <v>228</v>
      </c>
      <c r="C38" s="11" t="s">
        <v>229</v>
      </c>
      <c r="D38" s="12">
        <v>6200000</v>
      </c>
      <c r="E38" s="12">
        <v>6200000</v>
      </c>
      <c r="F38" s="13">
        <f t="shared" si="4"/>
        <v>0</v>
      </c>
      <c r="G38" s="14">
        <f t="shared" si="5"/>
        <v>0</v>
      </c>
      <c r="H38" s="31" t="s">
        <v>71</v>
      </c>
    </row>
    <row r="39" spans="1:8" ht="18" customHeight="1" x14ac:dyDescent="0.3">
      <c r="A39" s="11" t="s">
        <v>230</v>
      </c>
      <c r="B39" s="35" t="s">
        <v>231</v>
      </c>
      <c r="C39" s="11" t="s">
        <v>232</v>
      </c>
      <c r="D39" s="12">
        <v>2500000</v>
      </c>
      <c r="E39" s="12">
        <v>2650000</v>
      </c>
      <c r="F39" s="13">
        <f t="shared" si="4"/>
        <v>150000</v>
      </c>
      <c r="G39" s="14">
        <f t="shared" si="5"/>
        <v>0.06</v>
      </c>
      <c r="H39" s="15"/>
    </row>
    <row r="40" spans="1:8" ht="18" customHeight="1" x14ac:dyDescent="0.3">
      <c r="A40" s="11" t="s">
        <v>233</v>
      </c>
      <c r="B40" s="35" t="s">
        <v>173</v>
      </c>
      <c r="C40" s="11" t="s">
        <v>234</v>
      </c>
      <c r="D40" s="12">
        <v>1500000</v>
      </c>
      <c r="E40" s="12">
        <v>1580000</v>
      </c>
      <c r="F40" s="13">
        <f t="shared" si="4"/>
        <v>80000</v>
      </c>
      <c r="G40" s="14">
        <f t="shared" si="5"/>
        <v>5.3333333333333337E-2</v>
      </c>
      <c r="H40" s="15"/>
    </row>
    <row r="41" spans="1:8" ht="18" customHeight="1" x14ac:dyDescent="0.3">
      <c r="A41" s="20" t="s">
        <v>235</v>
      </c>
      <c r="B41" s="36" t="s">
        <v>173</v>
      </c>
      <c r="C41" s="20" t="s">
        <v>236</v>
      </c>
      <c r="D41" s="21">
        <v>1200000</v>
      </c>
      <c r="E41" s="21">
        <v>2380000</v>
      </c>
      <c r="F41" s="22">
        <f t="shared" si="4"/>
        <v>1180000</v>
      </c>
      <c r="G41" s="23">
        <f t="shared" si="5"/>
        <v>0.98333333333333328</v>
      </c>
      <c r="H41" s="24" t="s">
        <v>237</v>
      </c>
    </row>
    <row r="42" spans="1:8" ht="18" customHeight="1" x14ac:dyDescent="0.3">
      <c r="A42" s="11" t="s">
        <v>238</v>
      </c>
      <c r="B42" s="35" t="s">
        <v>173</v>
      </c>
      <c r="C42" s="11" t="s">
        <v>239</v>
      </c>
      <c r="D42" s="12">
        <v>600000</v>
      </c>
      <c r="E42" s="12">
        <v>720000</v>
      </c>
      <c r="F42" s="13">
        <f t="shared" si="4"/>
        <v>120000</v>
      </c>
      <c r="G42" s="14">
        <f t="shared" si="5"/>
        <v>0.2</v>
      </c>
      <c r="H42" s="15"/>
    </row>
    <row r="43" spans="1:8" ht="18" customHeight="1" x14ac:dyDescent="0.3">
      <c r="A43" s="11" t="s">
        <v>240</v>
      </c>
      <c r="B43" s="35" t="s">
        <v>185</v>
      </c>
      <c r="C43" s="11" t="s">
        <v>241</v>
      </c>
      <c r="D43" s="12">
        <v>700000</v>
      </c>
      <c r="E43" s="12">
        <v>740000</v>
      </c>
      <c r="F43" s="13">
        <f t="shared" si="4"/>
        <v>40000</v>
      </c>
      <c r="G43" s="14">
        <f t="shared" si="5"/>
        <v>5.7142857142857141E-2</v>
      </c>
      <c r="H43" s="15"/>
    </row>
    <row r="44" spans="1:8" ht="18" customHeight="1" x14ac:dyDescent="0.3">
      <c r="A44" s="11" t="s">
        <v>242</v>
      </c>
      <c r="B44" s="35" t="s">
        <v>243</v>
      </c>
      <c r="C44" s="11" t="s">
        <v>244</v>
      </c>
      <c r="D44" s="12">
        <v>850000</v>
      </c>
      <c r="E44" s="12">
        <v>880000</v>
      </c>
      <c r="F44" s="13">
        <f t="shared" si="4"/>
        <v>30000</v>
      </c>
      <c r="G44" s="14">
        <f t="shared" si="5"/>
        <v>3.5294117647058823E-2</v>
      </c>
      <c r="H44" s="15"/>
    </row>
    <row r="45" spans="1:8" ht="18" customHeight="1" x14ac:dyDescent="0.3">
      <c r="A45" s="11" t="s">
        <v>245</v>
      </c>
      <c r="B45" s="35" t="s">
        <v>145</v>
      </c>
      <c r="C45" s="11" t="s">
        <v>246</v>
      </c>
      <c r="D45" s="12">
        <v>420000</v>
      </c>
      <c r="E45" s="12">
        <v>435000</v>
      </c>
      <c r="F45" s="13">
        <f t="shared" si="4"/>
        <v>15000</v>
      </c>
      <c r="G45" s="14">
        <f t="shared" si="5"/>
        <v>3.5714285714285712E-2</v>
      </c>
      <c r="H45" s="15"/>
    </row>
    <row r="46" spans="1:8" ht="18" customHeight="1" x14ac:dyDescent="0.3">
      <c r="A46" s="11" t="s">
        <v>247</v>
      </c>
      <c r="B46" s="35" t="s">
        <v>228</v>
      </c>
      <c r="C46" s="11" t="s">
        <v>248</v>
      </c>
      <c r="D46" s="12">
        <v>320000</v>
      </c>
      <c r="E46" s="12">
        <v>320000</v>
      </c>
      <c r="F46" s="13">
        <f t="shared" si="4"/>
        <v>0</v>
      </c>
      <c r="G46" s="14">
        <f t="shared" si="5"/>
        <v>0</v>
      </c>
      <c r="H46" s="31" t="s">
        <v>71</v>
      </c>
    </row>
    <row r="47" spans="1:8" ht="18" customHeight="1" x14ac:dyDescent="0.3">
      <c r="A47" s="11" t="s">
        <v>249</v>
      </c>
      <c r="B47" s="35" t="s">
        <v>191</v>
      </c>
      <c r="C47" s="11" t="s">
        <v>250</v>
      </c>
      <c r="D47" s="12">
        <v>280000</v>
      </c>
      <c r="E47" s="12">
        <v>295000</v>
      </c>
      <c r="F47" s="13">
        <f t="shared" si="4"/>
        <v>15000</v>
      </c>
      <c r="G47" s="14">
        <f t="shared" si="5"/>
        <v>5.3571428571428568E-2</v>
      </c>
      <c r="H47" s="15"/>
    </row>
    <row r="48" spans="1:8" ht="18" customHeight="1" x14ac:dyDescent="0.3">
      <c r="A48" s="11" t="s">
        <v>251</v>
      </c>
      <c r="B48" s="35" t="s">
        <v>173</v>
      </c>
      <c r="C48" s="11" t="s">
        <v>112</v>
      </c>
      <c r="D48" s="12">
        <v>550000</v>
      </c>
      <c r="E48" s="12">
        <v>620000</v>
      </c>
      <c r="F48" s="13">
        <f t="shared" si="4"/>
        <v>70000</v>
      </c>
      <c r="G48" s="14">
        <f t="shared" si="5"/>
        <v>0.12727272727272726</v>
      </c>
      <c r="H48" s="15"/>
    </row>
    <row r="49" spans="1:8" ht="21.75" customHeight="1" x14ac:dyDescent="0.3">
      <c r="A49" s="5" t="s">
        <v>252</v>
      </c>
      <c r="B49" s="5"/>
      <c r="C49" s="5"/>
      <c r="D49" s="10"/>
      <c r="E49" s="10"/>
      <c r="F49" s="10"/>
      <c r="G49" s="10"/>
      <c r="H49" s="10"/>
    </row>
    <row r="50" spans="1:8" ht="18" customHeight="1" x14ac:dyDescent="0.3">
      <c r="A50" s="11" t="s">
        <v>253</v>
      </c>
      <c r="B50" s="35" t="s">
        <v>223</v>
      </c>
      <c r="C50" s="11" t="s">
        <v>254</v>
      </c>
      <c r="D50" s="12">
        <v>4500000</v>
      </c>
      <c r="E50" s="12">
        <v>4500000</v>
      </c>
      <c r="F50" s="13">
        <f>E50-D50</f>
        <v>0</v>
      </c>
      <c r="G50" s="14">
        <f>IF(D50&lt;&gt;0,(E50-D50)/ABS(D50),0)</f>
        <v>0</v>
      </c>
      <c r="H50" s="31" t="s">
        <v>71</v>
      </c>
    </row>
    <row r="51" spans="1:8" ht="18" customHeight="1" x14ac:dyDescent="0.3">
      <c r="A51" s="11" t="s">
        <v>255</v>
      </c>
      <c r="B51" s="35" t="s">
        <v>256</v>
      </c>
      <c r="C51" s="11" t="s">
        <v>257</v>
      </c>
      <c r="D51" s="12">
        <v>3200000</v>
      </c>
      <c r="E51" s="12">
        <v>3200000</v>
      </c>
      <c r="F51" s="13">
        <f>E51-D51</f>
        <v>0</v>
      </c>
      <c r="G51" s="14">
        <f>IF(D51&lt;&gt;0,(E51-D51)/ABS(D51),0)</f>
        <v>0</v>
      </c>
      <c r="H51" s="31" t="s">
        <v>71</v>
      </c>
    </row>
    <row r="52" spans="1:8" ht="18" customHeight="1" x14ac:dyDescent="0.3">
      <c r="A52" s="11" t="s">
        <v>258</v>
      </c>
      <c r="B52" s="35" t="s">
        <v>256</v>
      </c>
      <c r="C52" s="11" t="s">
        <v>259</v>
      </c>
      <c r="D52" s="12">
        <v>180000</v>
      </c>
      <c r="E52" s="12">
        <v>180000</v>
      </c>
      <c r="F52" s="13">
        <f>E52-D52</f>
        <v>0</v>
      </c>
      <c r="G52" s="14">
        <f>IF(D52&lt;&gt;0,(E52-D52)/ABS(D52),0)</f>
        <v>0</v>
      </c>
      <c r="H52" s="31" t="s">
        <v>71</v>
      </c>
    </row>
    <row r="53" spans="1:8" ht="18" customHeight="1" x14ac:dyDescent="0.3">
      <c r="A53" s="11" t="s">
        <v>260</v>
      </c>
      <c r="B53" s="35" t="s">
        <v>223</v>
      </c>
      <c r="C53" s="11" t="s">
        <v>261</v>
      </c>
      <c r="D53" s="12">
        <v>45000</v>
      </c>
      <c r="E53" s="12">
        <v>45000</v>
      </c>
      <c r="F53" s="13">
        <f>E53-D53</f>
        <v>0</v>
      </c>
      <c r="G53" s="14">
        <f>IF(D53&lt;&gt;0,(E53-D53)/ABS(D53),0)</f>
        <v>0</v>
      </c>
      <c r="H53" s="31" t="s">
        <v>71</v>
      </c>
    </row>
    <row r="54" spans="1:8" ht="21.75" customHeight="1" x14ac:dyDescent="0.3">
      <c r="A54" s="5" t="s">
        <v>262</v>
      </c>
      <c r="B54" s="5"/>
      <c r="C54" s="5"/>
      <c r="D54" s="10"/>
      <c r="E54" s="10"/>
      <c r="F54" s="10"/>
      <c r="G54" s="10"/>
      <c r="H54" s="10"/>
    </row>
    <row r="55" spans="1:8" ht="18" customHeight="1" x14ac:dyDescent="0.3">
      <c r="A55" s="11" t="s">
        <v>263</v>
      </c>
      <c r="B55" s="35" t="s">
        <v>185</v>
      </c>
      <c r="C55" s="11" t="s">
        <v>264</v>
      </c>
      <c r="D55" s="12">
        <v>2500000</v>
      </c>
      <c r="E55" s="12">
        <v>2500000</v>
      </c>
      <c r="F55" s="13">
        <f t="shared" ref="F55:F61" si="6">E55-D55</f>
        <v>0</v>
      </c>
      <c r="G55" s="14">
        <f t="shared" ref="G55:G61" si="7">IF(D55&lt;&gt;0,(E55-D55)/ABS(D55),0)</f>
        <v>0</v>
      </c>
      <c r="H55" s="31" t="s">
        <v>71</v>
      </c>
    </row>
    <row r="56" spans="1:8" ht="18" customHeight="1" x14ac:dyDescent="0.3">
      <c r="A56" s="11" t="s">
        <v>265</v>
      </c>
      <c r="B56" s="35" t="s">
        <v>185</v>
      </c>
      <c r="C56" s="11" t="s">
        <v>266</v>
      </c>
      <c r="D56" s="12">
        <v>345000</v>
      </c>
      <c r="E56" s="12">
        <v>345000</v>
      </c>
      <c r="F56" s="13">
        <f t="shared" si="6"/>
        <v>0</v>
      </c>
      <c r="G56" s="14">
        <f t="shared" si="7"/>
        <v>0</v>
      </c>
      <c r="H56" s="31" t="s">
        <v>71</v>
      </c>
    </row>
    <row r="57" spans="1:8" ht="18" customHeight="1" x14ac:dyDescent="0.3">
      <c r="A57" s="20" t="s">
        <v>267</v>
      </c>
      <c r="B57" s="36" t="s">
        <v>191</v>
      </c>
      <c r="C57" s="20" t="s">
        <v>268</v>
      </c>
      <c r="D57" s="21">
        <v>0</v>
      </c>
      <c r="E57" s="21">
        <v>320000</v>
      </c>
      <c r="F57" s="22">
        <f t="shared" si="6"/>
        <v>320000</v>
      </c>
      <c r="G57" s="23">
        <f t="shared" si="7"/>
        <v>0</v>
      </c>
      <c r="H57" s="24" t="s">
        <v>269</v>
      </c>
    </row>
    <row r="58" spans="1:8" ht="18" customHeight="1" x14ac:dyDescent="0.3">
      <c r="A58" s="11" t="s">
        <v>270</v>
      </c>
      <c r="B58" s="35" t="s">
        <v>223</v>
      </c>
      <c r="C58" s="11" t="s">
        <v>271</v>
      </c>
      <c r="D58" s="12">
        <v>0</v>
      </c>
      <c r="E58" s="12">
        <v>95000</v>
      </c>
      <c r="F58" s="13">
        <f t="shared" si="6"/>
        <v>95000</v>
      </c>
      <c r="G58" s="14">
        <f t="shared" si="7"/>
        <v>0</v>
      </c>
      <c r="H58" s="31" t="s">
        <v>272</v>
      </c>
    </row>
    <row r="59" spans="1:8" ht="36.6" customHeight="1" x14ac:dyDescent="0.3">
      <c r="A59" s="4" t="s">
        <v>273</v>
      </c>
      <c r="B59" s="4"/>
      <c r="C59" s="4"/>
      <c r="D59" s="16">
        <v>97190000</v>
      </c>
      <c r="E59" s="16">
        <v>100405000</v>
      </c>
      <c r="F59" s="17">
        <f t="shared" si="6"/>
        <v>3215000</v>
      </c>
      <c r="G59" s="18">
        <f t="shared" si="7"/>
        <v>3.3079534931577323E-2</v>
      </c>
      <c r="H59" s="19" t="s">
        <v>274</v>
      </c>
    </row>
    <row r="60" spans="1:8" ht="33" customHeight="1" x14ac:dyDescent="0.3">
      <c r="A60" s="3" t="s">
        <v>275</v>
      </c>
      <c r="B60" s="3"/>
      <c r="C60" s="3"/>
      <c r="D60" s="37">
        <v>39440000</v>
      </c>
      <c r="E60" s="37">
        <v>21713000</v>
      </c>
      <c r="F60" s="38">
        <f t="shared" si="6"/>
        <v>-17727000</v>
      </c>
      <c r="G60" s="39">
        <f t="shared" si="7"/>
        <v>-0.44946754563894525</v>
      </c>
      <c r="H60" s="25" t="s">
        <v>276</v>
      </c>
    </row>
    <row r="61" spans="1:8" ht="28.8" customHeight="1" x14ac:dyDescent="0.3">
      <c r="A61" s="2" t="s">
        <v>277</v>
      </c>
      <c r="B61" s="2"/>
      <c r="C61" s="2"/>
      <c r="D61" s="40">
        <v>61990000</v>
      </c>
      <c r="E61" s="40">
        <v>44263000</v>
      </c>
      <c r="F61" s="41">
        <f t="shared" si="6"/>
        <v>-17727000</v>
      </c>
      <c r="G61" s="42">
        <f t="shared" si="7"/>
        <v>-0.2859654783029521</v>
      </c>
      <c r="H61" s="43" t="s">
        <v>278</v>
      </c>
    </row>
    <row r="63" spans="1:8" ht="21.75" customHeight="1" x14ac:dyDescent="0.3">
      <c r="A63" s="1" t="s">
        <v>279</v>
      </c>
      <c r="B63" s="1"/>
      <c r="C63" s="1"/>
      <c r="D63" s="44"/>
      <c r="E63" s="44"/>
      <c r="F63" s="44"/>
      <c r="G63" s="44"/>
      <c r="H63" s="44"/>
    </row>
    <row r="64" spans="1:8" ht="18" customHeight="1" x14ac:dyDescent="0.3">
      <c r="A64" s="11" t="s">
        <v>280</v>
      </c>
      <c r="B64" s="35" t="s">
        <v>205</v>
      </c>
      <c r="C64" s="11" t="s">
        <v>281</v>
      </c>
      <c r="D64" s="45"/>
      <c r="E64" s="12">
        <v>4200000</v>
      </c>
      <c r="F64" s="45"/>
      <c r="G64" s="45"/>
      <c r="H64" s="15"/>
    </row>
    <row r="65" spans="1:8" ht="18" customHeight="1" x14ac:dyDescent="0.3">
      <c r="A65" s="20" t="s">
        <v>282</v>
      </c>
      <c r="B65" s="36" t="s">
        <v>283</v>
      </c>
      <c r="C65" s="20" t="s">
        <v>284</v>
      </c>
      <c r="D65" s="46"/>
      <c r="E65" s="47">
        <v>-13500000</v>
      </c>
      <c r="F65" s="46"/>
      <c r="G65" s="46"/>
      <c r="H65" s="24" t="s">
        <v>285</v>
      </c>
    </row>
    <row r="66" spans="1:8" ht="18" customHeight="1" x14ac:dyDescent="0.3">
      <c r="A66" s="11" t="s">
        <v>286</v>
      </c>
      <c r="B66" s="35" t="s">
        <v>287</v>
      </c>
      <c r="C66" s="11" t="s">
        <v>288</v>
      </c>
      <c r="D66" s="45"/>
      <c r="E66" s="12">
        <v>0</v>
      </c>
      <c r="F66" s="45"/>
      <c r="G66" s="45"/>
      <c r="H66" s="31" t="s">
        <v>289</v>
      </c>
    </row>
    <row r="67" spans="1:8" ht="18" customHeight="1" x14ac:dyDescent="0.3">
      <c r="A67" s="20" t="s">
        <v>290</v>
      </c>
      <c r="B67" s="36" t="s">
        <v>291</v>
      </c>
      <c r="C67" s="20" t="s">
        <v>292</v>
      </c>
      <c r="D67" s="46"/>
      <c r="E67" s="47">
        <v>-9300000</v>
      </c>
      <c r="F67" s="46"/>
      <c r="G67" s="46"/>
      <c r="H67" s="24" t="s">
        <v>293</v>
      </c>
    </row>
    <row r="68" spans="1:8" ht="18" customHeight="1" x14ac:dyDescent="0.3">
      <c r="A68" s="43" t="s">
        <v>294</v>
      </c>
      <c r="B68" s="48" t="s">
        <v>291</v>
      </c>
      <c r="C68" s="43" t="s">
        <v>295</v>
      </c>
      <c r="D68" s="49"/>
      <c r="E68" s="50">
        <v>15000000</v>
      </c>
      <c r="F68" s="49"/>
      <c r="G68" s="49"/>
      <c r="H68" s="51" t="s">
        <v>296</v>
      </c>
    </row>
    <row r="69" spans="1:8" ht="18" customHeight="1" x14ac:dyDescent="0.3">
      <c r="A69" s="20" t="s">
        <v>297</v>
      </c>
      <c r="B69" s="36" t="s">
        <v>298</v>
      </c>
      <c r="C69" s="20" t="s">
        <v>299</v>
      </c>
      <c r="D69" s="46"/>
      <c r="E69" s="47">
        <v>-15000000</v>
      </c>
      <c r="F69" s="46"/>
      <c r="G69" s="46"/>
      <c r="H69" s="24" t="s">
        <v>300</v>
      </c>
    </row>
  </sheetData>
  <mergeCells count="14">
    <mergeCell ref="A59:C59"/>
    <mergeCell ref="A60:C60"/>
    <mergeCell ref="A61:C61"/>
    <mergeCell ref="A63:C63"/>
    <mergeCell ref="A25:C25"/>
    <mergeCell ref="A26:C26"/>
    <mergeCell ref="A34:C34"/>
    <mergeCell ref="A49:C49"/>
    <mergeCell ref="A54:C54"/>
    <mergeCell ref="A1:H1"/>
    <mergeCell ref="A3:C3"/>
    <mergeCell ref="A7:C7"/>
    <mergeCell ref="A8:C8"/>
    <mergeCell ref="A24:C2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P&amp;L (ОПиУ) — Март 2026</vt:lpstr>
      <vt:lpstr>ОДДС (Cash Flow) — Март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Kostya</cp:lastModifiedBy>
  <cp:revision>0</cp:revision>
  <dcterms:created xsi:type="dcterms:W3CDTF">2026-04-14T12:09:18Z</dcterms:created>
  <dcterms:modified xsi:type="dcterms:W3CDTF">2026-04-14T12:18:55Z</dcterms:modified>
  <dc:language>en-US</dc:language>
</cp:coreProperties>
</file>