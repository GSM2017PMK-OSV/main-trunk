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myfiles.fmrcloud.com/personal/a789504_fmr_com/Documents/FPS Campaigns/Cap Table Template/"/>
    </mc:Choice>
  </mc:AlternateContent>
  <xr:revisionPtr revIDLastSave="0" documentId="8_{802BF30F-BC44-48B1-AD2E-C9D58CCD29DB}" xr6:coauthVersionLast="47" xr6:coauthVersionMax="47" xr10:uidLastSave="{00000000-0000-0000-0000-000000000000}"/>
  <bookViews>
    <workbookView xWindow="30165" yWindow="2820" windowWidth="21600" windowHeight="11775" xr2:uid="{00000000-000D-0000-FFFF-FFFF00000000}"/>
  </bookViews>
  <sheets>
    <sheet name="Introduction" sheetId="12" r:id="rId1"/>
    <sheet name="Summary" sheetId="1" r:id="rId2"/>
    <sheet name="Capitalization Table" sheetId="2" r:id="rId3"/>
    <sheet name="Stock Incentive Plans" sheetId="3" r:id="rId4"/>
    <sheet name="Stock Classes" sheetId="4" r:id="rId5"/>
    <sheet name="Common Stock Ledger" sheetId="5" r:id="rId6"/>
  </sheets>
  <definedNames>
    <definedName name="SbxSubTitle" localSheetId="2">'Capitalization Table'!#REF!</definedName>
    <definedName name="SbxSubTitle" localSheetId="5">'Common Stock Ledger'!$A$2</definedName>
    <definedName name="SbxSubTitle" localSheetId="4">'Stock Classes'!$A$2</definedName>
    <definedName name="SbxSubTitle" localSheetId="3">'Stock Incentive Plans'!$A$2</definedName>
    <definedName name="SbxSubTitle" localSheetId="1">Summary!$A$2</definedName>
    <definedName name="SbxTableFirstDataColumn" localSheetId="4">'Stock Classes'!$B:$B</definedName>
    <definedName name="SbxTableFirstDataRow" localSheetId="2">'Capitalization Table'!5:5</definedName>
    <definedName name="SbxTableFirstDataRow" localSheetId="5">'Common Stock Ledger'!5:5</definedName>
    <definedName name="SbxTableFirstDataRow" localSheetId="3">'Stock Incentive Plans'!5:5</definedName>
    <definedName name="SbxTableFirstDataRow" localSheetId="1">Summary!5:5</definedName>
    <definedName name="SbxTableHeaderColumn" localSheetId="4">'Stock Classes'!$A:$A</definedName>
    <definedName name="SbxTableHeaderRow" localSheetId="2">'Capitalization Table'!$4:$4</definedName>
    <definedName name="SbxTableHeaderRow" localSheetId="5">'Common Stock Ledger'!$4:$4</definedName>
    <definedName name="SbxTableHeaderRow" localSheetId="3">'Stock Incentive Plans'!$4:$4</definedName>
    <definedName name="SbxTableHeaderRow" localSheetId="1">Summary!$4:$4</definedName>
    <definedName name="SbxTableOrigin" localSheetId="2">'Capitalization Table'!$A$4</definedName>
    <definedName name="SbxTableOrigin" localSheetId="5">'Common Stock Ledger'!$A$4</definedName>
    <definedName name="SbxTableOrigin" localSheetId="4">'Stock Classes'!$A$4</definedName>
    <definedName name="SbxTableOrigin" localSheetId="3">'Stock Incentive Plans'!$A$4</definedName>
    <definedName name="SbxTableOrigin" localSheetId="1">Summary!$A$4</definedName>
    <definedName name="SbxTitle" localSheetId="2">'Capitalization Table'!#REF!</definedName>
    <definedName name="SbxTitle" localSheetId="5">'Common Stock Ledger'!$A$1</definedName>
    <definedName name="SbxTitle" localSheetId="4">'Stock Classes'!$A$1</definedName>
    <definedName name="SbxTitle" localSheetId="3">'Stock Incentive Plans'!$A$1</definedName>
    <definedName name="SbxTitle" localSheetId="1">Summary!$A$1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9" i="2" l="1"/>
  <c r="AD39" i="2"/>
  <c r="AB28" i="2"/>
  <c r="AB29" i="2"/>
  <c r="AB30" i="2"/>
  <c r="AB31" i="2"/>
  <c r="AB35" i="2"/>
  <c r="AB37" i="2"/>
  <c r="AB18" i="2"/>
  <c r="AB21" i="2"/>
  <c r="AB22" i="2"/>
  <c r="AB23" i="2"/>
  <c r="AB24" i="2"/>
  <c r="AB25" i="2"/>
  <c r="AB14" i="2"/>
  <c r="AB13" i="2"/>
  <c r="AB7" i="2"/>
  <c r="AB8" i="2"/>
  <c r="AB9" i="2"/>
  <c r="AB10" i="2"/>
  <c r="AB6" i="2"/>
  <c r="Z7" i="2"/>
  <c r="Z8" i="2"/>
  <c r="Z9" i="2"/>
  <c r="Z10" i="2"/>
  <c r="Z13" i="2"/>
  <c r="Z14" i="2"/>
  <c r="Z15" i="2"/>
  <c r="Z16" i="2"/>
  <c r="Z17" i="2"/>
  <c r="Z18" i="2"/>
  <c r="Z19" i="2"/>
  <c r="Z20" i="2"/>
  <c r="Z21" i="2"/>
  <c r="Z22" i="2"/>
  <c r="Z23" i="2"/>
  <c r="Z24" i="2"/>
  <c r="Z25" i="2"/>
  <c r="Z28" i="2"/>
  <c r="Z29" i="2"/>
  <c r="Z30" i="2"/>
  <c r="Z31" i="2"/>
  <c r="Z32" i="2"/>
  <c r="Z35" i="2"/>
  <c r="Z37" i="2"/>
  <c r="Z6" i="2"/>
  <c r="X39" i="2"/>
  <c r="Y39" i="2"/>
  <c r="W39" i="2"/>
  <c r="U13" i="2"/>
  <c r="U14" i="2"/>
  <c r="U15" i="2"/>
  <c r="U16" i="2"/>
  <c r="U17" i="2"/>
  <c r="U18" i="2"/>
  <c r="U19" i="2"/>
  <c r="U20" i="2"/>
  <c r="U21" i="2"/>
  <c r="U22" i="2"/>
  <c r="U23" i="2"/>
  <c r="U24" i="2"/>
  <c r="U25" i="2"/>
  <c r="U28" i="2"/>
  <c r="U29" i="2"/>
  <c r="U30" i="2"/>
  <c r="U31" i="2"/>
  <c r="U32" i="2"/>
  <c r="U35" i="2"/>
  <c r="U37" i="2"/>
  <c r="U7" i="2"/>
  <c r="U8" i="2"/>
  <c r="U9" i="2"/>
  <c r="U10" i="2"/>
  <c r="U6" i="2"/>
  <c r="S39" i="2"/>
  <c r="T39" i="2"/>
  <c r="R39" i="2"/>
  <c r="P10" i="2"/>
  <c r="P7" i="2"/>
  <c r="P8" i="2"/>
  <c r="P9" i="2"/>
  <c r="P6" i="2"/>
  <c r="K13" i="2"/>
  <c r="K14" i="2"/>
  <c r="K15" i="2"/>
  <c r="K16" i="2"/>
  <c r="K17" i="2"/>
  <c r="K18" i="2"/>
  <c r="K19" i="2"/>
  <c r="K20" i="2"/>
  <c r="K21" i="2"/>
  <c r="K22" i="2"/>
  <c r="K23" i="2"/>
  <c r="K24" i="2"/>
  <c r="K25" i="2"/>
  <c r="K28" i="2"/>
  <c r="K29" i="2"/>
  <c r="K30" i="2"/>
  <c r="K31" i="2"/>
  <c r="K32" i="2"/>
  <c r="K35" i="2"/>
  <c r="K37" i="2"/>
  <c r="K7" i="2"/>
  <c r="K8" i="2"/>
  <c r="K9" i="2"/>
  <c r="K10" i="2"/>
  <c r="K6" i="2"/>
  <c r="J39" i="2"/>
  <c r="I39" i="2"/>
  <c r="H39" i="2"/>
  <c r="B39" i="2"/>
  <c r="C39" i="2"/>
  <c r="D39" i="2"/>
  <c r="E39" i="2"/>
  <c r="F13" i="2"/>
  <c r="F14" i="2"/>
  <c r="F15" i="2"/>
  <c r="AB15" i="2" s="1"/>
  <c r="F16" i="2"/>
  <c r="AB16" i="2" s="1"/>
  <c r="F17" i="2"/>
  <c r="AB17" i="2" s="1"/>
  <c r="F18" i="2"/>
  <c r="F19" i="2"/>
  <c r="AB19" i="2" s="1"/>
  <c r="F20" i="2"/>
  <c r="AB20" i="2" s="1"/>
  <c r="F21" i="2"/>
  <c r="F22" i="2"/>
  <c r="F23" i="2"/>
  <c r="F24" i="2"/>
  <c r="F25" i="2"/>
  <c r="F28" i="2"/>
  <c r="F29" i="2"/>
  <c r="F30" i="2"/>
  <c r="F31" i="2"/>
  <c r="F32" i="2"/>
  <c r="AB32" i="2" s="1"/>
  <c r="F35" i="2"/>
  <c r="F37" i="2"/>
  <c r="F7" i="2"/>
  <c r="F8" i="2"/>
  <c r="F9" i="2"/>
  <c r="F10" i="2"/>
  <c r="F6" i="2"/>
  <c r="F22" i="1"/>
  <c r="G22" i="1"/>
  <c r="H22" i="1"/>
  <c r="H20" i="1"/>
  <c r="H15" i="1"/>
  <c r="H8" i="1"/>
  <c r="G15" i="1"/>
  <c r="G8" i="1"/>
  <c r="F15" i="1"/>
  <c r="F8" i="1"/>
  <c r="AB39" i="2" l="1"/>
  <c r="Z39" i="2"/>
  <c r="AA35" i="2" s="1"/>
  <c r="U39" i="2"/>
  <c r="V32" i="2" s="1"/>
  <c r="P39" i="2"/>
  <c r="K39" i="2"/>
  <c r="L14" i="2" s="1"/>
  <c r="F39" i="2"/>
  <c r="G17" i="2" s="1"/>
  <c r="G8" i="2"/>
  <c r="G35" i="2"/>
  <c r="G7" i="2"/>
  <c r="B5" i="3"/>
  <c r="O39" i="2"/>
  <c r="N39" i="2"/>
  <c r="M39" i="2"/>
  <c r="AC28" i="2" l="1"/>
  <c r="C6" i="3"/>
  <c r="C8" i="3"/>
  <c r="C7" i="3"/>
  <c r="C9" i="3"/>
  <c r="C10" i="3"/>
  <c r="C5" i="3"/>
  <c r="AC30" i="2"/>
  <c r="AC31" i="2"/>
  <c r="AC32" i="2"/>
  <c r="AC35" i="2"/>
  <c r="AC23" i="2"/>
  <c r="AC37" i="2"/>
  <c r="AC17" i="2"/>
  <c r="AC8" i="2"/>
  <c r="AA7" i="2"/>
  <c r="AA30" i="2"/>
  <c r="AC22" i="2"/>
  <c r="AA14" i="2"/>
  <c r="AC7" i="2"/>
  <c r="AC14" i="2"/>
  <c r="AC15" i="2"/>
  <c r="AA28" i="2"/>
  <c r="AA29" i="2"/>
  <c r="AA16" i="2"/>
  <c r="AA18" i="2"/>
  <c r="AA9" i="2"/>
  <c r="AA6" i="2"/>
  <c r="AA23" i="2"/>
  <c r="AA17" i="2"/>
  <c r="AA8" i="2"/>
  <c r="AA10" i="2"/>
  <c r="AA22" i="2"/>
  <c r="AA13" i="2"/>
  <c r="AA31" i="2"/>
  <c r="AA37" i="2"/>
  <c r="AA19" i="2"/>
  <c r="AA20" i="2"/>
  <c r="AA21" i="2"/>
  <c r="AC18" i="2"/>
  <c r="AC19" i="2"/>
  <c r="AA15" i="2"/>
  <c r="AC6" i="2"/>
  <c r="AC39" i="2" s="1"/>
  <c r="AA24" i="2"/>
  <c r="AC20" i="2"/>
  <c r="AA25" i="2"/>
  <c r="AC21" i="2"/>
  <c r="AC16" i="2"/>
  <c r="AC24" i="2"/>
  <c r="AA32" i="2"/>
  <c r="AC9" i="2"/>
  <c r="AC25" i="2"/>
  <c r="AC29" i="2"/>
  <c r="AC10" i="2"/>
  <c r="AC13" i="2"/>
  <c r="V29" i="2"/>
  <c r="V30" i="2"/>
  <c r="V31" i="2"/>
  <c r="V15" i="2"/>
  <c r="V35" i="2"/>
  <c r="V16" i="2"/>
  <c r="V37" i="2"/>
  <c r="V17" i="2"/>
  <c r="V7" i="2"/>
  <c r="V18" i="2"/>
  <c r="V8" i="2"/>
  <c r="V19" i="2"/>
  <c r="V9" i="2"/>
  <c r="V20" i="2"/>
  <c r="V10" i="2"/>
  <c r="V21" i="2"/>
  <c r="V6" i="2"/>
  <c r="V22" i="2"/>
  <c r="V23" i="2"/>
  <c r="V24" i="2"/>
  <c r="V28" i="2"/>
  <c r="V13" i="2"/>
  <c r="V14" i="2"/>
  <c r="G31" i="2"/>
  <c r="V25" i="2"/>
  <c r="L17" i="2"/>
  <c r="L28" i="2"/>
  <c r="L32" i="2"/>
  <c r="L15" i="2"/>
  <c r="L35" i="2"/>
  <c r="L16" i="2"/>
  <c r="L37" i="2"/>
  <c r="L29" i="2"/>
  <c r="G13" i="2"/>
  <c r="L18" i="2"/>
  <c r="L8" i="2"/>
  <c r="G9" i="2"/>
  <c r="G14" i="2"/>
  <c r="L7" i="2"/>
  <c r="G6" i="2"/>
  <c r="G19" i="2"/>
  <c r="G20" i="2"/>
  <c r="L25" i="2"/>
  <c r="G37" i="2"/>
  <c r="G22" i="2"/>
  <c r="Q23" i="2"/>
  <c r="Q24" i="2"/>
  <c r="Q25" i="2"/>
  <c r="Q28" i="2"/>
  <c r="Q9" i="2"/>
  <c r="Q29" i="2"/>
  <c r="Q16" i="2"/>
  <c r="Q18" i="2"/>
  <c r="Q21" i="2"/>
  <c r="Q30" i="2"/>
  <c r="Q13" i="2"/>
  <c r="Q31" i="2"/>
  <c r="Q14" i="2"/>
  <c r="Q32" i="2"/>
  <c r="Q15" i="2"/>
  <c r="Q35" i="2"/>
  <c r="Q37" i="2"/>
  <c r="Q17" i="2"/>
  <c r="Q6" i="2"/>
  <c r="Q19" i="2"/>
  <c r="Q20" i="2"/>
  <c r="Q22" i="2"/>
  <c r="G24" i="2"/>
  <c r="L13" i="2"/>
  <c r="Q10" i="2"/>
  <c r="G30" i="2"/>
  <c r="L31" i="2"/>
  <c r="Q7" i="2"/>
  <c r="G25" i="2"/>
  <c r="Q8" i="2"/>
  <c r="G28" i="2"/>
  <c r="G15" i="2"/>
  <c r="G23" i="2"/>
  <c r="G16" i="2"/>
  <c r="G29" i="2"/>
  <c r="G18" i="2"/>
  <c r="G21" i="2"/>
  <c r="G10" i="2"/>
  <c r="G32" i="2"/>
  <c r="L20" i="2"/>
  <c r="L22" i="2"/>
  <c r="L9" i="2"/>
  <c r="L10" i="2"/>
  <c r="L21" i="2"/>
  <c r="L23" i="2"/>
  <c r="L6" i="2"/>
  <c r="L19" i="2"/>
  <c r="L24" i="2"/>
  <c r="L30" i="2"/>
  <c r="AA39" i="2" l="1"/>
  <c r="V39" i="2"/>
  <c r="Q39" i="2"/>
  <c r="L39" i="2"/>
  <c r="G39"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<sst xmlns="http://schemas.openxmlformats.org/spreadsheetml/2006/main" count="927" uniqueCount="248">
  <si>
    <t>Getting Started with the Cap Table Template</t>
  </si>
  <si>
    <r>
      <rPr>
        <sz val="11"/>
        <color rgb="FF000000"/>
        <rFont val="Calibri"/>
        <scheme val="minor"/>
      </rPr>
      <t xml:space="preserve">This Excel template is designed to help you understand and manage your company's equity. The built-in formulas calculate ownership percentages and fully diluted shares.
The data in this template is entirely fictional and based on a hypothetical company in the later stages of growth, post Series B and C funding. It's meant to give you a glimpse of what your cap table might look like as you grow. We've included more detail than you may need right now so you can see how things scale over time.
</t>
    </r>
    <r>
      <rPr>
        <b/>
        <sz val="11"/>
        <color rgb="FF000000"/>
        <rFont val="Calibri"/>
        <scheme val="minor"/>
      </rPr>
      <t xml:space="preserve">Key Points:
</t>
    </r>
    <r>
      <rPr>
        <sz val="11"/>
        <color rgb="FF000000"/>
        <rFont val="Calibri"/>
        <scheme val="minor"/>
      </rPr>
      <t xml:space="preserve">
- Create a duplicate of this file to work from 
- Use the sheet by sheet overview to explore how everything connects
- Don't worry about using all of the sheets. Start with what you need and scale up. We'll help you figure it out.
Let's build a cap table!
</t>
    </r>
    <r>
      <rPr>
        <i/>
        <sz val="9"/>
        <color rgb="FF000000"/>
        <rFont val="Calibri"/>
        <scheme val="minor"/>
      </rPr>
      <t xml:space="preserve">Please note: This is a complimentary resource that is provided as-is with no representations or warranties. You assume complete responsibility and risk, and we're not able to offer support or customizations, for its use. We hope it starts as a helpful starting point.
Fidelity Private Shares LLC.
</t>
    </r>
    <r>
      <rPr>
        <sz val="9"/>
        <color rgb="FF000000"/>
        <rFont val="Calibri"/>
        <scheme val="minor"/>
      </rPr>
      <t>© 2025 FMR LLC. All rights reserved.
Fidelity Private Shares LLC provides cap table management and other administrative services to private companies and their equity compensation plans.
1210997.1.0</t>
    </r>
  </si>
  <si>
    <t>Summary</t>
  </si>
  <si>
    <t>This sheet is like your equity dashboard. It shows a snapshot of your company's equity structure. It breaks down ownership by stock type, Common, Preferred, Options, and RSUs, and calculates each stakeholder group's percentage ownership on a fully diluted basis (i.e., assuming everything converts to common stock).
- Use this to understand total shares outstanding and how much equity each group holds.
- All values here are pulled from the other sheets.</t>
  </si>
  <si>
    <t>Stock Type</t>
  </si>
  <si>
    <t>Shares Authorized</t>
  </si>
  <si>
    <t>Shares Issued and Outstanding</t>
  </si>
  <si>
    <t>Warrants</t>
  </si>
  <si>
    <t>Options and RSUs Outstanding</t>
  </si>
  <si>
    <t>Fully Diluted Shares</t>
  </si>
  <si>
    <t>Fully Diluted Ownership</t>
  </si>
  <si>
    <t>Cash Raised</t>
  </si>
  <si>
    <t>Common</t>
  </si>
  <si>
    <t>Total Common</t>
  </si>
  <si>
    <t>Preferred</t>
  </si>
  <si>
    <t>Series A</t>
  </si>
  <si>
    <t>Series B</t>
  </si>
  <si>
    <t>Series C</t>
  </si>
  <si>
    <t>Series D</t>
  </si>
  <si>
    <t>Total Preferred</t>
  </si>
  <si>
    <t>Outstanding Convertibles</t>
  </si>
  <si>
    <t>Outstanding SAFEs</t>
  </si>
  <si>
    <t>Outstanding Convertible Notes</t>
  </si>
  <si>
    <t>Total Convertibles</t>
  </si>
  <si>
    <t>Total</t>
  </si>
  <si>
    <t>Capitalization Table</t>
  </si>
  <si>
    <r>
      <rPr>
        <sz val="10"/>
        <color rgb="FF000000"/>
        <rFont val="Source Sans Pro Light"/>
        <family val="2"/>
      </rPr>
      <t xml:space="preserve">The cap table outlines the ownership structure of a company, detailing who owns what percentage of the company's equity. Every stakeholder is broken down by:
- Stock type (Common, Series A-D, etc)
- Ownership % by class and overall
- Convertible instruments like debt and warrants
Each row = one shareholder. Each column tracks their holdings across stock types and equity instruments. The formulas automatically calculate totals and percentages.
</t>
    </r>
    <r>
      <rPr>
        <b/>
        <sz val="10"/>
        <color rgb="FF000000"/>
        <rFont val="Source Sans Pro Light"/>
        <family val="2"/>
      </rPr>
      <t xml:space="preserve">*Note: </t>
    </r>
    <r>
      <rPr>
        <sz val="10"/>
        <color rgb="FF000000"/>
        <rFont val="Source Sans Pro Light"/>
        <family val="2"/>
      </rPr>
      <t xml:space="preserve">The built-in formulas reference the current structure and data in the template. They'll adjust as you add or remove rows, but be careful. If rows are inserted incorrectly or overwritten, it may break the calculation. </t>
    </r>
  </si>
  <si>
    <t>Stockholder</t>
  </si>
  <si>
    <t>Common Options</t>
  </si>
  <si>
    <t>Common RSU</t>
  </si>
  <si>
    <t>Common Warrants</t>
  </si>
  <si>
    <t>Common Total</t>
  </si>
  <si>
    <t>Common %</t>
  </si>
  <si>
    <t>Series A Warrants</t>
  </si>
  <si>
    <t>Series A CSE</t>
  </si>
  <si>
    <t>Series A Total</t>
  </si>
  <si>
    <t>Series A %</t>
  </si>
  <si>
    <t>Series B Warrants</t>
  </si>
  <si>
    <t>Series B CSE</t>
  </si>
  <si>
    <t>Series B Total</t>
  </si>
  <si>
    <t>Series B %</t>
  </si>
  <si>
    <t>Series C Warrants</t>
  </si>
  <si>
    <t>Series C CSE</t>
  </si>
  <si>
    <t>Series C Total</t>
  </si>
  <si>
    <t>Series C %</t>
  </si>
  <si>
    <t>Series D Warrants</t>
  </si>
  <si>
    <t>Series D CSE</t>
  </si>
  <si>
    <t>Series D Total</t>
  </si>
  <si>
    <t>Series D %</t>
  </si>
  <si>
    <t>Total Shares (CSE)</t>
  </si>
  <si>
    <t>Total %</t>
  </si>
  <si>
    <t>Convertible Debt</t>
  </si>
  <si>
    <t>Alternatives</t>
  </si>
  <si>
    <t>Preferred Stockholders</t>
  </si>
  <si>
    <t>Rob Romero</t>
  </si>
  <si>
    <t>Anna Lewis Fund</t>
  </si>
  <si>
    <t>Andrew O'Brien Family Trust</t>
  </si>
  <si>
    <t>Peggy Kim Ventures</t>
  </si>
  <si>
    <t>Caitlin Walker Fund</t>
  </si>
  <si>
    <t>Common Stockholders</t>
  </si>
  <si>
    <t>Caitlin Burton</t>
  </si>
  <si>
    <t>Pedro Miles</t>
  </si>
  <si>
    <t>Herbert Weaver</t>
  </si>
  <si>
    <t>Mario Hudson</t>
  </si>
  <si>
    <t>Pip West</t>
  </si>
  <si>
    <t>Anton Henry</t>
  </si>
  <si>
    <t>Milan Scott</t>
  </si>
  <si>
    <t>Lukas Becker</t>
  </si>
  <si>
    <t>Leon Andersen</t>
  </si>
  <si>
    <t>Sherman Porter</t>
  </si>
  <si>
    <t>Kim Simmons</t>
  </si>
  <si>
    <t>Dylan Owens</t>
  </si>
  <si>
    <t>Luke Johnston</t>
  </si>
  <si>
    <t>Option Holders</t>
  </si>
  <si>
    <t>Patricia Gonzalez</t>
  </si>
  <si>
    <t>Jean Cole</t>
  </si>
  <si>
    <t>Leonie Gibson</t>
  </si>
  <si>
    <t>Liza Torres</t>
  </si>
  <si>
    <t>Taylor Clark</t>
  </si>
  <si>
    <t>Other Warrant holders</t>
  </si>
  <si>
    <t>Elizabeth White Company</t>
  </si>
  <si>
    <t>Ungranted Plan Shares</t>
  </si>
  <si>
    <t>Stock Incentive Plans</t>
  </si>
  <si>
    <t>This sheet helps you manage your equity reserved for employees (granted, exercised, or still available). It shows:
- Total shares allocated to the plan
- Granted options and RSUs
- Remaining pool for future hires</t>
  </si>
  <si>
    <t>Plan</t>
  </si>
  <si>
    <t>Shares</t>
  </si>
  <si>
    <t>Shares %</t>
  </si>
  <si>
    <t>Stock Incentive Plan 1</t>
  </si>
  <si>
    <t>Exercised ISO/NQO Shares</t>
  </si>
  <si>
    <t>Restricted Stock Awards</t>
  </si>
  <si>
    <t>Granted Plan Options</t>
  </si>
  <si>
    <t>Unsettled RSU</t>
  </si>
  <si>
    <t>Grants issued as Common shares</t>
  </si>
  <si>
    <t>Stock Classes</t>
  </si>
  <si>
    <t>Use this sheet to list all of your stock classes: Common and each Preferred round (Series A, B, etc). For each class, you can specify:
- Authorized share count
- Original issue price
- Conversion ratio
- Liquidation preference (i.e. participating, non-participating, capped participation, etc.)</t>
  </si>
  <si>
    <t>Authorized Shares</t>
  </si>
  <si>
    <t>Original Issue Price</t>
  </si>
  <si>
    <t>Conversion Ratio</t>
  </si>
  <si>
    <t>Priority Group</t>
  </si>
  <si>
    <t>Liquidation Preference</t>
  </si>
  <si>
    <t>Non-Participating</t>
  </si>
  <si>
    <t>Liquidation Multiplier</t>
  </si>
  <si>
    <t>Liquidation Cap</t>
  </si>
  <si>
    <t>Common Stock</t>
  </si>
  <si>
    <r>
      <t xml:space="preserve">This sheet acts like a logbook for your company's common stock. It records each issuance of shares, including who received them, when, how many, and at what price.
</t>
    </r>
    <r>
      <rPr>
        <b/>
        <sz val="10"/>
        <color rgb="FF000000"/>
        <rFont val="Source Sans Pro Light"/>
        <family val="2"/>
      </rPr>
      <t xml:space="preserve">*Note: </t>
    </r>
    <r>
      <rPr>
        <sz val="10"/>
        <color rgb="FF000000"/>
        <rFont val="Source Sans Pro Light"/>
        <family val="2"/>
        <charset val="1"/>
      </rPr>
      <t>Keep this accurate and up to date. It forms the foundation for your legal cap table and investor reporting.</t>
    </r>
  </si>
  <si>
    <t>Shareholder</t>
  </si>
  <si>
    <t>Stock Class</t>
  </si>
  <si>
    <t>Type</t>
  </si>
  <si>
    <t>SIP</t>
  </si>
  <si>
    <t>Grant Date</t>
  </si>
  <si>
    <t>Purchase Price per Share</t>
  </si>
  <si>
    <t>Net Effective Issuance</t>
  </si>
  <si>
    <t>Issued &amp; Outstanding</t>
  </si>
  <si>
    <t>Vested Shares</t>
  </si>
  <si>
    <t>Unvested Shares</t>
  </si>
  <si>
    <t>Vested Options</t>
  </si>
  <si>
    <t>Unvested Options</t>
  </si>
  <si>
    <t>RSU</t>
  </si>
  <si>
    <t>Vesting Type</t>
  </si>
  <si>
    <t>Vesting Commencement Date</t>
  </si>
  <si>
    <t>Vesting Cliff</t>
  </si>
  <si>
    <t>Vesting Period (months)</t>
  </si>
  <si>
    <t>Vesting Frequency</t>
  </si>
  <si>
    <t>Stakeholder Id</t>
  </si>
  <si>
    <t>Grant/Certificate Id</t>
  </si>
  <si>
    <t>ISO</t>
  </si>
  <si>
    <t>Time-based Vesting</t>
  </si>
  <si>
    <t>1 year</t>
  </si>
  <si>
    <t>monthly</t>
  </si>
  <si>
    <t>68131fa9375828b8c6000d49</t>
  </si>
  <si>
    <t>68131fe1375828b8c6001108</t>
  </si>
  <si>
    <t>68131faa375828b8c6000d8e</t>
  </si>
  <si>
    <t>68131fdc375828b8c60010d1</t>
  </si>
  <si>
    <t>68131fa9375828b8c6000d4f</t>
  </si>
  <si>
    <t>68131fdb375828b8c60010bd</t>
  </si>
  <si>
    <t>NQO</t>
  </si>
  <si>
    <t>68131faa375828b8c6000d9c</t>
  </si>
  <si>
    <t>68131fc9375828b8c6000f7d</t>
  </si>
  <si>
    <t>68131faa375828b8c6000dbf</t>
  </si>
  <si>
    <t>68131fc6375828b8c6000f5a</t>
  </si>
  <si>
    <t>68131fd4375828b8c6001027</t>
  </si>
  <si>
    <t>68131fa9375828b8c6000d64</t>
  </si>
  <si>
    <t>68131fdb375828b8c60010c7</t>
  </si>
  <si>
    <t>68131faa375828b8c6000da3</t>
  </si>
  <si>
    <t>68131fcd375828b8c6000fb4</t>
  </si>
  <si>
    <t>68131faa375828b8c6000d95</t>
  </si>
  <si>
    <t>68131fd4375828b8c600103b</t>
  </si>
  <si>
    <t>68131faa375828b8c6000d79</t>
  </si>
  <si>
    <t>68131fc8375828b8c6000f6e</t>
  </si>
  <si>
    <t>68131fc7375828b8c6000f5f</t>
  </si>
  <si>
    <t>68131faa375828b8c6000d87</t>
  </si>
  <si>
    <t>68131fd6375828b8c6001059</t>
  </si>
  <si>
    <t>68131fdd375828b8c60010d6</t>
  </si>
  <si>
    <t>Custom Time-Based/Milestone Vesting</t>
  </si>
  <si>
    <t>68131fa9375828b8c6000d56</t>
  </si>
  <si>
    <t>68131fe3375828b8c6001126</t>
  </si>
  <si>
    <t>68131faa375828b8c6000d80</t>
  </si>
  <si>
    <t>68131fdb375828b8c60010c2</t>
  </si>
  <si>
    <t>68131faa375828b8c6000dc6</t>
  </si>
  <si>
    <t>68131fc3375828b8c6000f28</t>
  </si>
  <si>
    <t>RSA (Under Plan)</t>
  </si>
  <si>
    <t>68131fc0375828b8c6000ee2</t>
  </si>
  <si>
    <t>68131fa9375828b8c6000d5d</t>
  </si>
  <si>
    <t>68131fd1375828b8c6000fe6</t>
  </si>
  <si>
    <t>68131faa375828b8c6000db1</t>
  </si>
  <si>
    <t>68131fd3375828b8c6001022</t>
  </si>
  <si>
    <t>68131fcc375828b8c6000faa</t>
  </si>
  <si>
    <t>68131fd7375828b8c6001063</t>
  </si>
  <si>
    <t>68131fcb375828b8c6000f96</t>
  </si>
  <si>
    <t>68131fd5375828b8c600104a</t>
  </si>
  <si>
    <t>68131fd1375828b8c6000feb</t>
  </si>
  <si>
    <t>68131fc1375828b8c6000ef6</t>
  </si>
  <si>
    <t>68131fc5375828b8c6000f41</t>
  </si>
  <si>
    <t>68131fe0375828b8c6001103</t>
  </si>
  <si>
    <t>68131fe3375828b8c6001121</t>
  </si>
  <si>
    <t>68131fd0375828b8c6000fdc</t>
  </si>
  <si>
    <t>68131fde375828b8c60010e0</t>
  </si>
  <si>
    <t>68131fc6375828b8c6000f50</t>
  </si>
  <si>
    <t>68131fd2375828b8c6000fff</t>
  </si>
  <si>
    <t>68131fe2375828b8c6001117</t>
  </si>
  <si>
    <t>68131fd4375828b8c6001031</t>
  </si>
  <si>
    <t>68131fd8375828b8c6001086</t>
  </si>
  <si>
    <t>68131fcd375828b8c6000faf</t>
  </si>
  <si>
    <t>68131faa375828b8c6000d6b</t>
  </si>
  <si>
    <t>68131fc4375828b8c6000f32</t>
  </si>
  <si>
    <t>68131faa375828b8c6000daa</t>
  </si>
  <si>
    <t>68131fcc375828b8c6000fa5</t>
  </si>
  <si>
    <t>68131fd5375828b8c6001045</t>
  </si>
  <si>
    <t>68131fd3375828b8c6001018</t>
  </si>
  <si>
    <t>68131fc2375828b8c6000f0a</t>
  </si>
  <si>
    <t>68131faa375828b8c6000d72</t>
  </si>
  <si>
    <t>68131fc4375828b8c6000f2d</t>
  </si>
  <si>
    <t>68131fda375828b8c60010a4</t>
  </si>
  <si>
    <t>68131fd0375828b8c6000fd2</t>
  </si>
  <si>
    <t>Transfer</t>
  </si>
  <si>
    <t>68131fc3375828b8c6000f23</t>
  </si>
  <si>
    <t>68131fbf375828b8c6000ed8</t>
  </si>
  <si>
    <t>68131fde375828b8c60010e5</t>
  </si>
  <si>
    <t>68131fc2375828b8c6000f00</t>
  </si>
  <si>
    <t>68131fd5375828b8c6001040</t>
  </si>
  <si>
    <t>68131fe2375828b8c600111c</t>
  </si>
  <si>
    <t>68131fdc375828b8c60010cc</t>
  </si>
  <si>
    <t>68131faa375828b8c6000db8</t>
  </si>
  <si>
    <t>68131fc8375828b8c6000f69</t>
  </si>
  <si>
    <t>Award</t>
  </si>
  <si>
    <t>68131fbf375828b8c6000ec9</t>
  </si>
  <si>
    <t>68131fc7375828b8c6000f64</t>
  </si>
  <si>
    <t>68131fca375828b8c6000f82</t>
  </si>
  <si>
    <t>68131fd9375828b8c6001090</t>
  </si>
  <si>
    <t>68131fd7375828b8c6001068</t>
  </si>
  <si>
    <t>68131fc5375828b8c6000f46</t>
  </si>
  <si>
    <t>68131fcf375828b8c6000fc3</t>
  </si>
  <si>
    <t>68131fd3375828b8c600101d</t>
  </si>
  <si>
    <t>68131fbe375828b8c6000ebf</t>
  </si>
  <si>
    <t>68131fe0375828b8c60010fe</t>
  </si>
  <si>
    <t>68131fdb375828b8c60010b8</t>
  </si>
  <si>
    <t>68131fd8375828b8c6001081</t>
  </si>
  <si>
    <t>68131fd6375828b8c600105e</t>
  </si>
  <si>
    <t>68131fd4375828b8c600102c</t>
  </si>
  <si>
    <t>68131fce375828b8c6000fbe</t>
  </si>
  <si>
    <t>68131fe3375828b8c600112b</t>
  </si>
  <si>
    <t>68131fc4375828b8c6000f37</t>
  </si>
  <si>
    <t>68131fe2375828b8c6001112</t>
  </si>
  <si>
    <t>68131fda375828b8c600109f</t>
  </si>
  <si>
    <t>68131fd0375828b8c6000fd7</t>
  </si>
  <si>
    <t>68131fca375828b8c6000f91</t>
  </si>
  <si>
    <t>68131fd0375828b8c6000fe1</t>
  </si>
  <si>
    <t>Warrant</t>
  </si>
  <si>
    <t>No Vesting</t>
  </si>
  <si>
    <t>68131fa9375828b8c6000d27</t>
  </si>
  <si>
    <t>68131fbb375828b8c6000e88</t>
  </si>
  <si>
    <t>68131fc6375828b8c6000f55</t>
  </si>
  <si>
    <t>68131fbd375828b8c6000eb5</t>
  </si>
  <si>
    <t>68131fc0375828b8c6000eec</t>
  </si>
  <si>
    <t>68131fd9375828b8c600108b</t>
  </si>
  <si>
    <t>68131fd1375828b8c6000ff0</t>
  </si>
  <si>
    <t>68131fd8375828b8c600107c</t>
  </si>
  <si>
    <t>68131fc5375828b8c6000f4b</t>
  </si>
  <si>
    <t>68131fcf375828b8c6000fcd</t>
  </si>
  <si>
    <t>68131fdd375828b8c60010db</t>
  </si>
  <si>
    <t>68131fd4375828b8c6001036</t>
  </si>
  <si>
    <t>68131fd8375828b8c600106d</t>
  </si>
  <si>
    <t>68131fe1375828b8c600110d</t>
  </si>
  <si>
    <t>68131fc2375828b8c6000f14</t>
  </si>
  <si>
    <t>68131fcd375828b8c6000fb9</t>
  </si>
  <si>
    <t>68131fcf375828b8c6000fc8</t>
  </si>
  <si>
    <t>68131fa9375828b8c6000cf4</t>
  </si>
  <si>
    <t>68131fbb375828b8c6000e8d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</si>
</sst>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0.00;\-[$$-409]#,##0.00"/>
    <numFmt numFmtId="165" formatCode="[$$-409]#,##0.000000;\-[$$-409]#,##0.000000"/>
    <numFmt numFmtId="166" formatCode="#,##0.0000"/>
    <numFmt numFmtId="167" formatCode="0.0\x"/>
    <numFmt numFmtId="168" formatCode="mmmm\ d\,\ yyyy"/>
  </numFmts>
  <fonts count="21">
    <font>
      <sz val="11"/>
      <color theme="1"/>
      <name val="Calibri"/>
      <family val="2"/>
      <scheme val="minor"/>
    </font>
    <font>
      <sz val="9"/>
      <color rgb="FF000000"/>
      <name val="Source Sans Pro:frac=1"/>
      <family val="2"/>
      <charset val="1"/>
    </font>
    <font>
      <sz val="11"/>
      <color rgb="FF000000"/>
      <name val="Source Sans Pro"/>
      <family val="2"/>
      <charset val="1"/>
    </font>
    <font>
      <sz val="9"/>
      <color rgb="FFC0C0C0"/>
      <name val="Source Sans Pro"/>
      <family val="2"/>
      <charset val="1"/>
    </font>
    <font>
      <i/>
      <sz val="10"/>
      <color rgb="FF000000"/>
      <name val="Source Sans Pro"/>
      <family val="2"/>
      <charset val="1"/>
    </font>
    <font>
      <sz val="6"/>
      <color rgb="FF000000"/>
      <name val="Arial"/>
      <family val="1"/>
      <charset val="1"/>
    </font>
    <font>
      <sz val="11"/>
      <name val="Calibri"/>
      <family val="2"/>
      <charset val="1"/>
    </font>
    <font>
      <sz val="10"/>
      <color rgb="FF000000"/>
      <name val="Source Sans Pro Light"/>
      <family val="2"/>
      <charset val="1"/>
    </font>
    <font>
      <b/>
      <sz val="11"/>
      <color rgb="FFFFFFFF"/>
      <name val="Source Sans Pro"/>
      <family val="2"/>
      <charset val="1"/>
    </font>
    <font>
      <sz val="28"/>
      <color rgb="FF000000"/>
      <name val="Source Sans Pro"/>
      <family val="2"/>
      <charset val="1"/>
    </font>
    <font>
      <b/>
      <i/>
      <sz val="11"/>
      <color rgb="FF000000"/>
      <name val="Source Sans Pro"/>
      <family val="2"/>
      <charset val="1"/>
    </font>
    <font>
      <b/>
      <i/>
      <sz val="11"/>
      <name val="Source Sans Pro"/>
      <family val="2"/>
      <charset val="1"/>
    </font>
    <font>
      <b/>
      <sz val="11"/>
      <color theme="1"/>
      <name val="Calibri"/>
      <family val="2"/>
      <scheme val="minor"/>
    </font>
    <font>
      <b/>
      <sz val="24"/>
      <color theme="1"/>
      <name val="Fidelity Sans 2 ExtraBold"/>
      <family val="2"/>
    </font>
    <font>
      <sz val="11"/>
      <color theme="1"/>
      <name val="Calibri"/>
      <family val="2"/>
      <scheme val="minor"/>
    </font>
    <font>
      <b/>
      <sz val="10"/>
      <color rgb="FF000000"/>
      <name val="Source Sans Pro Light"/>
      <family val="2"/>
    </font>
    <font>
      <sz val="10"/>
      <color rgb="FF000000"/>
      <name val="Source Sans Pro Light"/>
      <family val="2"/>
    </font>
    <font>
      <sz val="11"/>
      <color rgb="FF000000"/>
      <name val="Calibri"/>
      <scheme val="minor"/>
    </font>
    <font>
      <b/>
      <sz val="11"/>
      <color rgb="FF000000"/>
      <name val="Calibri"/>
      <scheme val="minor"/>
    </font>
    <font>
      <i/>
      <sz val="9"/>
      <color rgb="FF000000"/>
      <name val="Calibri"/>
      <scheme val="minor"/>
    </font>
    <font>
      <sz val="9"/>
      <color rgb="FF000000"/>
      <name val="Calibri"/>
      <scheme val="minor"/>
    </font>
  </fonts>
  <fills count="4">
    <fill>
      <patternFill patternType="none"/>
    </fill>
    <fill>
      <patternFill patternType="gray125"/>
    </fill>
    <fill>
      <patternFill patternType="solid">
        <fgColor rgb="FFF1F4F6"/>
        <bgColor rgb="FFEAEEEE"/>
      </patternFill>
    </fill>
    <fill>
      <patternFill patternType="solid">
        <fgColor rgb="FF044014"/>
        <bgColor rgb="FF044014"/>
      </patternFill>
    </fill>
  </fills>
  <borders count="5">
    <border>
      <left/>
      <right/>
      <top/>
      <bottom/>
      <diagonal/>
    </border>
    <border>
      <left/>
      <right/>
      <top style="thin">
        <color auto="1"/>
      </top>
      <bottom style="double">
        <color auto="1"/>
      </bottom>
      <diagonal/>
    </border>
    <border>
      <left/>
      <right style="thin">
        <color theme="0"/>
      </right>
      <top/>
      <bottom/>
      <diagonal/>
    </border>
    <border>
      <left/>
      <right/>
      <top style="thin">
        <color theme="0"/>
      </top>
      <bottom/>
      <diagonal/>
    </border>
    <border>
      <left style="thin">
        <color theme="0"/>
      </left>
      <right/>
      <top style="thin">
        <color theme="0"/>
      </top>
      <bottom/>
      <diagonal/>
    </border>
  </borders>
  <cellStyleXfs count="14">
    <xf numFmtId="0" fontId="0" fillId="0" borderId="0"/>
    <xf numFmtId="0" fontId="1" fillId="0" borderId="0"/>
    <xf numFmtId="0" fontId="2" fillId="0" borderId="0"/>
    <xf numFmtId="0" fontId="3" fillId="0" borderId="0"/>
    <xf numFmtId="0" fontId="4" fillId="0" borderId="0"/>
    <xf numFmtId="0" fontId="12" fillId="0" borderId="0">
      <alignment vertical="center"/>
    </xf>
    <xf numFmtId="0" fontId="5" fillId="0" borderId="0"/>
    <xf numFmtId="0" fontId="6" fillId="2" borderId="0"/>
    <xf numFmtId="0" fontId="7" fillId="0" borderId="0"/>
    <xf numFmtId="0" fontId="8" fillId="3" borderId="0">
      <alignment horizontal="right" vertical="center"/>
    </xf>
    <xf numFmtId="0" fontId="9" fillId="0" borderId="0"/>
    <xf numFmtId="0" fontId="10" fillId="0" borderId="0"/>
    <xf numFmtId="0" fontId="11" fillId="0" borderId="1"/>
    <xf numFmtId="9" fontId="14" fillId="0" borderId="0" applyFont="0" applyFill="0" applyBorder="0" applyAlignment="0" applyProtection="0"/>
  </cellStyleXfs>
  <cellXfs count="39">
    <xf numFmtId="0" fontId="0" fillId="0" borderId="0" xfId="0"/>
    <xf numFmtId="0" fontId="9" fillId="0" borderId="0" xfId="0" applyFont="1"/>
    <xf numFmtId="0" fontId="7" fillId="0" borderId="0" xfId="0" applyFont="1"/>
    <xf numFmtId="0" fontId="8" fillId="3" borderId="0" xfId="0" applyFont="1" applyFill="1" applyAlignment="1">
      <alignment horizontal="right" vertical="center"/>
    </xf>
    <xf numFmtId="3" fontId="8" fillId="3" borderId="0" xfId="0" applyNumberFormat="1" applyFont="1" applyFill="1" applyAlignment="1">
      <alignment horizontal="right" vertical="center"/>
    </xf>
    <xf numFmtId="10" fontId="8" fillId="3" borderId="0" xfId="0" applyNumberFormat="1" applyFont="1" applyFill="1" applyAlignment="1">
      <alignment horizontal="right" vertical="center"/>
    </xf>
    <xf numFmtId="164" fontId="8" fillId="3" borderId="0" xfId="0" applyNumberFormat="1" applyFont="1" applyFill="1" applyAlignment="1">
      <alignment horizontal="right" vertical="center"/>
    </xf>
    <xf numFmtId="164" fontId="11" fillId="0" borderId="1" xfId="0" applyNumberFormat="1" applyFont="1" applyBorder="1"/>
    <xf numFmtId="0" fontId="1" fillId="0" borderId="0" xfId="0" applyFont="1"/>
    <xf numFmtId="168" fontId="8" fillId="3" borderId="0" xfId="0" applyNumberFormat="1" applyFont="1" applyFill="1" applyAlignment="1">
      <alignment horizontal="right" vertical="center"/>
    </xf>
    <xf numFmtId="165" fontId="8" fillId="3" borderId="0" xfId="0" applyNumberFormat="1" applyFont="1" applyFill="1" applyAlignment="1">
      <alignment horizontal="right" vertical="center"/>
    </xf>
    <xf numFmtId="3" fontId="0" fillId="0" borderId="0" xfId="0" applyNumberFormat="1"/>
    <xf numFmtId="10" fontId="0" fillId="0" borderId="0" xfId="0" applyNumberFormat="1"/>
    <xf numFmtId="164" fontId="0" fillId="0" borderId="0" xfId="0" applyNumberFormat="1"/>
    <xf numFmtId="0" fontId="12" fillId="0" borderId="0" xfId="5">
      <alignment vertical="center"/>
    </xf>
    <xf numFmtId="0" fontId="11" fillId="0" borderId="1" xfId="12"/>
    <xf numFmtId="0" fontId="11" fillId="0" borderId="1" xfId="12" applyAlignment="1">
      <alignment vertical="center"/>
    </xf>
    <xf numFmtId="3" fontId="11" fillId="0" borderId="1" xfId="0" applyNumberFormat="1" applyFont="1" applyBorder="1"/>
    <xf numFmtId="10" fontId="11" fillId="0" borderId="1" xfId="0" applyNumberFormat="1" applyFont="1" applyBorder="1"/>
    <xf numFmtId="0" fontId="8" fillId="3" borderId="0" xfId="9">
      <alignment horizontal="right" vertical="center"/>
    </xf>
    <xf numFmtId="165" fontId="0" fillId="0" borderId="0" xfId="0" applyNumberFormat="1"/>
    <xf numFmtId="166" fontId="0" fillId="0" borderId="0" xfId="0" applyNumberFormat="1"/>
    <xf numFmtId="167" fontId="0" fillId="0" borderId="0" xfId="0" applyNumberFormat="1"/>
    <xf numFmtId="168" fontId="0" fillId="0" borderId="0" xfId="0" applyNumberFormat="1"/>
    <xf numFmtId="10" fontId="12" fillId="0" borderId="0" xfId="5" applyNumberFormat="1">
      <alignment vertical="center"/>
    </xf>
    <xf numFmtId="0" fontId="13" fillId="0" borderId="0" xfId="0" applyFont="1"/>
    <xf numFmtId="9" fontId="11" fillId="0" borderId="1" xfId="13" applyFont="1" applyBorder="1"/>
    <xf numFmtId="10" fontId="0" fillId="0" borderId="0" xfId="13" applyNumberFormat="1" applyFont="1"/>
    <xf numFmtId="0" fontId="7" fillId="0" borderId="0" xfId="0" applyFont="1" applyAlignment="1">
      <alignment vertical="center"/>
    </xf>
    <xf numFmtId="0" fontId="7" fillId="0" borderId="0" xfId="0" applyFont="1" applyAlignment="1">
      <alignment vertical="center" wrapText="1"/>
    </xf>
    <xf numFmtId="0" fontId="9" fillId="0" borderId="2" xfId="0" applyFont="1" applyBorder="1" applyAlignment="1">
      <alignment vertical="center"/>
    </xf>
    <xf numFmtId="0" fontId="7" fillId="0" borderId="2" xfId="0" applyFont="1" applyBorder="1" applyAlignment="1">
      <alignment vertical="center" wrapText="1"/>
    </xf>
    <xf numFmtId="0" fontId="13" fillId="0" borderId="0" xfId="0" applyFont="1" applyAlignment="1">
      <alignment vertical="center"/>
    </xf>
    <xf numFmtId="0" fontId="0" fillId="0" borderId="0" xfId="0" applyAlignment="1">
      <alignment horizontal="left"/>
    </xf>
    <xf numFmtId="0" fontId="0" fillId="0" borderId="0" xfId="0" applyAlignment="1"/>
    <xf numFmtId="0" fontId="17" fillId="0" borderId="0" xfId="0" applyFont="1" applyAlignment="1">
      <alignment horizontal="left" vertical="center" wrapText="1"/>
    </xf>
    <xf numFmtId="0" fontId="9" fillId="0" borderId="0" xfId="0" applyFont="1" applyAlignment="1">
      <alignment horizontal="center"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cellXfs>
  <cellStyles count="14">
    <cellStyle name="Normal" xfId="0" builtinId="0"/>
    <cellStyle name="Percent" xfId="13" builtinId="5"/>
    <cellStyle name="SbxFieldLabel" xfId="1" xr:uid="{00000000-0005-0000-0000-000001000000}"/>
    <cellStyle name="SbxNormal" xfId="2" xr:uid="{00000000-0005-0000-0000-000002000000}"/>
    <cellStyle name="SbxNotApplicable" xfId="3" xr:uid="{00000000-0005-0000-0000-000003000000}"/>
    <cellStyle name="SbxNote" xfId="4" xr:uid="{00000000-0005-0000-0000-000004000000}"/>
    <cellStyle name="SbxSectionHeader" xfId="5" xr:uid="{00000000-0005-0000-0000-000005000000}"/>
    <cellStyle name="SbxSpacer" xfId="6" xr:uid="{00000000-0005-0000-0000-000006000000}"/>
    <cellStyle name="SbxStripe" xfId="7" xr:uid="{00000000-0005-0000-0000-000007000000}"/>
    <cellStyle name="SbxSubTitle" xfId="8" xr:uid="{00000000-0005-0000-0000-000008000000}"/>
    <cellStyle name="SbxTableHeader" xfId="9" xr:uid="{00000000-0005-0000-0000-000009000000}"/>
    <cellStyle name="SbxTitle" xfId="10" xr:uid="{00000000-0005-0000-0000-00000A000000}"/>
    <cellStyle name="SbxTotalsColumn" xfId="11" xr:uid="{00000000-0005-0000-0000-00000B000000}"/>
    <cellStyle name="SbxTotalsRow" xfId="12" xr:uid="{00000000-0005-0000-0000-00000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eetMetadata" Target="metadata.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ACB6-8580-4BD2-AD0D-92B284762B52}">
  <sheetPr>
    <pageSetUpPr fitToPage="1"/>
  </sheetPr>
  <dimension ref="A1:M25"/>
  <sheetViews>
    <sheetView tabSelected="1" topLeftCell="A2" workbookViewId="0">
      <selection activeCell="A3" sqref="A3:M25"/>
    </sheetView>
  </sheetViews>
  <sheetFormatPr defaultColWidth="8.85546875" defaultRowHeight="15"/>
  <cols>
    <col min="7" max="7" width="7" customWidth="1"/>
  </cols>
  <sheetData>
    <row r="1" spans="1:13" ht="101.1" customHeight="1">
      <c r="A1" s="33" t="e" vm="1">
        <v>#VALUE!</v>
      </c>
      <c r="B1" s="33"/>
      <c r="C1" s="33"/>
      <c r="D1" s="33"/>
      <c r="E1" s="33"/>
      <c r="F1" s="33"/>
      <c r="G1" s="33"/>
      <c r="H1" s="33"/>
      <c r="I1" s="33"/>
      <c r="J1" s="33"/>
      <c r="K1" s="33"/>
      <c r="L1" s="33"/>
      <c r="M1" s="33"/>
    </row>
    <row r="2" spans="1:13" ht="69.75" customHeight="1">
      <c r="A2" s="32" t="s">
        <v>0</v>
      </c>
      <c r="B2" s="25"/>
      <c r="C2" s="25"/>
      <c r="D2" s="25"/>
      <c r="E2" s="25"/>
      <c r="F2" s="25"/>
      <c r="G2" s="25"/>
      <c r="L2" s="34"/>
      <c r="M2" s="34"/>
    </row>
    <row r="3" spans="1:13" ht="14.45" customHeight="1">
      <c r="A3" s="35" t="s">
        <v>1</v>
      </c>
      <c r="B3" s="35"/>
      <c r="C3" s="35"/>
      <c r="D3" s="35"/>
      <c r="E3" s="35"/>
      <c r="F3" s="35"/>
      <c r="G3" s="35"/>
      <c r="H3" s="35"/>
      <c r="I3" s="35"/>
      <c r="J3" s="35"/>
      <c r="K3" s="35"/>
      <c r="L3" s="35"/>
      <c r="M3" s="35"/>
    </row>
    <row r="4" spans="1:13" ht="14.45" customHeight="1">
      <c r="A4" s="35"/>
      <c r="B4" s="35"/>
      <c r="C4" s="35"/>
      <c r="D4" s="35"/>
      <c r="E4" s="35"/>
      <c r="F4" s="35"/>
      <c r="G4" s="35"/>
      <c r="H4" s="35"/>
      <c r="I4" s="35"/>
      <c r="J4" s="35"/>
      <c r="K4" s="35"/>
      <c r="L4" s="35"/>
      <c r="M4" s="35"/>
    </row>
    <row r="5" spans="1:13" ht="14.45" customHeight="1">
      <c r="A5" s="35"/>
      <c r="B5" s="35"/>
      <c r="C5" s="35"/>
      <c r="D5" s="35"/>
      <c r="E5" s="35"/>
      <c r="F5" s="35"/>
      <c r="G5" s="35"/>
      <c r="H5" s="35"/>
      <c r="I5" s="35"/>
      <c r="J5" s="35"/>
      <c r="K5" s="35"/>
      <c r="L5" s="35"/>
      <c r="M5" s="35"/>
    </row>
    <row r="6" spans="1:13" ht="14.45" customHeight="1">
      <c r="A6" s="35"/>
      <c r="B6" s="35"/>
      <c r="C6" s="35"/>
      <c r="D6" s="35"/>
      <c r="E6" s="35"/>
      <c r="F6" s="35"/>
      <c r="G6" s="35"/>
      <c r="H6" s="35"/>
      <c r="I6" s="35"/>
      <c r="J6" s="35"/>
      <c r="K6" s="35"/>
      <c r="L6" s="35"/>
      <c r="M6" s="35"/>
    </row>
    <row r="7" spans="1:13" ht="14.45" customHeight="1">
      <c r="A7" s="35"/>
      <c r="B7" s="35"/>
      <c r="C7" s="35"/>
      <c r="D7" s="35"/>
      <c r="E7" s="35"/>
      <c r="F7" s="35"/>
      <c r="G7" s="35"/>
      <c r="H7" s="35"/>
      <c r="I7" s="35"/>
      <c r="J7" s="35"/>
      <c r="K7" s="35"/>
      <c r="L7" s="35"/>
      <c r="M7" s="35"/>
    </row>
    <row r="8" spans="1:13" ht="14.45" customHeight="1">
      <c r="A8" s="35"/>
      <c r="B8" s="35"/>
      <c r="C8" s="35"/>
      <c r="D8" s="35"/>
      <c r="E8" s="35"/>
      <c r="F8" s="35"/>
      <c r="G8" s="35"/>
      <c r="H8" s="35"/>
      <c r="I8" s="35"/>
      <c r="J8" s="35"/>
      <c r="K8" s="35"/>
      <c r="L8" s="35"/>
      <c r="M8" s="35"/>
    </row>
    <row r="9" spans="1:13" ht="14.45" customHeight="1">
      <c r="A9" s="35"/>
      <c r="B9" s="35"/>
      <c r="C9" s="35"/>
      <c r="D9" s="35"/>
      <c r="E9" s="35"/>
      <c r="F9" s="35"/>
      <c r="G9" s="35"/>
      <c r="H9" s="35"/>
      <c r="I9" s="35"/>
      <c r="J9" s="35"/>
      <c r="K9" s="35"/>
      <c r="L9" s="35"/>
      <c r="M9" s="35"/>
    </row>
    <row r="10" spans="1:13" ht="14.45" customHeight="1">
      <c r="A10" s="35"/>
      <c r="B10" s="35"/>
      <c r="C10" s="35"/>
      <c r="D10" s="35"/>
      <c r="E10" s="35"/>
      <c r="F10" s="35"/>
      <c r="G10" s="35"/>
      <c r="H10" s="35"/>
      <c r="I10" s="35"/>
      <c r="J10" s="35"/>
      <c r="K10" s="35"/>
      <c r="L10" s="35"/>
      <c r="M10" s="35"/>
    </row>
    <row r="11" spans="1:13" ht="14.45" customHeight="1">
      <c r="A11" s="35"/>
      <c r="B11" s="35"/>
      <c r="C11" s="35"/>
      <c r="D11" s="35"/>
      <c r="E11" s="35"/>
      <c r="F11" s="35"/>
      <c r="G11" s="35"/>
      <c r="H11" s="35"/>
      <c r="I11" s="35"/>
      <c r="J11" s="35"/>
      <c r="K11" s="35"/>
      <c r="L11" s="35"/>
      <c r="M11" s="35"/>
    </row>
    <row r="12" spans="1:13" ht="14.45" customHeight="1">
      <c r="A12" s="35"/>
      <c r="B12" s="35"/>
      <c r="C12" s="35"/>
      <c r="D12" s="35"/>
      <c r="E12" s="35"/>
      <c r="F12" s="35"/>
      <c r="G12" s="35"/>
      <c r="H12" s="35"/>
      <c r="I12" s="35"/>
      <c r="J12" s="35"/>
      <c r="K12" s="35"/>
      <c r="L12" s="35"/>
      <c r="M12" s="35"/>
    </row>
    <row r="13" spans="1:13" ht="14.45" customHeight="1">
      <c r="A13" s="35"/>
      <c r="B13" s="35"/>
      <c r="C13" s="35"/>
      <c r="D13" s="35"/>
      <c r="E13" s="35"/>
      <c r="F13" s="35"/>
      <c r="G13" s="35"/>
      <c r="H13" s="35"/>
      <c r="I13" s="35"/>
      <c r="J13" s="35"/>
      <c r="K13" s="35"/>
      <c r="L13" s="35"/>
      <c r="M13" s="35"/>
    </row>
    <row r="14" spans="1:13" ht="14.45" customHeight="1">
      <c r="A14" s="35"/>
      <c r="B14" s="35"/>
      <c r="C14" s="35"/>
      <c r="D14" s="35"/>
      <c r="E14" s="35"/>
      <c r="F14" s="35"/>
      <c r="G14" s="35"/>
      <c r="H14" s="35"/>
      <c r="I14" s="35"/>
      <c r="J14" s="35"/>
      <c r="K14" s="35"/>
      <c r="L14" s="35"/>
      <c r="M14" s="35"/>
    </row>
    <row r="15" spans="1:13" ht="14.45" customHeight="1">
      <c r="A15" s="35"/>
      <c r="B15" s="35"/>
      <c r="C15" s="35"/>
      <c r="D15" s="35"/>
      <c r="E15" s="35"/>
      <c r="F15" s="35"/>
      <c r="G15" s="35"/>
      <c r="H15" s="35"/>
      <c r="I15" s="35"/>
      <c r="J15" s="35"/>
      <c r="K15" s="35"/>
      <c r="L15" s="35"/>
      <c r="M15" s="35"/>
    </row>
    <row r="16" spans="1:13" ht="14.45" customHeight="1">
      <c r="A16" s="35"/>
      <c r="B16" s="35"/>
      <c r="C16" s="35"/>
      <c r="D16" s="35"/>
      <c r="E16" s="35"/>
      <c r="F16" s="35"/>
      <c r="G16" s="35"/>
      <c r="H16" s="35"/>
      <c r="I16" s="35"/>
      <c r="J16" s="35"/>
      <c r="K16" s="35"/>
      <c r="L16" s="35"/>
      <c r="M16" s="35"/>
    </row>
    <row r="17" spans="1:13" ht="14.45" customHeight="1">
      <c r="A17" s="35"/>
      <c r="B17" s="35"/>
      <c r="C17" s="35"/>
      <c r="D17" s="35"/>
      <c r="E17" s="35"/>
      <c r="F17" s="35"/>
      <c r="G17" s="35"/>
      <c r="H17" s="35"/>
      <c r="I17" s="35"/>
      <c r="J17" s="35"/>
      <c r="K17" s="35"/>
      <c r="L17" s="35"/>
      <c r="M17" s="35"/>
    </row>
    <row r="18" spans="1:13" ht="12" customHeight="1">
      <c r="A18" s="35"/>
      <c r="B18" s="35"/>
      <c r="C18" s="35"/>
      <c r="D18" s="35"/>
      <c r="E18" s="35"/>
      <c r="F18" s="35"/>
      <c r="G18" s="35"/>
      <c r="H18" s="35"/>
      <c r="I18" s="35"/>
      <c r="J18" s="35"/>
      <c r="K18" s="35"/>
      <c r="L18" s="35"/>
      <c r="M18" s="35"/>
    </row>
    <row r="19" spans="1:13" ht="14.45" customHeight="1">
      <c r="A19" s="35"/>
      <c r="B19" s="35"/>
      <c r="C19" s="35"/>
      <c r="D19" s="35"/>
      <c r="E19" s="35"/>
      <c r="F19" s="35"/>
      <c r="G19" s="35"/>
      <c r="H19" s="35"/>
      <c r="I19" s="35"/>
      <c r="J19" s="35"/>
      <c r="K19" s="35"/>
      <c r="L19" s="35"/>
      <c r="M19" s="35"/>
    </row>
    <row r="20" spans="1:13" ht="14.45" customHeight="1">
      <c r="A20" s="35"/>
      <c r="B20" s="35"/>
      <c r="C20" s="35"/>
      <c r="D20" s="35"/>
      <c r="E20" s="35"/>
      <c r="F20" s="35"/>
      <c r="G20" s="35"/>
      <c r="H20" s="35"/>
      <c r="I20" s="35"/>
      <c r="J20" s="35"/>
      <c r="K20" s="35"/>
      <c r="L20" s="35"/>
      <c r="M20" s="35"/>
    </row>
    <row r="21" spans="1:13" ht="14.45" customHeight="1">
      <c r="A21" s="35"/>
      <c r="B21" s="35"/>
      <c r="C21" s="35"/>
      <c r="D21" s="35"/>
      <c r="E21" s="35"/>
      <c r="F21" s="35"/>
      <c r="G21" s="35"/>
      <c r="H21" s="35"/>
      <c r="I21" s="35"/>
      <c r="J21" s="35"/>
      <c r="K21" s="35"/>
      <c r="L21" s="35"/>
      <c r="M21" s="35"/>
    </row>
    <row r="22" spans="1:13" ht="14.45" customHeight="1">
      <c r="A22" s="35"/>
      <c r="B22" s="35"/>
      <c r="C22" s="35"/>
      <c r="D22" s="35"/>
      <c r="E22" s="35"/>
      <c r="F22" s="35"/>
      <c r="G22" s="35"/>
      <c r="H22" s="35"/>
      <c r="I22" s="35"/>
      <c r="J22" s="35"/>
      <c r="K22" s="35"/>
      <c r="L22" s="35"/>
      <c r="M22" s="35"/>
    </row>
    <row r="23" spans="1:13" ht="14.45" customHeight="1">
      <c r="A23" s="35"/>
      <c r="B23" s="35"/>
      <c r="C23" s="35"/>
      <c r="D23" s="35"/>
      <c r="E23" s="35"/>
      <c r="F23" s="35"/>
      <c r="G23" s="35"/>
      <c r="H23" s="35"/>
      <c r="I23" s="35"/>
      <c r="J23" s="35"/>
      <c r="K23" s="35"/>
      <c r="L23" s="35"/>
      <c r="M23" s="35"/>
    </row>
    <row r="24" spans="1:13" ht="14.45" customHeight="1">
      <c r="A24" s="35"/>
      <c r="B24" s="35"/>
      <c r="C24" s="35"/>
      <c r="D24" s="35"/>
      <c r="E24" s="35"/>
      <c r="F24" s="35"/>
      <c r="G24" s="35"/>
      <c r="H24" s="35"/>
      <c r="I24" s="35"/>
      <c r="J24" s="35"/>
      <c r="K24" s="35"/>
      <c r="L24" s="35"/>
      <c r="M24" s="35"/>
    </row>
    <row r="25" spans="1:13" ht="14.45" customHeight="1">
      <c r="A25" s="35"/>
      <c r="B25" s="35"/>
      <c r="C25" s="35"/>
      <c r="D25" s="35"/>
      <c r="E25" s="35"/>
      <c r="F25" s="35"/>
      <c r="G25" s="35"/>
      <c r="H25" s="35"/>
      <c r="I25" s="35"/>
      <c r="J25" s="35"/>
      <c r="K25" s="35"/>
      <c r="L25" s="35"/>
      <c r="M25" s="35"/>
    </row>
  </sheetData>
  <mergeCells count="3">
    <mergeCell ref="A1:M1"/>
    <mergeCell ref="L2:M2"/>
    <mergeCell ref="A3:M25"/>
  </mergeCells>
  <printOptions horizontalCentered="1" verticalCentered="1"/>
  <pageMargins left="0" right="0" top="0.75" bottom="0.75" header="0.3" footer="0.3"/>
  <pageSetup orientation="landscape" horizontalDpi="1200" verticalDpi="1200" r:id="rId1"/>
  <headerFooter>
    <oddFooter>Page &amp;P&amp;R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2"/>
  <sheetViews>
    <sheetView topLeftCell="A2" zoomScaleNormal="100" workbookViewId="0">
      <selection activeCell="G22" sqref="G22"/>
    </sheetView>
  </sheetViews>
  <sheetFormatPr defaultColWidth="10.140625" defaultRowHeight="15"/>
  <cols>
    <col min="1" max="1" width="30" customWidth="1"/>
    <col min="2" max="2" width="20" style="11" customWidth="1"/>
    <col min="3" max="3" width="30" style="11" customWidth="1"/>
    <col min="4" max="4" width="20" style="11" customWidth="1"/>
    <col min="5" max="5" width="30" style="11" customWidth="1"/>
    <col min="6" max="6" width="20" style="11" customWidth="1"/>
    <col min="7" max="7" width="25" style="12" customWidth="1"/>
    <col min="8" max="8" width="20" style="13" customWidth="1"/>
  </cols>
  <sheetData>
    <row r="1" spans="1:8" s="1" customFormat="1" ht="50.25" customHeight="1">
      <c r="A1" s="36" t="s">
        <v>2</v>
      </c>
      <c r="B1" s="36"/>
      <c r="C1" s="36"/>
    </row>
    <row r="2" spans="1:8" s="28" customFormat="1" ht="109.5" customHeight="1">
      <c r="A2" s="37" t="s">
        <v>3</v>
      </c>
      <c r="B2" s="37"/>
      <c r="C2" s="37"/>
    </row>
    <row r="4" spans="1:8" s="3" customFormat="1">
      <c r="A4" s="3" t="s">
        <v>4</v>
      </c>
      <c r="B4" s="4" t="s">
        <v>5</v>
      </c>
      <c r="C4" s="4" t="s">
        <v>6</v>
      </c>
      <c r="D4" s="4" t="s">
        <v>7</v>
      </c>
      <c r="E4" s="4" t="s">
        <v>8</v>
      </c>
      <c r="F4" s="4" t="s">
        <v>9</v>
      </c>
      <c r="G4" s="5" t="s">
        <v>10</v>
      </c>
      <c r="H4" s="6" t="s">
        <v>11</v>
      </c>
    </row>
    <row r="6" spans="1:8">
      <c r="A6" s="14" t="s">
        <v>12</v>
      </c>
    </row>
    <row r="7" spans="1:8">
      <c r="A7" t="s">
        <v>12</v>
      </c>
      <c r="B7" s="11">
        <v>204143508</v>
      </c>
      <c r="C7" s="11">
        <v>212557</v>
      </c>
      <c r="D7" s="11">
        <v>6730</v>
      </c>
      <c r="E7" s="11">
        <v>3564035</v>
      </c>
      <c r="F7" s="11">
        <v>3783322</v>
      </c>
      <c r="G7" s="12">
        <v>3.5766990975611347E-2</v>
      </c>
      <c r="H7" s="13">
        <v>96389.7</v>
      </c>
    </row>
    <row r="8" spans="1:8" s="15" customFormat="1">
      <c r="A8" s="16" t="s">
        <v>13</v>
      </c>
      <c r="F8" s="17">
        <f>SUM(F7)</f>
        <v>3783322</v>
      </c>
      <c r="G8" s="18">
        <f>SUM(G7)</f>
        <v>3.5766990975611347E-2</v>
      </c>
      <c r="H8" s="7">
        <f>SUM(H7)</f>
        <v>96389.7</v>
      </c>
    </row>
    <row r="10" spans="1:8">
      <c r="A10" s="14" t="s">
        <v>14</v>
      </c>
    </row>
    <row r="11" spans="1:8">
      <c r="A11" t="s">
        <v>15</v>
      </c>
      <c r="B11" s="11">
        <v>4000000</v>
      </c>
      <c r="C11" s="11">
        <v>26282558</v>
      </c>
      <c r="D11" s="11">
        <v>15065</v>
      </c>
      <c r="E11" s="11">
        <v>0</v>
      </c>
      <c r="F11" s="11">
        <v>26297623</v>
      </c>
      <c r="G11" s="12">
        <v>0.24861400761580149</v>
      </c>
      <c r="H11" s="13">
        <v>10263704.460000001</v>
      </c>
    </row>
    <row r="12" spans="1:8">
      <c r="A12" t="s">
        <v>16</v>
      </c>
      <c r="B12" s="11">
        <v>4000001</v>
      </c>
      <c r="C12" s="11">
        <v>52437323</v>
      </c>
      <c r="D12" s="11">
        <v>28589</v>
      </c>
      <c r="E12" s="11">
        <v>0</v>
      </c>
      <c r="F12" s="11">
        <v>52465912</v>
      </c>
      <c r="G12" s="12">
        <v>0.49600530989199948</v>
      </c>
      <c r="H12" s="13">
        <v>20921331.359999999</v>
      </c>
    </row>
    <row r="13" spans="1:8">
      <c r="A13" t="s">
        <v>17</v>
      </c>
      <c r="B13" s="11">
        <v>4000002</v>
      </c>
      <c r="C13" s="11">
        <v>7737427</v>
      </c>
      <c r="D13" s="11">
        <v>41406</v>
      </c>
      <c r="E13" s="11">
        <v>0</v>
      </c>
      <c r="F13" s="11">
        <v>7778833</v>
      </c>
      <c r="G13" s="12">
        <v>7.3539986739639865E-2</v>
      </c>
      <c r="H13" s="13">
        <v>5097935.29</v>
      </c>
    </row>
    <row r="14" spans="1:8">
      <c r="A14" t="s">
        <v>18</v>
      </c>
      <c r="B14" s="11">
        <v>4000003</v>
      </c>
      <c r="C14" s="11">
        <v>15401889</v>
      </c>
      <c r="D14" s="11">
        <v>49337</v>
      </c>
      <c r="E14" s="11">
        <v>0</v>
      </c>
      <c r="F14" s="11">
        <v>15451226</v>
      </c>
      <c r="G14" s="12">
        <v>0.14607370477694781</v>
      </c>
      <c r="H14" s="13">
        <v>23059771.48</v>
      </c>
    </row>
    <row r="15" spans="1:8" s="15" customFormat="1" ht="15.75" thickBot="1">
      <c r="A15" s="16" t="s">
        <v>19</v>
      </c>
      <c r="F15" s="17">
        <f>SUM(F11:F14)</f>
        <v>101993594</v>
      </c>
      <c r="G15" s="18">
        <f>SUM(G11:G14)</f>
        <v>0.96423300902438869</v>
      </c>
      <c r="H15" s="7">
        <f>SUM(H11:H14)</f>
        <v>59342742.590000004</v>
      </c>
    </row>
    <row r="17" spans="1:8" s="14" customFormat="1">
      <c r="A17" s="14" t="s">
        <v>20</v>
      </c>
      <c r="G17" s="24"/>
    </row>
    <row r="18" spans="1:8">
      <c r="A18" t="s">
        <v>21</v>
      </c>
      <c r="H18" s="13">
        <v>390396.83</v>
      </c>
    </row>
    <row r="19" spans="1:8">
      <c r="A19" t="s">
        <v>22</v>
      </c>
      <c r="H19" s="13">
        <v>1543561.05</v>
      </c>
    </row>
    <row r="20" spans="1:8" s="15" customFormat="1">
      <c r="A20" s="15" t="s">
        <v>23</v>
      </c>
      <c r="H20" s="7">
        <f>SUM(H18:H19)</f>
        <v>1933957.8800000001</v>
      </c>
    </row>
    <row r="22" spans="1:8" s="15" customFormat="1">
      <c r="A22" s="15" t="s">
        <v>24</v>
      </c>
      <c r="F22" s="17">
        <f>SUM(F8,F15)</f>
        <v>105776916</v>
      </c>
      <c r="G22" s="18">
        <f>SUM(G8,G15)</f>
        <v>1</v>
      </c>
      <c r="H22" s="7">
        <f>SUM(H8,H15,H20)</f>
        <v>61373090.170000009</v>
      </c>
    </row>
  </sheetData>
  <mergeCells count="2">
    <mergeCell ref="A1:C1"/>
    <mergeCell ref="A2:C2"/>
  </mergeCells>
  <pageMargins left="0.25" right="3.7499999999999999E-2" top="1.05277777777778" bottom="1.05416666666667" header="0.78749999999999998" footer="0.78749999999999998"/>
  <pageSetup scale="70" firstPageNumber="0" orientation="landscape" horizontalDpi="300" verticalDpi="300" r:id="rId1"/>
  <headerFooter>
    <oddHeader>&amp;C&amp;"Times New Roman,Regular"&amp;12 &amp;A</oddHeader>
    <oddFooter>Page &amp;P&amp;R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40"/>
  <sheetViews>
    <sheetView topLeftCell="E2" zoomScaleNormal="100" workbookViewId="0">
      <selection activeCell="K6" sqref="K6"/>
    </sheetView>
  </sheetViews>
  <sheetFormatPr defaultColWidth="10.140625" defaultRowHeight="15"/>
  <cols>
    <col min="1" max="1" width="30" customWidth="1"/>
    <col min="2" max="5" width="20" style="11" customWidth="1"/>
    <col min="6" max="6" width="14.42578125" style="11" customWidth="1"/>
    <col min="7" max="7" width="15" style="12" customWidth="1"/>
    <col min="8" max="11" width="20" style="11" customWidth="1"/>
    <col min="12" max="12" width="15" style="12" customWidth="1"/>
    <col min="13" max="16" width="20" style="11" customWidth="1"/>
    <col min="17" max="17" width="15" style="12" customWidth="1"/>
    <col min="18" max="21" width="20" style="11" customWidth="1"/>
    <col min="22" max="22" width="15" style="12" customWidth="1"/>
    <col min="23" max="26" width="20" style="11" customWidth="1"/>
    <col min="27" max="27" width="15" style="12" customWidth="1"/>
    <col min="28" max="28" width="20" style="11" customWidth="1"/>
    <col min="29" max="29" width="15" style="12" customWidth="1"/>
    <col min="30" max="31" width="20" style="13" customWidth="1"/>
  </cols>
  <sheetData>
    <row r="1" spans="1:31" s="1" customFormat="1" ht="49.5" customHeight="1">
      <c r="A1" s="36" t="s">
        <v>25</v>
      </c>
      <c r="B1" s="36"/>
      <c r="C1" s="36"/>
      <c r="D1" s="36"/>
      <c r="E1" s="30"/>
    </row>
    <row r="2" spans="1:31" s="2" customFormat="1" ht="179.25" customHeight="1">
      <c r="A2" s="38" t="s">
        <v>26</v>
      </c>
      <c r="B2" s="37"/>
      <c r="C2" s="37"/>
      <c r="D2" s="37"/>
      <c r="E2" s="31"/>
      <c r="F2" s="29"/>
      <c r="G2" s="29"/>
    </row>
    <row r="4" spans="1:31" s="3" customFormat="1">
      <c r="A4" s="3" t="s">
        <v>27</v>
      </c>
      <c r="B4" s="4" t="s">
        <v>12</v>
      </c>
      <c r="C4" s="4" t="s">
        <v>28</v>
      </c>
      <c r="D4" s="4" t="s">
        <v>29</v>
      </c>
      <c r="E4" s="4" t="s">
        <v>30</v>
      </c>
      <c r="F4" s="4" t="s">
        <v>31</v>
      </c>
      <c r="G4" s="5" t="s">
        <v>32</v>
      </c>
      <c r="H4" s="4" t="s">
        <v>15</v>
      </c>
      <c r="I4" s="4" t="s">
        <v>33</v>
      </c>
      <c r="J4" s="4" t="s">
        <v>34</v>
      </c>
      <c r="K4" s="4" t="s">
        <v>35</v>
      </c>
      <c r="L4" s="5" t="s">
        <v>36</v>
      </c>
      <c r="M4" s="4" t="s">
        <v>16</v>
      </c>
      <c r="N4" s="4" t="s">
        <v>37</v>
      </c>
      <c r="O4" s="4" t="s">
        <v>38</v>
      </c>
      <c r="P4" s="4" t="s">
        <v>39</v>
      </c>
      <c r="Q4" s="5" t="s">
        <v>40</v>
      </c>
      <c r="R4" s="4" t="s">
        <v>17</v>
      </c>
      <c r="S4" s="4" t="s">
        <v>41</v>
      </c>
      <c r="T4" s="4" t="s">
        <v>42</v>
      </c>
      <c r="U4" s="4" t="s">
        <v>43</v>
      </c>
      <c r="V4" s="5" t="s">
        <v>44</v>
      </c>
      <c r="W4" s="4" t="s">
        <v>18</v>
      </c>
      <c r="X4" s="4" t="s">
        <v>45</v>
      </c>
      <c r="Y4" s="4" t="s">
        <v>46</v>
      </c>
      <c r="Z4" s="4" t="s">
        <v>47</v>
      </c>
      <c r="AA4" s="5" t="s">
        <v>48</v>
      </c>
      <c r="AB4" s="4" t="s">
        <v>49</v>
      </c>
      <c r="AC4" s="5" t="s">
        <v>50</v>
      </c>
      <c r="AD4" s="6" t="s">
        <v>51</v>
      </c>
      <c r="AE4" s="6" t="s">
        <v>52</v>
      </c>
    </row>
    <row r="5" spans="1:31">
      <c r="A5" s="14" t="s">
        <v>53</v>
      </c>
    </row>
    <row r="6" spans="1:31">
      <c r="A6" t="s">
        <v>54</v>
      </c>
      <c r="B6" s="11">
        <v>1916</v>
      </c>
      <c r="C6" s="11">
        <v>118490</v>
      </c>
      <c r="D6" s="11">
        <v>0</v>
      </c>
      <c r="E6" s="11">
        <v>0</v>
      </c>
      <c r="F6" s="11">
        <f>SUM(B6:E6)</f>
        <v>120406</v>
      </c>
      <c r="G6" s="12">
        <f>$F6/$F$39</f>
        <v>3.1825469785548254E-2</v>
      </c>
      <c r="H6" s="11">
        <v>9421871</v>
      </c>
      <c r="I6" s="11">
        <v>0</v>
      </c>
      <c r="J6" s="11">
        <v>9421871</v>
      </c>
      <c r="K6" s="11">
        <f>SUM(H6:J6)</f>
        <v>18843742</v>
      </c>
      <c r="L6" s="12">
        <f>$K6/$K$39</f>
        <v>0.35827842691333739</v>
      </c>
      <c r="M6" s="11">
        <v>28047381</v>
      </c>
      <c r="N6" s="11">
        <v>28589</v>
      </c>
      <c r="O6" s="11">
        <v>28075970</v>
      </c>
      <c r="P6" s="11">
        <f>SUM(M6:O6)</f>
        <v>56151940</v>
      </c>
      <c r="Q6" s="12">
        <f>$P6/$P$39</f>
        <v>0.53512783690865795</v>
      </c>
      <c r="R6" s="11">
        <v>7737427</v>
      </c>
      <c r="S6" s="11">
        <v>0</v>
      </c>
      <c r="T6" s="11">
        <v>7737427</v>
      </c>
      <c r="U6" s="11">
        <f>SUM(R6:T6)</f>
        <v>15474854</v>
      </c>
      <c r="V6" s="12">
        <f>$U6/$U$39</f>
        <v>0.99467709359488754</v>
      </c>
      <c r="W6" s="11">
        <v>4435763</v>
      </c>
      <c r="X6" s="11">
        <v>0</v>
      </c>
      <c r="Y6" s="11">
        <v>4435763</v>
      </c>
      <c r="Z6" s="11">
        <f>SUM(W6:Y6)</f>
        <v>8871526</v>
      </c>
      <c r="AA6" s="12">
        <f>$Z6/$Z$39</f>
        <v>0.2870816205781988</v>
      </c>
      <c r="AB6" s="11">
        <f>SUM(J6,O6,T6,Y6)</f>
        <v>49671031</v>
      </c>
      <c r="AC6" s="12">
        <f>$AB6/$AB$39</f>
        <v>0.47043191724237265</v>
      </c>
      <c r="AD6" s="13">
        <v>1543561.05</v>
      </c>
    </row>
    <row r="7" spans="1:31">
      <c r="A7" t="s">
        <v>55</v>
      </c>
      <c r="B7" s="11">
        <v>0</v>
      </c>
      <c r="C7" s="11">
        <v>0</v>
      </c>
      <c r="D7" s="11">
        <v>0</v>
      </c>
      <c r="E7" s="11">
        <v>0</v>
      </c>
      <c r="F7" s="11">
        <f t="shared" ref="F7:F37" si="0">SUM(B7:E7)</f>
        <v>0</v>
      </c>
      <c r="G7" s="12">
        <f t="shared" ref="G7:G9" si="1">$F7/$F$39</f>
        <v>0</v>
      </c>
      <c r="H7" s="11">
        <v>0</v>
      </c>
      <c r="I7" s="11">
        <v>0</v>
      </c>
      <c r="J7" s="11">
        <v>0</v>
      </c>
      <c r="K7" s="11">
        <f t="shared" ref="K7:K37" si="2">SUM(H7:J7)</f>
        <v>0</v>
      </c>
      <c r="L7" s="12">
        <f t="shared" ref="L7:L37" si="3">$K7/$K$39</f>
        <v>0</v>
      </c>
      <c r="M7" s="11">
        <v>20562924</v>
      </c>
      <c r="N7" s="11">
        <v>0</v>
      </c>
      <c r="O7" s="11">
        <v>20562924</v>
      </c>
      <c r="P7" s="11">
        <f t="shared" ref="P7:P10" si="4">SUM(M7:O7)</f>
        <v>41125848</v>
      </c>
      <c r="Q7" s="12">
        <f>$P7/$P$39</f>
        <v>0.39192922063377073</v>
      </c>
      <c r="R7" s="11">
        <v>0</v>
      </c>
      <c r="S7" s="11">
        <v>6427</v>
      </c>
      <c r="T7" s="11">
        <v>6427</v>
      </c>
      <c r="U7" s="11">
        <f t="shared" ref="U7:U37" si="5">SUM(R7:T7)</f>
        <v>12854</v>
      </c>
      <c r="V7" s="12">
        <f t="shared" ref="V7:V37" si="6">$U7/$U$39</f>
        <v>8.2621647745876529E-4</v>
      </c>
      <c r="W7" s="11">
        <v>0</v>
      </c>
      <c r="X7" s="11">
        <v>4662</v>
      </c>
      <c r="Y7" s="11">
        <v>4662</v>
      </c>
      <c r="Z7" s="11">
        <f t="shared" ref="Z7:Z37" si="7">SUM(W7:Y7)</f>
        <v>9324</v>
      </c>
      <c r="AA7" s="12">
        <f t="shared" ref="AA7:AA37" si="8">$Z7/$Z$39</f>
        <v>3.0172363021549231E-4</v>
      </c>
      <c r="AB7" s="11">
        <f t="shared" ref="AB7:AB10" si="9">SUM(J7,O7,T7,Y7)</f>
        <v>20574013</v>
      </c>
      <c r="AC7" s="12">
        <f>$AB7/$AB$39</f>
        <v>0.19485547583982099</v>
      </c>
      <c r="AE7" s="13">
        <v>183387.39</v>
      </c>
    </row>
    <row r="8" spans="1:31">
      <c r="A8" t="s">
        <v>56</v>
      </c>
      <c r="B8" s="11">
        <v>0</v>
      </c>
      <c r="C8" s="11">
        <v>0</v>
      </c>
      <c r="D8" s="11">
        <v>0</v>
      </c>
      <c r="E8" s="11">
        <v>732</v>
      </c>
      <c r="F8" s="11">
        <f t="shared" si="0"/>
        <v>732</v>
      </c>
      <c r="G8" s="12">
        <f t="shared" si="1"/>
        <v>1.9348075580138301E-4</v>
      </c>
      <c r="H8" s="11">
        <v>16860687</v>
      </c>
      <c r="I8" s="11">
        <v>15065</v>
      </c>
      <c r="J8" s="11">
        <v>16875752</v>
      </c>
      <c r="K8" s="11">
        <f t="shared" si="2"/>
        <v>33751504</v>
      </c>
      <c r="L8" s="12">
        <f t="shared" si="3"/>
        <v>0.64172157308666267</v>
      </c>
      <c r="M8" s="11">
        <v>0</v>
      </c>
      <c r="N8" s="11">
        <v>0</v>
      </c>
      <c r="O8" s="11">
        <v>0</v>
      </c>
      <c r="P8" s="11">
        <f t="shared" si="4"/>
        <v>0</v>
      </c>
      <c r="Q8" s="12">
        <f t="shared" ref="Q8:Q37" si="10">$P8/$P$39</f>
        <v>0</v>
      </c>
      <c r="R8" s="11">
        <v>0</v>
      </c>
      <c r="S8" s="11">
        <v>0</v>
      </c>
      <c r="T8" s="11">
        <v>0</v>
      </c>
      <c r="U8" s="11">
        <f t="shared" si="5"/>
        <v>0</v>
      </c>
      <c r="V8" s="12">
        <f t="shared" si="6"/>
        <v>0</v>
      </c>
      <c r="W8" s="11">
        <v>0</v>
      </c>
      <c r="X8" s="11">
        <v>15888</v>
      </c>
      <c r="Y8" s="11">
        <v>15888</v>
      </c>
      <c r="Z8" s="11">
        <f t="shared" si="7"/>
        <v>31776</v>
      </c>
      <c r="AA8" s="12">
        <f t="shared" si="8"/>
        <v>1.0282679186751913E-3</v>
      </c>
      <c r="AB8" s="11">
        <f t="shared" si="9"/>
        <v>16891640</v>
      </c>
      <c r="AC8" s="12">
        <f>$AB8/$AB$39</f>
        <v>0.15997990036824386</v>
      </c>
    </row>
    <row r="9" spans="1:31">
      <c r="A9" t="s">
        <v>57</v>
      </c>
      <c r="B9" s="11">
        <v>0</v>
      </c>
      <c r="C9" s="11">
        <v>0</v>
      </c>
      <c r="D9" s="11">
        <v>0</v>
      </c>
      <c r="E9" s="11">
        <v>0</v>
      </c>
      <c r="F9" s="11">
        <f t="shared" si="0"/>
        <v>0</v>
      </c>
      <c r="G9" s="12">
        <f t="shared" si="1"/>
        <v>0</v>
      </c>
      <c r="H9" s="11">
        <v>0</v>
      </c>
      <c r="I9" s="11">
        <v>0</v>
      </c>
      <c r="J9" s="11">
        <v>0</v>
      </c>
      <c r="K9" s="11">
        <f t="shared" si="2"/>
        <v>0</v>
      </c>
      <c r="L9" s="12">
        <f t="shared" si="3"/>
        <v>0</v>
      </c>
      <c r="M9" s="11">
        <v>3827018</v>
      </c>
      <c r="N9" s="11">
        <v>0</v>
      </c>
      <c r="O9" s="11">
        <v>3827018</v>
      </c>
      <c r="P9" s="11">
        <f t="shared" si="4"/>
        <v>7654036</v>
      </c>
      <c r="Q9" s="12">
        <f t="shared" si="10"/>
        <v>7.2942942457571311E-2</v>
      </c>
      <c r="R9" s="11">
        <v>0</v>
      </c>
      <c r="S9" s="11">
        <v>0</v>
      </c>
      <c r="T9" s="11">
        <v>0</v>
      </c>
      <c r="U9" s="11">
        <f t="shared" si="5"/>
        <v>0</v>
      </c>
      <c r="V9" s="12">
        <f t="shared" si="6"/>
        <v>0</v>
      </c>
      <c r="W9" s="11">
        <v>9476546</v>
      </c>
      <c r="X9" s="11">
        <v>0</v>
      </c>
      <c r="Y9" s="11">
        <v>9476546</v>
      </c>
      <c r="Z9" s="11">
        <f t="shared" si="7"/>
        <v>18953092</v>
      </c>
      <c r="AA9" s="12">
        <f t="shared" si="8"/>
        <v>0.6133200045096745</v>
      </c>
      <c r="AB9" s="11">
        <f t="shared" si="9"/>
        <v>13303564</v>
      </c>
      <c r="AC9" s="12">
        <f t="shared" ref="AC9:AC37" si="11">$AB9/$AB$39</f>
        <v>0.12599740719447938</v>
      </c>
      <c r="AE9" s="13">
        <v>67570.210000000006</v>
      </c>
    </row>
    <row r="10" spans="1:31">
      <c r="A10" t="s">
        <v>58</v>
      </c>
      <c r="B10" s="11">
        <v>0</v>
      </c>
      <c r="C10" s="11">
        <v>0</v>
      </c>
      <c r="D10" s="11">
        <v>0</v>
      </c>
      <c r="E10" s="11">
        <v>0</v>
      </c>
      <c r="F10" s="11">
        <f t="shared" si="0"/>
        <v>0</v>
      </c>
      <c r="G10" s="12">
        <f>$F10/$F$39</f>
        <v>0</v>
      </c>
      <c r="H10" s="11">
        <v>0</v>
      </c>
      <c r="I10" s="11">
        <v>0</v>
      </c>
      <c r="J10" s="11">
        <v>0</v>
      </c>
      <c r="K10" s="11">
        <f t="shared" si="2"/>
        <v>0</v>
      </c>
      <c r="L10" s="12">
        <f t="shared" si="3"/>
        <v>0</v>
      </c>
      <c r="M10" s="11">
        <v>0</v>
      </c>
      <c r="N10" s="11">
        <v>0</v>
      </c>
      <c r="P10" s="11">
        <f t="shared" si="4"/>
        <v>0</v>
      </c>
      <c r="Q10" s="12">
        <f t="shared" si="10"/>
        <v>0</v>
      </c>
      <c r="R10" s="11">
        <v>0</v>
      </c>
      <c r="S10" s="11">
        <v>0</v>
      </c>
      <c r="T10" s="11">
        <v>0</v>
      </c>
      <c r="U10" s="11">
        <f t="shared" si="5"/>
        <v>0</v>
      </c>
      <c r="V10" s="12">
        <f t="shared" si="6"/>
        <v>0</v>
      </c>
      <c r="W10" s="11">
        <v>1489580</v>
      </c>
      <c r="X10" s="11">
        <v>0</v>
      </c>
      <c r="Y10" s="11">
        <v>1489580</v>
      </c>
      <c r="Z10" s="11">
        <f t="shared" si="7"/>
        <v>2979160</v>
      </c>
      <c r="AA10" s="12">
        <f t="shared" si="8"/>
        <v>9.6405294958471263E-2</v>
      </c>
      <c r="AB10" s="11">
        <f t="shared" si="9"/>
        <v>1489580</v>
      </c>
      <c r="AC10" s="12">
        <f t="shared" si="11"/>
        <v>1.4107739686053496E-2</v>
      </c>
      <c r="AE10" s="13">
        <v>139439.23000000001</v>
      </c>
    </row>
    <row r="12" spans="1:31">
      <c r="A12" s="14" t="s">
        <v>59</v>
      </c>
    </row>
    <row r="13" spans="1:31">
      <c r="A13" t="s">
        <v>60</v>
      </c>
      <c r="B13" s="11">
        <v>15304</v>
      </c>
      <c r="C13" s="11">
        <v>132682</v>
      </c>
      <c r="D13" s="11">
        <v>0</v>
      </c>
      <c r="E13" s="11">
        <v>0</v>
      </c>
      <c r="F13" s="11">
        <f t="shared" si="0"/>
        <v>147986</v>
      </c>
      <c r="G13" s="12">
        <f t="shared" ref="G13:G37" si="12">$F13/$F$39</f>
        <v>3.911535946451293E-2</v>
      </c>
      <c r="H13" s="11">
        <v>0</v>
      </c>
      <c r="I13" s="11">
        <v>0</v>
      </c>
      <c r="J13" s="11">
        <v>0</v>
      </c>
      <c r="K13" s="11">
        <f t="shared" si="2"/>
        <v>0</v>
      </c>
      <c r="L13" s="12">
        <f t="shared" si="3"/>
        <v>0</v>
      </c>
      <c r="M13" s="11">
        <v>0</v>
      </c>
      <c r="N13" s="11">
        <v>0</v>
      </c>
      <c r="O13" s="11">
        <v>0</v>
      </c>
      <c r="P13" s="11">
        <v>0</v>
      </c>
      <c r="Q13" s="12">
        <f t="shared" si="10"/>
        <v>0</v>
      </c>
      <c r="R13" s="11">
        <v>0</v>
      </c>
      <c r="S13" s="11">
        <v>0</v>
      </c>
      <c r="T13" s="11">
        <v>0</v>
      </c>
      <c r="U13" s="11">
        <f t="shared" si="5"/>
        <v>0</v>
      </c>
      <c r="V13" s="12">
        <f t="shared" si="6"/>
        <v>0</v>
      </c>
      <c r="W13" s="11">
        <v>0</v>
      </c>
      <c r="X13" s="11">
        <v>0</v>
      </c>
      <c r="Y13" s="11">
        <v>0</v>
      </c>
      <c r="Z13" s="11">
        <f t="shared" si="7"/>
        <v>0</v>
      </c>
      <c r="AA13" s="12">
        <f t="shared" si="8"/>
        <v>0</v>
      </c>
      <c r="AB13" s="11">
        <f>IF(SUM(J13,O13,T13,Y13) = 0, F13,0)</f>
        <v>147986</v>
      </c>
      <c r="AC13" s="12">
        <f>$AB13/$AB$39</f>
        <v>1.4015682039100368E-3</v>
      </c>
    </row>
    <row r="14" spans="1:31">
      <c r="A14" t="s">
        <v>61</v>
      </c>
      <c r="B14" s="11">
        <v>9698</v>
      </c>
      <c r="C14" s="11">
        <v>124022</v>
      </c>
      <c r="D14" s="11">
        <v>0</v>
      </c>
      <c r="E14" s="11">
        <v>0</v>
      </c>
      <c r="F14" s="11">
        <f t="shared" si="0"/>
        <v>133720</v>
      </c>
      <c r="G14" s="12">
        <f t="shared" si="12"/>
        <v>3.5344599270165214E-2</v>
      </c>
      <c r="H14" s="11">
        <v>0</v>
      </c>
      <c r="I14" s="11">
        <v>0</v>
      </c>
      <c r="J14" s="11">
        <v>0</v>
      </c>
      <c r="K14" s="11">
        <f t="shared" si="2"/>
        <v>0</v>
      </c>
      <c r="L14" s="12">
        <f t="shared" si="3"/>
        <v>0</v>
      </c>
      <c r="M14" s="11">
        <v>0</v>
      </c>
      <c r="N14" s="11">
        <v>0</v>
      </c>
      <c r="O14" s="11">
        <v>0</v>
      </c>
      <c r="P14" s="11">
        <v>0</v>
      </c>
      <c r="Q14" s="12">
        <f t="shared" si="10"/>
        <v>0</v>
      </c>
      <c r="R14" s="11">
        <v>0</v>
      </c>
      <c r="S14" s="11">
        <v>0</v>
      </c>
      <c r="T14" s="11">
        <v>0</v>
      </c>
      <c r="U14" s="11">
        <f t="shared" si="5"/>
        <v>0</v>
      </c>
      <c r="V14" s="12">
        <f t="shared" si="6"/>
        <v>0</v>
      </c>
      <c r="W14" s="11">
        <v>0</v>
      </c>
      <c r="X14" s="11">
        <v>0</v>
      </c>
      <c r="Y14" s="11">
        <v>0</v>
      </c>
      <c r="Z14" s="11">
        <f t="shared" si="7"/>
        <v>0</v>
      </c>
      <c r="AA14" s="12">
        <f t="shared" si="8"/>
        <v>0</v>
      </c>
      <c r="AB14" s="11">
        <f>IF(SUM(J14,O14,T14,Y14) = 0, F14,0)</f>
        <v>133720</v>
      </c>
      <c r="AC14" s="12">
        <f t="shared" si="11"/>
        <v>1.2664556121987898E-3</v>
      </c>
    </row>
    <row r="15" spans="1:31">
      <c r="A15" t="s">
        <v>62</v>
      </c>
      <c r="B15" s="11">
        <v>68282</v>
      </c>
      <c r="C15" s="11">
        <v>40129</v>
      </c>
      <c r="D15" s="11">
        <v>19251</v>
      </c>
      <c r="E15" s="11">
        <v>0</v>
      </c>
      <c r="F15" s="11">
        <f t="shared" si="0"/>
        <v>127662</v>
      </c>
      <c r="G15" s="12">
        <f t="shared" si="12"/>
        <v>3.3743360993328086E-2</v>
      </c>
      <c r="H15" s="11">
        <v>0</v>
      </c>
      <c r="I15" s="11">
        <v>0</v>
      </c>
      <c r="J15" s="11">
        <v>0</v>
      </c>
      <c r="K15" s="11">
        <f t="shared" si="2"/>
        <v>0</v>
      </c>
      <c r="L15" s="12">
        <f t="shared" si="3"/>
        <v>0</v>
      </c>
      <c r="M15" s="11">
        <v>0</v>
      </c>
      <c r="N15" s="11">
        <v>0</v>
      </c>
      <c r="O15" s="11">
        <v>0</v>
      </c>
      <c r="P15" s="11">
        <v>0</v>
      </c>
      <c r="Q15" s="12">
        <f t="shared" si="10"/>
        <v>0</v>
      </c>
      <c r="R15" s="11">
        <v>0</v>
      </c>
      <c r="S15" s="11">
        <v>0</v>
      </c>
      <c r="T15" s="11">
        <v>0</v>
      </c>
      <c r="U15" s="11">
        <f t="shared" si="5"/>
        <v>0</v>
      </c>
      <c r="V15" s="12">
        <f t="shared" si="6"/>
        <v>0</v>
      </c>
      <c r="W15" s="11">
        <v>0</v>
      </c>
      <c r="X15" s="11">
        <v>0</v>
      </c>
      <c r="Y15" s="11">
        <v>0</v>
      </c>
      <c r="Z15" s="11">
        <f t="shared" si="7"/>
        <v>0</v>
      </c>
      <c r="AA15" s="12">
        <f t="shared" si="8"/>
        <v>0</v>
      </c>
      <c r="AB15" s="11">
        <f>IF(SUM(J15,O15,T15,Y15) = 0, F15,0)</f>
        <v>127662</v>
      </c>
      <c r="AC15" s="12">
        <f t="shared" si="11"/>
        <v>1.2090805890257398E-3</v>
      </c>
    </row>
    <row r="16" spans="1:31">
      <c r="A16" t="s">
        <v>63</v>
      </c>
      <c r="B16" s="11">
        <v>46546</v>
      </c>
      <c r="C16" s="11">
        <v>49422</v>
      </c>
      <c r="D16" s="11">
        <v>0</v>
      </c>
      <c r="E16" s="11">
        <v>0</v>
      </c>
      <c r="F16" s="11">
        <f t="shared" si="0"/>
        <v>95968</v>
      </c>
      <c r="G16" s="12">
        <f t="shared" si="12"/>
        <v>2.5366067175884049E-2</v>
      </c>
      <c r="H16" s="11">
        <v>0</v>
      </c>
      <c r="I16" s="11">
        <v>0</v>
      </c>
      <c r="J16" s="11">
        <v>0</v>
      </c>
      <c r="K16" s="11">
        <f t="shared" si="2"/>
        <v>0</v>
      </c>
      <c r="L16" s="12">
        <f t="shared" si="3"/>
        <v>0</v>
      </c>
      <c r="M16" s="11">
        <v>0</v>
      </c>
      <c r="N16" s="11">
        <v>0</v>
      </c>
      <c r="O16" s="11">
        <v>0</v>
      </c>
      <c r="P16" s="11">
        <v>0</v>
      </c>
      <c r="Q16" s="12">
        <f t="shared" si="10"/>
        <v>0</v>
      </c>
      <c r="R16" s="11">
        <v>0</v>
      </c>
      <c r="S16" s="11">
        <v>0</v>
      </c>
      <c r="T16" s="11">
        <v>0</v>
      </c>
      <c r="U16" s="11">
        <f t="shared" si="5"/>
        <v>0</v>
      </c>
      <c r="V16" s="12">
        <f t="shared" si="6"/>
        <v>0</v>
      </c>
      <c r="W16" s="11">
        <v>0</v>
      </c>
      <c r="X16" s="11">
        <v>0</v>
      </c>
      <c r="Y16" s="11">
        <v>0</v>
      </c>
      <c r="Z16" s="11">
        <f t="shared" si="7"/>
        <v>0</v>
      </c>
      <c r="AA16" s="12">
        <f t="shared" si="8"/>
        <v>0</v>
      </c>
      <c r="AB16" s="11">
        <f t="shared" ref="AB16:AB25" si="13">IF(SUM(J16,O16,T16,Y16) = 0, F16,0)</f>
        <v>95968</v>
      </c>
      <c r="AC16" s="12">
        <f t="shared" si="11"/>
        <v>9.089082574894815E-4</v>
      </c>
    </row>
    <row r="17" spans="1:29">
      <c r="A17" t="s">
        <v>64</v>
      </c>
      <c r="B17" s="11">
        <v>9166</v>
      </c>
      <c r="C17" s="11">
        <v>75377</v>
      </c>
      <c r="D17" s="11">
        <v>0</v>
      </c>
      <c r="E17" s="11">
        <v>0</v>
      </c>
      <c r="F17" s="11">
        <f t="shared" si="0"/>
        <v>84543</v>
      </c>
      <c r="G17" s="12">
        <f t="shared" si="12"/>
        <v>2.234623434114252E-2</v>
      </c>
      <c r="H17" s="11">
        <v>0</v>
      </c>
      <c r="I17" s="11">
        <v>0</v>
      </c>
      <c r="J17" s="11">
        <v>0</v>
      </c>
      <c r="K17" s="11">
        <f t="shared" si="2"/>
        <v>0</v>
      </c>
      <c r="L17" s="12">
        <f t="shared" si="3"/>
        <v>0</v>
      </c>
      <c r="M17" s="11">
        <v>0</v>
      </c>
      <c r="N17" s="11">
        <v>0</v>
      </c>
      <c r="O17" s="11">
        <v>0</v>
      </c>
      <c r="P17" s="11">
        <v>0</v>
      </c>
      <c r="Q17" s="12">
        <f t="shared" si="10"/>
        <v>0</v>
      </c>
      <c r="R17" s="11">
        <v>0</v>
      </c>
      <c r="S17" s="11">
        <v>0</v>
      </c>
      <c r="T17" s="11">
        <v>0</v>
      </c>
      <c r="U17" s="11">
        <f t="shared" si="5"/>
        <v>0</v>
      </c>
      <c r="V17" s="12">
        <f t="shared" si="6"/>
        <v>0</v>
      </c>
      <c r="W17" s="11">
        <v>0</v>
      </c>
      <c r="X17" s="11">
        <v>0</v>
      </c>
      <c r="Y17" s="11">
        <v>0</v>
      </c>
      <c r="Z17" s="11">
        <f t="shared" si="7"/>
        <v>0</v>
      </c>
      <c r="AA17" s="12">
        <f t="shared" si="8"/>
        <v>0</v>
      </c>
      <c r="AB17" s="11">
        <f t="shared" si="13"/>
        <v>84543</v>
      </c>
      <c r="AC17" s="12">
        <f t="shared" si="11"/>
        <v>8.007026385142259E-4</v>
      </c>
    </row>
    <row r="18" spans="1:29">
      <c r="A18" t="s">
        <v>65</v>
      </c>
      <c r="B18" s="11">
        <v>14073</v>
      </c>
      <c r="C18" s="11">
        <v>51303</v>
      </c>
      <c r="D18" s="11">
        <v>0</v>
      </c>
      <c r="E18" s="11">
        <v>0</v>
      </c>
      <c r="F18" s="11">
        <f t="shared" si="0"/>
        <v>65376</v>
      </c>
      <c r="G18" s="12">
        <f t="shared" si="12"/>
        <v>1.7280051764031717E-2</v>
      </c>
      <c r="H18" s="11">
        <v>0</v>
      </c>
      <c r="I18" s="11">
        <v>0</v>
      </c>
      <c r="J18" s="11">
        <v>0</v>
      </c>
      <c r="K18" s="11">
        <f t="shared" si="2"/>
        <v>0</v>
      </c>
      <c r="L18" s="12">
        <f t="shared" si="3"/>
        <v>0</v>
      </c>
      <c r="M18" s="11">
        <v>0</v>
      </c>
      <c r="N18" s="11">
        <v>0</v>
      </c>
      <c r="O18" s="11">
        <v>0</v>
      </c>
      <c r="P18" s="11">
        <v>0</v>
      </c>
      <c r="Q18" s="12">
        <f t="shared" si="10"/>
        <v>0</v>
      </c>
      <c r="R18" s="11">
        <v>0</v>
      </c>
      <c r="S18" s="11">
        <v>0</v>
      </c>
      <c r="T18" s="11">
        <v>0</v>
      </c>
      <c r="U18" s="11">
        <f t="shared" si="5"/>
        <v>0</v>
      </c>
      <c r="V18" s="12">
        <f t="shared" si="6"/>
        <v>0</v>
      </c>
      <c r="W18" s="11">
        <v>0</v>
      </c>
      <c r="X18" s="11">
        <v>0</v>
      </c>
      <c r="Y18" s="11">
        <v>0</v>
      </c>
      <c r="Z18" s="11">
        <f t="shared" si="7"/>
        <v>0</v>
      </c>
      <c r="AA18" s="12">
        <f t="shared" si="8"/>
        <v>0</v>
      </c>
      <c r="AB18" s="11">
        <f t="shared" si="13"/>
        <v>65376</v>
      </c>
      <c r="AC18" s="12">
        <f t="shared" si="11"/>
        <v>6.1917291432177755E-4</v>
      </c>
    </row>
    <row r="19" spans="1:29">
      <c r="A19" t="s">
        <v>66</v>
      </c>
      <c r="B19" s="11">
        <v>2318</v>
      </c>
      <c r="C19" s="11">
        <v>38794</v>
      </c>
      <c r="D19" s="11">
        <v>10746</v>
      </c>
      <c r="E19" s="11">
        <v>0</v>
      </c>
      <c r="F19" s="11">
        <f t="shared" si="0"/>
        <v>51858</v>
      </c>
      <c r="G19" s="12">
        <f t="shared" si="12"/>
        <v>1.370700141304388E-2</v>
      </c>
      <c r="H19" s="11">
        <v>0</v>
      </c>
      <c r="I19" s="11">
        <v>0</v>
      </c>
      <c r="J19" s="11">
        <v>0</v>
      </c>
      <c r="K19" s="11">
        <f t="shared" si="2"/>
        <v>0</v>
      </c>
      <c r="L19" s="12">
        <f t="shared" si="3"/>
        <v>0</v>
      </c>
      <c r="M19" s="11">
        <v>0</v>
      </c>
      <c r="N19" s="11">
        <v>0</v>
      </c>
      <c r="O19" s="11">
        <v>0</v>
      </c>
      <c r="P19" s="11">
        <v>0</v>
      </c>
      <c r="Q19" s="12">
        <f t="shared" si="10"/>
        <v>0</v>
      </c>
      <c r="R19" s="11">
        <v>0</v>
      </c>
      <c r="S19" s="11">
        <v>0</v>
      </c>
      <c r="T19" s="11">
        <v>0</v>
      </c>
      <c r="U19" s="11">
        <f t="shared" si="5"/>
        <v>0</v>
      </c>
      <c r="V19" s="12">
        <f t="shared" si="6"/>
        <v>0</v>
      </c>
      <c r="W19" s="11">
        <v>0</v>
      </c>
      <c r="X19" s="11">
        <v>0</v>
      </c>
      <c r="Y19" s="11">
        <v>0</v>
      </c>
      <c r="Z19" s="11">
        <f t="shared" si="7"/>
        <v>0</v>
      </c>
      <c r="AA19" s="12">
        <f t="shared" si="8"/>
        <v>0</v>
      </c>
      <c r="AB19" s="11">
        <f t="shared" si="13"/>
        <v>51858</v>
      </c>
      <c r="AC19" s="12">
        <f t="shared" si="11"/>
        <v>4.9114459420733503E-4</v>
      </c>
    </row>
    <row r="20" spans="1:29">
      <c r="A20" t="s">
        <v>67</v>
      </c>
      <c r="B20" s="11">
        <v>312</v>
      </c>
      <c r="C20" s="11">
        <v>51448</v>
      </c>
      <c r="D20" s="11">
        <v>0</v>
      </c>
      <c r="E20" s="11">
        <v>0</v>
      </c>
      <c r="F20" s="11">
        <f t="shared" si="0"/>
        <v>51760</v>
      </c>
      <c r="G20" s="12">
        <f t="shared" si="12"/>
        <v>1.3681098251748068E-2</v>
      </c>
      <c r="H20" s="11">
        <v>0</v>
      </c>
      <c r="I20" s="11">
        <v>0</v>
      </c>
      <c r="J20" s="11">
        <v>0</v>
      </c>
      <c r="K20" s="11">
        <f t="shared" si="2"/>
        <v>0</v>
      </c>
      <c r="L20" s="12">
        <f t="shared" si="3"/>
        <v>0</v>
      </c>
      <c r="M20" s="11">
        <v>0</v>
      </c>
      <c r="N20" s="11">
        <v>0</v>
      </c>
      <c r="O20" s="11">
        <v>0</v>
      </c>
      <c r="P20" s="11">
        <v>0</v>
      </c>
      <c r="Q20" s="12">
        <f t="shared" si="10"/>
        <v>0</v>
      </c>
      <c r="R20" s="11">
        <v>0</v>
      </c>
      <c r="S20" s="11">
        <v>0</v>
      </c>
      <c r="T20" s="11">
        <v>0</v>
      </c>
      <c r="U20" s="11">
        <f t="shared" si="5"/>
        <v>0</v>
      </c>
      <c r="V20" s="12">
        <f t="shared" si="6"/>
        <v>0</v>
      </c>
      <c r="W20" s="11">
        <v>0</v>
      </c>
      <c r="X20" s="11">
        <v>0</v>
      </c>
      <c r="Y20" s="11">
        <v>0</v>
      </c>
      <c r="Z20" s="11">
        <f t="shared" si="7"/>
        <v>0</v>
      </c>
      <c r="AA20" s="12">
        <f t="shared" si="8"/>
        <v>0</v>
      </c>
      <c r="AB20" s="11">
        <f t="shared" si="13"/>
        <v>51760</v>
      </c>
      <c r="AC20" s="12">
        <f t="shared" si="11"/>
        <v>4.9021644097673768E-4</v>
      </c>
    </row>
    <row r="21" spans="1:29">
      <c r="A21" t="s">
        <v>68</v>
      </c>
      <c r="B21" s="11">
        <v>11840</v>
      </c>
      <c r="C21" s="11">
        <v>34882</v>
      </c>
      <c r="D21" s="11">
        <v>0</v>
      </c>
      <c r="E21" s="11">
        <v>0</v>
      </c>
      <c r="F21" s="11">
        <f t="shared" si="0"/>
        <v>46722</v>
      </c>
      <c r="G21" s="12">
        <f t="shared" si="12"/>
        <v>1.2349464306765324E-2</v>
      </c>
      <c r="H21" s="11">
        <v>0</v>
      </c>
      <c r="I21" s="11">
        <v>0</v>
      </c>
      <c r="J21" s="11">
        <v>0</v>
      </c>
      <c r="K21" s="11">
        <f t="shared" si="2"/>
        <v>0</v>
      </c>
      <c r="L21" s="12">
        <f t="shared" si="3"/>
        <v>0</v>
      </c>
      <c r="M21" s="11">
        <v>0</v>
      </c>
      <c r="N21" s="11">
        <v>0</v>
      </c>
      <c r="O21" s="11">
        <v>0</v>
      </c>
      <c r="P21" s="11">
        <v>0</v>
      </c>
      <c r="Q21" s="12">
        <f t="shared" si="10"/>
        <v>0</v>
      </c>
      <c r="R21" s="11">
        <v>0</v>
      </c>
      <c r="S21" s="11">
        <v>0</v>
      </c>
      <c r="T21" s="11">
        <v>0</v>
      </c>
      <c r="U21" s="11">
        <f t="shared" si="5"/>
        <v>0</v>
      </c>
      <c r="V21" s="12">
        <f t="shared" si="6"/>
        <v>0</v>
      </c>
      <c r="W21" s="11">
        <v>0</v>
      </c>
      <c r="X21" s="11">
        <v>0</v>
      </c>
      <c r="Y21" s="11">
        <v>0</v>
      </c>
      <c r="Z21" s="11">
        <f t="shared" si="7"/>
        <v>0</v>
      </c>
      <c r="AA21" s="12">
        <f t="shared" si="8"/>
        <v>0</v>
      </c>
      <c r="AB21" s="11">
        <f t="shared" si="13"/>
        <v>46722</v>
      </c>
      <c r="AC21" s="12">
        <f t="shared" si="11"/>
        <v>4.4250178816296635E-4</v>
      </c>
    </row>
    <row r="22" spans="1:29">
      <c r="A22" t="s">
        <v>69</v>
      </c>
      <c r="B22" s="11">
        <v>5066</v>
      </c>
      <c r="C22" s="11">
        <v>40412</v>
      </c>
      <c r="D22" s="11">
        <v>0</v>
      </c>
      <c r="E22" s="11">
        <v>0</v>
      </c>
      <c r="F22" s="11">
        <f t="shared" si="0"/>
        <v>45478</v>
      </c>
      <c r="G22" s="12">
        <f t="shared" si="12"/>
        <v>1.2020652749091936E-2</v>
      </c>
      <c r="H22" s="11">
        <v>0</v>
      </c>
      <c r="I22" s="11">
        <v>0</v>
      </c>
      <c r="J22" s="11">
        <v>0</v>
      </c>
      <c r="K22" s="11">
        <f t="shared" si="2"/>
        <v>0</v>
      </c>
      <c r="L22" s="12">
        <f t="shared" si="3"/>
        <v>0</v>
      </c>
      <c r="M22" s="11">
        <v>0</v>
      </c>
      <c r="N22" s="11">
        <v>0</v>
      </c>
      <c r="O22" s="11">
        <v>0</v>
      </c>
      <c r="P22" s="11">
        <v>0</v>
      </c>
      <c r="Q22" s="12">
        <f t="shared" si="10"/>
        <v>0</v>
      </c>
      <c r="R22" s="11">
        <v>0</v>
      </c>
      <c r="S22" s="11">
        <v>0</v>
      </c>
      <c r="T22" s="11">
        <v>0</v>
      </c>
      <c r="U22" s="11">
        <f t="shared" si="5"/>
        <v>0</v>
      </c>
      <c r="V22" s="12">
        <f t="shared" si="6"/>
        <v>0</v>
      </c>
      <c r="W22" s="11">
        <v>0</v>
      </c>
      <c r="X22" s="11">
        <v>0</v>
      </c>
      <c r="Y22" s="11">
        <v>0</v>
      </c>
      <c r="Z22" s="11">
        <f t="shared" si="7"/>
        <v>0</v>
      </c>
      <c r="AA22" s="12">
        <f t="shared" si="8"/>
        <v>0</v>
      </c>
      <c r="AB22" s="11">
        <f t="shared" si="13"/>
        <v>45478</v>
      </c>
      <c r="AC22" s="12">
        <f t="shared" si="11"/>
        <v>4.3071992470517922E-4</v>
      </c>
    </row>
    <row r="23" spans="1:29">
      <c r="A23" t="s">
        <v>70</v>
      </c>
      <c r="B23" s="11">
        <v>13563</v>
      </c>
      <c r="C23" s="11">
        <v>7500</v>
      </c>
      <c r="D23" s="11">
        <v>16114</v>
      </c>
      <c r="E23" s="11">
        <v>0</v>
      </c>
      <c r="F23" s="11">
        <f t="shared" si="0"/>
        <v>37177</v>
      </c>
      <c r="G23" s="12">
        <f t="shared" si="12"/>
        <v>9.8265492601475636E-3</v>
      </c>
      <c r="H23" s="11">
        <v>0</v>
      </c>
      <c r="I23" s="11">
        <v>0</v>
      </c>
      <c r="J23" s="11">
        <v>0</v>
      </c>
      <c r="K23" s="11">
        <f t="shared" si="2"/>
        <v>0</v>
      </c>
      <c r="L23" s="12">
        <f t="shared" si="3"/>
        <v>0</v>
      </c>
      <c r="M23" s="11">
        <v>0</v>
      </c>
      <c r="N23" s="11">
        <v>0</v>
      </c>
      <c r="O23" s="11">
        <v>0</v>
      </c>
      <c r="P23" s="11">
        <v>0</v>
      </c>
      <c r="Q23" s="12">
        <f t="shared" si="10"/>
        <v>0</v>
      </c>
      <c r="R23" s="11">
        <v>0</v>
      </c>
      <c r="S23" s="11">
        <v>0</v>
      </c>
      <c r="T23" s="11">
        <v>0</v>
      </c>
      <c r="U23" s="11">
        <f t="shared" si="5"/>
        <v>0</v>
      </c>
      <c r="V23" s="12">
        <f t="shared" si="6"/>
        <v>0</v>
      </c>
      <c r="W23" s="11">
        <v>0</v>
      </c>
      <c r="X23" s="11">
        <v>0</v>
      </c>
      <c r="Y23" s="11">
        <v>0</v>
      </c>
      <c r="Z23" s="11">
        <f t="shared" si="7"/>
        <v>0</v>
      </c>
      <c r="AA23" s="12">
        <f t="shared" si="8"/>
        <v>0</v>
      </c>
      <c r="AB23" s="11">
        <f t="shared" si="13"/>
        <v>37177</v>
      </c>
      <c r="AC23" s="12">
        <f t="shared" si="11"/>
        <v>3.5210155769304827E-4</v>
      </c>
    </row>
    <row r="24" spans="1:29">
      <c r="A24" t="s">
        <v>71</v>
      </c>
      <c r="B24" s="11">
        <v>11828</v>
      </c>
      <c r="C24" s="11">
        <v>24638</v>
      </c>
      <c r="D24" s="11">
        <v>0</v>
      </c>
      <c r="E24" s="11">
        <v>0</v>
      </c>
      <c r="F24" s="11">
        <f t="shared" si="0"/>
        <v>36466</v>
      </c>
      <c r="G24" s="12">
        <f t="shared" si="12"/>
        <v>9.6386191817667121E-3</v>
      </c>
      <c r="H24" s="11">
        <v>0</v>
      </c>
      <c r="I24" s="11">
        <v>0</v>
      </c>
      <c r="J24" s="11">
        <v>0</v>
      </c>
      <c r="K24" s="11">
        <f t="shared" si="2"/>
        <v>0</v>
      </c>
      <c r="L24" s="12">
        <f t="shared" si="3"/>
        <v>0</v>
      </c>
      <c r="M24" s="11">
        <v>0</v>
      </c>
      <c r="N24" s="11">
        <v>0</v>
      </c>
      <c r="O24" s="11">
        <v>0</v>
      </c>
      <c r="P24" s="11">
        <v>0</v>
      </c>
      <c r="Q24" s="12">
        <f t="shared" si="10"/>
        <v>0</v>
      </c>
      <c r="R24" s="11">
        <v>0</v>
      </c>
      <c r="S24" s="11">
        <v>0</v>
      </c>
      <c r="T24" s="11">
        <v>0</v>
      </c>
      <c r="U24" s="11">
        <f t="shared" si="5"/>
        <v>0</v>
      </c>
      <c r="V24" s="12">
        <f t="shared" si="6"/>
        <v>0</v>
      </c>
      <c r="W24" s="11">
        <v>0</v>
      </c>
      <c r="X24" s="11">
        <v>0</v>
      </c>
      <c r="Y24" s="11">
        <v>0</v>
      </c>
      <c r="Z24" s="11">
        <f t="shared" si="7"/>
        <v>0</v>
      </c>
      <c r="AA24" s="12">
        <f t="shared" si="8"/>
        <v>0</v>
      </c>
      <c r="AB24" s="11">
        <f t="shared" si="13"/>
        <v>36466</v>
      </c>
      <c r="AC24" s="12">
        <f t="shared" si="11"/>
        <v>3.4536771129555096E-4</v>
      </c>
    </row>
    <row r="25" spans="1:29">
      <c r="A25" t="s">
        <v>72</v>
      </c>
      <c r="B25" s="11">
        <v>2645</v>
      </c>
      <c r="C25" s="11">
        <v>19348</v>
      </c>
      <c r="D25" s="11">
        <v>0</v>
      </c>
      <c r="E25" s="11">
        <v>0</v>
      </c>
      <c r="F25" s="11">
        <f t="shared" si="0"/>
        <v>21993</v>
      </c>
      <c r="G25" s="12">
        <f t="shared" si="12"/>
        <v>5.8131451671308973E-3</v>
      </c>
      <c r="H25" s="11">
        <v>0</v>
      </c>
      <c r="I25" s="11">
        <v>0</v>
      </c>
      <c r="J25" s="11">
        <v>0</v>
      </c>
      <c r="K25" s="11">
        <f t="shared" si="2"/>
        <v>0</v>
      </c>
      <c r="L25" s="12">
        <f t="shared" si="3"/>
        <v>0</v>
      </c>
      <c r="M25" s="11">
        <v>0</v>
      </c>
      <c r="N25" s="11">
        <v>0</v>
      </c>
      <c r="O25" s="11">
        <v>0</v>
      </c>
      <c r="P25" s="11">
        <v>0</v>
      </c>
      <c r="Q25" s="12">
        <f t="shared" si="10"/>
        <v>0</v>
      </c>
      <c r="R25" s="11">
        <v>0</v>
      </c>
      <c r="S25" s="11">
        <v>0</v>
      </c>
      <c r="T25" s="11">
        <v>0</v>
      </c>
      <c r="U25" s="11">
        <f t="shared" si="5"/>
        <v>0</v>
      </c>
      <c r="V25" s="12">
        <f t="shared" si="6"/>
        <v>0</v>
      </c>
      <c r="W25" s="11">
        <v>0</v>
      </c>
      <c r="X25" s="11">
        <v>0</v>
      </c>
      <c r="Y25" s="11">
        <v>0</v>
      </c>
      <c r="Z25" s="11">
        <f t="shared" si="7"/>
        <v>0</v>
      </c>
      <c r="AA25" s="12">
        <f t="shared" si="8"/>
        <v>0</v>
      </c>
      <c r="AB25" s="11">
        <f t="shared" si="13"/>
        <v>21993</v>
      </c>
      <c r="AC25" s="12">
        <f t="shared" si="11"/>
        <v>2.0829463265845038E-4</v>
      </c>
    </row>
    <row r="27" spans="1:29">
      <c r="A27" s="14" t="s">
        <v>73</v>
      </c>
    </row>
    <row r="28" spans="1:29">
      <c r="A28" t="s">
        <v>74</v>
      </c>
      <c r="B28" s="11">
        <v>0</v>
      </c>
      <c r="C28" s="11">
        <v>115703</v>
      </c>
      <c r="D28" s="11">
        <v>0</v>
      </c>
      <c r="E28" s="11">
        <v>0</v>
      </c>
      <c r="F28" s="11">
        <f t="shared" si="0"/>
        <v>115703</v>
      </c>
      <c r="G28" s="12">
        <f t="shared" si="12"/>
        <v>3.058238236132161E-2</v>
      </c>
      <c r="H28" s="11">
        <v>0</v>
      </c>
      <c r="I28" s="11">
        <v>0</v>
      </c>
      <c r="J28" s="11">
        <v>0</v>
      </c>
      <c r="K28" s="11">
        <f t="shared" si="2"/>
        <v>0</v>
      </c>
      <c r="L28" s="12">
        <f t="shared" si="3"/>
        <v>0</v>
      </c>
      <c r="M28" s="11">
        <v>0</v>
      </c>
      <c r="N28" s="11">
        <v>0</v>
      </c>
      <c r="O28" s="11">
        <v>0</v>
      </c>
      <c r="P28" s="11">
        <v>0</v>
      </c>
      <c r="Q28" s="12">
        <f t="shared" si="10"/>
        <v>0</v>
      </c>
      <c r="R28" s="11">
        <v>0</v>
      </c>
      <c r="S28" s="11">
        <v>0</v>
      </c>
      <c r="T28" s="11">
        <v>0</v>
      </c>
      <c r="U28" s="11">
        <f t="shared" si="5"/>
        <v>0</v>
      </c>
      <c r="V28" s="12">
        <f t="shared" si="6"/>
        <v>0</v>
      </c>
      <c r="W28" s="11">
        <v>0</v>
      </c>
      <c r="X28" s="11">
        <v>0</v>
      </c>
      <c r="Y28" s="11">
        <v>0</v>
      </c>
      <c r="Z28" s="11">
        <f t="shared" si="7"/>
        <v>0</v>
      </c>
      <c r="AA28" s="12">
        <f t="shared" si="8"/>
        <v>0</v>
      </c>
      <c r="AB28" s="11">
        <f>IF(SUM(J28,O28,T28,Y28) = 0, F28,0)</f>
        <v>115703</v>
      </c>
      <c r="AC28" s="12">
        <f t="shared" si="11"/>
        <v>1.0958174820388617E-3</v>
      </c>
    </row>
    <row r="29" spans="1:29">
      <c r="A29" t="s">
        <v>75</v>
      </c>
      <c r="B29" s="11">
        <v>0</v>
      </c>
      <c r="C29" s="11">
        <v>68262</v>
      </c>
      <c r="D29" s="11">
        <v>0</v>
      </c>
      <c r="E29" s="11">
        <v>0</v>
      </c>
      <c r="F29" s="11">
        <f t="shared" si="0"/>
        <v>68262</v>
      </c>
      <c r="G29" s="12">
        <f t="shared" si="12"/>
        <v>1.8042873432396186E-2</v>
      </c>
      <c r="H29" s="11">
        <v>0</v>
      </c>
      <c r="I29" s="11">
        <v>0</v>
      </c>
      <c r="J29" s="11">
        <v>0</v>
      </c>
      <c r="K29" s="11">
        <f t="shared" si="2"/>
        <v>0</v>
      </c>
      <c r="L29" s="12">
        <f t="shared" si="3"/>
        <v>0</v>
      </c>
      <c r="M29" s="11">
        <v>0</v>
      </c>
      <c r="N29" s="11">
        <v>0</v>
      </c>
      <c r="O29" s="11">
        <v>0</v>
      </c>
      <c r="P29" s="11">
        <v>0</v>
      </c>
      <c r="Q29" s="12">
        <f t="shared" si="10"/>
        <v>0</v>
      </c>
      <c r="R29" s="11">
        <v>0</v>
      </c>
      <c r="S29" s="11">
        <v>0</v>
      </c>
      <c r="T29" s="11">
        <v>0</v>
      </c>
      <c r="U29" s="11">
        <f t="shared" si="5"/>
        <v>0</v>
      </c>
      <c r="V29" s="12">
        <f t="shared" si="6"/>
        <v>0</v>
      </c>
      <c r="W29" s="11">
        <v>0</v>
      </c>
      <c r="X29" s="11">
        <v>0</v>
      </c>
      <c r="Y29" s="11">
        <v>0</v>
      </c>
      <c r="Z29" s="11">
        <f t="shared" si="7"/>
        <v>0</v>
      </c>
      <c r="AA29" s="12">
        <f t="shared" si="8"/>
        <v>0</v>
      </c>
      <c r="AB29" s="11">
        <f t="shared" ref="AB29:AB37" si="14">IF(SUM(J29,O29,T29,Y29) = 0, F29,0)</f>
        <v>68262</v>
      </c>
      <c r="AC29" s="12">
        <f t="shared" si="11"/>
        <v>6.4650607986773702E-4</v>
      </c>
    </row>
    <row r="30" spans="1:29">
      <c r="A30" t="s">
        <v>76</v>
      </c>
      <c r="B30" s="11">
        <v>0</v>
      </c>
      <c r="C30" s="11">
        <v>52048</v>
      </c>
      <c r="D30" s="11">
        <v>0</v>
      </c>
      <c r="E30" s="11">
        <v>0</v>
      </c>
      <c r="F30" s="11">
        <f t="shared" si="0"/>
        <v>52048</v>
      </c>
      <c r="G30" s="12">
        <f t="shared" si="12"/>
        <v>1.3757221827801071E-2</v>
      </c>
      <c r="H30" s="11">
        <v>0</v>
      </c>
      <c r="I30" s="11">
        <v>0</v>
      </c>
      <c r="J30" s="11">
        <v>0</v>
      </c>
      <c r="K30" s="11">
        <f t="shared" si="2"/>
        <v>0</v>
      </c>
      <c r="L30" s="12">
        <f t="shared" si="3"/>
        <v>0</v>
      </c>
      <c r="M30" s="11">
        <v>0</v>
      </c>
      <c r="N30" s="11">
        <v>0</v>
      </c>
      <c r="O30" s="11">
        <v>0</v>
      </c>
      <c r="P30" s="11">
        <v>0</v>
      </c>
      <c r="Q30" s="12">
        <f t="shared" si="10"/>
        <v>0</v>
      </c>
      <c r="R30" s="11">
        <v>0</v>
      </c>
      <c r="S30" s="11">
        <v>0</v>
      </c>
      <c r="T30" s="11">
        <v>0</v>
      </c>
      <c r="U30" s="11">
        <f t="shared" si="5"/>
        <v>0</v>
      </c>
      <c r="V30" s="12">
        <f t="shared" si="6"/>
        <v>0</v>
      </c>
      <c r="W30" s="11">
        <v>0</v>
      </c>
      <c r="X30" s="11">
        <v>0</v>
      </c>
      <c r="Y30" s="11">
        <v>0</v>
      </c>
      <c r="Z30" s="11">
        <f t="shared" si="7"/>
        <v>0</v>
      </c>
      <c r="AA30" s="12">
        <f t="shared" si="8"/>
        <v>0</v>
      </c>
      <c r="AB30" s="11">
        <f t="shared" si="14"/>
        <v>52048</v>
      </c>
      <c r="AC30" s="12">
        <f t="shared" si="11"/>
        <v>4.9294407496053403E-4</v>
      </c>
    </row>
    <row r="31" spans="1:29">
      <c r="A31" t="s">
        <v>77</v>
      </c>
      <c r="B31" s="11">
        <v>0</v>
      </c>
      <c r="C31" s="11">
        <v>27407</v>
      </c>
      <c r="D31" s="11">
        <v>21587</v>
      </c>
      <c r="E31" s="11">
        <v>0</v>
      </c>
      <c r="F31" s="11">
        <f t="shared" si="0"/>
        <v>48994</v>
      </c>
      <c r="G31" s="12">
        <f t="shared" si="12"/>
        <v>1.2949994740072348E-2</v>
      </c>
      <c r="H31" s="11">
        <v>0</v>
      </c>
      <c r="I31" s="11">
        <v>0</v>
      </c>
      <c r="J31" s="11">
        <v>0</v>
      </c>
      <c r="K31" s="11">
        <f t="shared" si="2"/>
        <v>0</v>
      </c>
      <c r="L31" s="12">
        <f t="shared" si="3"/>
        <v>0</v>
      </c>
      <c r="M31" s="11">
        <v>0</v>
      </c>
      <c r="N31" s="11">
        <v>0</v>
      </c>
      <c r="O31" s="11">
        <v>0</v>
      </c>
      <c r="P31" s="11">
        <v>0</v>
      </c>
      <c r="Q31" s="12">
        <f t="shared" si="10"/>
        <v>0</v>
      </c>
      <c r="R31" s="11">
        <v>0</v>
      </c>
      <c r="S31" s="11">
        <v>0</v>
      </c>
      <c r="T31" s="11">
        <v>0</v>
      </c>
      <c r="U31" s="11">
        <f t="shared" si="5"/>
        <v>0</v>
      </c>
      <c r="V31" s="12">
        <f t="shared" si="6"/>
        <v>0</v>
      </c>
      <c r="W31" s="11">
        <v>0</v>
      </c>
      <c r="X31" s="11">
        <v>0</v>
      </c>
      <c r="Y31" s="11">
        <v>0</v>
      </c>
      <c r="Z31" s="11">
        <f t="shared" si="7"/>
        <v>0</v>
      </c>
      <c r="AA31" s="12">
        <f t="shared" si="8"/>
        <v>0</v>
      </c>
      <c r="AB31" s="11">
        <f t="shared" si="14"/>
        <v>48994</v>
      </c>
      <c r="AC31" s="12">
        <f t="shared" si="11"/>
        <v>4.6401978959069332E-4</v>
      </c>
    </row>
    <row r="32" spans="1:29">
      <c r="A32" t="s">
        <v>78</v>
      </c>
      <c r="B32" s="11">
        <v>0</v>
      </c>
      <c r="C32" s="11">
        <v>4518</v>
      </c>
      <c r="D32" s="11">
        <v>22397</v>
      </c>
      <c r="E32" s="11">
        <v>0</v>
      </c>
      <c r="F32" s="11">
        <f t="shared" si="0"/>
        <v>26915</v>
      </c>
      <c r="G32" s="12">
        <f t="shared" si="12"/>
        <v>7.1141182273145136E-3</v>
      </c>
      <c r="H32" s="11">
        <v>0</v>
      </c>
      <c r="I32" s="11">
        <v>0</v>
      </c>
      <c r="J32" s="11">
        <v>0</v>
      </c>
      <c r="K32" s="11">
        <f t="shared" si="2"/>
        <v>0</v>
      </c>
      <c r="L32" s="12">
        <f t="shared" si="3"/>
        <v>0</v>
      </c>
      <c r="M32" s="11">
        <v>0</v>
      </c>
      <c r="N32" s="11">
        <v>0</v>
      </c>
      <c r="O32" s="11">
        <v>0</v>
      </c>
      <c r="P32" s="11">
        <v>0</v>
      </c>
      <c r="Q32" s="12">
        <f t="shared" si="10"/>
        <v>0</v>
      </c>
      <c r="R32" s="11">
        <v>0</v>
      </c>
      <c r="S32" s="11">
        <v>0</v>
      </c>
      <c r="T32" s="11">
        <v>0</v>
      </c>
      <c r="U32" s="11">
        <f t="shared" si="5"/>
        <v>0</v>
      </c>
      <c r="V32" s="12">
        <f t="shared" si="6"/>
        <v>0</v>
      </c>
      <c r="W32" s="11">
        <v>0</v>
      </c>
      <c r="X32" s="11">
        <v>0</v>
      </c>
      <c r="Y32" s="11">
        <v>0</v>
      </c>
      <c r="Z32" s="11">
        <f t="shared" si="7"/>
        <v>0</v>
      </c>
      <c r="AA32" s="12">
        <f t="shared" si="8"/>
        <v>0</v>
      </c>
      <c r="AB32" s="11">
        <f t="shared" si="14"/>
        <v>26915</v>
      </c>
      <c r="AC32" s="12">
        <f t="shared" si="11"/>
        <v>2.5491065511763707E-4</v>
      </c>
    </row>
    <row r="34" spans="1:31">
      <c r="A34" s="14" t="s">
        <v>79</v>
      </c>
    </row>
    <row r="35" spans="1:31">
      <c r="A35" t="s">
        <v>80</v>
      </c>
      <c r="B35" s="11">
        <v>0</v>
      </c>
      <c r="C35" s="11">
        <v>0</v>
      </c>
      <c r="D35" s="11">
        <v>0</v>
      </c>
      <c r="E35" s="11">
        <v>5998</v>
      </c>
      <c r="F35" s="11">
        <f t="shared" si="0"/>
        <v>5998</v>
      </c>
      <c r="G35" s="12">
        <f t="shared" si="12"/>
        <v>1.5853791984927531E-3</v>
      </c>
      <c r="H35" s="11">
        <v>0</v>
      </c>
      <c r="I35" s="11">
        <v>0</v>
      </c>
      <c r="J35" s="11">
        <v>0</v>
      </c>
      <c r="K35" s="11">
        <f t="shared" si="2"/>
        <v>0</v>
      </c>
      <c r="L35" s="12">
        <f t="shared" si="3"/>
        <v>0</v>
      </c>
      <c r="M35" s="11">
        <v>0</v>
      </c>
      <c r="N35" s="11">
        <v>0</v>
      </c>
      <c r="O35" s="11">
        <v>0</v>
      </c>
      <c r="P35" s="11">
        <v>0</v>
      </c>
      <c r="Q35" s="12">
        <f t="shared" si="10"/>
        <v>0</v>
      </c>
      <c r="R35" s="11">
        <v>0</v>
      </c>
      <c r="S35" s="11">
        <v>34979</v>
      </c>
      <c r="T35" s="11">
        <v>34979</v>
      </c>
      <c r="U35" s="11">
        <f t="shared" si="5"/>
        <v>69958</v>
      </c>
      <c r="V35" s="12">
        <f t="shared" si="6"/>
        <v>4.4966899276536725E-3</v>
      </c>
      <c r="W35" s="11">
        <v>0</v>
      </c>
      <c r="X35" s="11">
        <v>28787</v>
      </c>
      <c r="Y35" s="11">
        <v>28787</v>
      </c>
      <c r="Z35" s="11">
        <f t="shared" si="7"/>
        <v>57574</v>
      </c>
      <c r="AA35" s="12">
        <f t="shared" si="8"/>
        <v>1.8630884047647739E-3</v>
      </c>
      <c r="AB35" s="11">
        <f t="shared" si="14"/>
        <v>0</v>
      </c>
      <c r="AC35" s="12">
        <f t="shared" si="11"/>
        <v>0</v>
      </c>
    </row>
    <row r="37" spans="1:31">
      <c r="A37" s="14" t="s">
        <v>81</v>
      </c>
      <c r="B37" s="11">
        <v>0</v>
      </c>
      <c r="C37" s="11">
        <v>2397555</v>
      </c>
      <c r="D37" s="11">
        <v>0</v>
      </c>
      <c r="E37" s="11">
        <v>0</v>
      </c>
      <c r="F37" s="11">
        <f t="shared" si="0"/>
        <v>2397555</v>
      </c>
      <c r="G37" s="12">
        <f t="shared" si="12"/>
        <v>0.63371687633249296</v>
      </c>
      <c r="H37" s="11">
        <v>0</v>
      </c>
      <c r="I37" s="11">
        <v>0</v>
      </c>
      <c r="J37" s="11">
        <v>0</v>
      </c>
      <c r="K37" s="11">
        <f t="shared" si="2"/>
        <v>0</v>
      </c>
      <c r="L37" s="12">
        <f t="shared" si="3"/>
        <v>0</v>
      </c>
      <c r="M37" s="11">
        <v>0</v>
      </c>
      <c r="N37" s="11">
        <v>0</v>
      </c>
      <c r="O37" s="11">
        <v>0</v>
      </c>
      <c r="P37" s="11">
        <v>0</v>
      </c>
      <c r="Q37" s="12">
        <f t="shared" si="10"/>
        <v>0</v>
      </c>
      <c r="R37" s="11">
        <v>0</v>
      </c>
      <c r="S37" s="11">
        <v>0</v>
      </c>
      <c r="T37" s="11">
        <v>0</v>
      </c>
      <c r="U37" s="11">
        <f t="shared" si="5"/>
        <v>0</v>
      </c>
      <c r="V37" s="12">
        <f t="shared" si="6"/>
        <v>0</v>
      </c>
      <c r="W37" s="11">
        <v>0</v>
      </c>
      <c r="X37" s="11">
        <v>0</v>
      </c>
      <c r="Y37" s="11">
        <v>0</v>
      </c>
      <c r="Z37" s="11">
        <f t="shared" si="7"/>
        <v>0</v>
      </c>
      <c r="AA37" s="12">
        <f t="shared" si="8"/>
        <v>0</v>
      </c>
      <c r="AB37" s="11">
        <f t="shared" si="14"/>
        <v>2397555</v>
      </c>
      <c r="AC37" s="12">
        <f t="shared" si="11"/>
        <v>2.2707126722294867E-2</v>
      </c>
    </row>
    <row r="39" spans="1:31" s="15" customFormat="1" ht="15.75" thickBot="1">
      <c r="A39" s="15" t="s">
        <v>24</v>
      </c>
      <c r="B39" s="17">
        <f t="shared" ref="B39:L39" si="15">SUM(B5:B38)</f>
        <v>212557</v>
      </c>
      <c r="C39" s="17">
        <f t="shared" si="15"/>
        <v>3473940</v>
      </c>
      <c r="D39" s="17">
        <f t="shared" si="15"/>
        <v>90095</v>
      </c>
      <c r="E39" s="17">
        <f t="shared" si="15"/>
        <v>6730</v>
      </c>
      <c r="F39" s="17">
        <f t="shared" si="15"/>
        <v>3783322</v>
      </c>
      <c r="G39" s="18">
        <f t="shared" si="15"/>
        <v>1</v>
      </c>
      <c r="H39" s="17">
        <f t="shared" si="15"/>
        <v>26282558</v>
      </c>
      <c r="I39" s="17">
        <f t="shared" si="15"/>
        <v>15065</v>
      </c>
      <c r="J39" s="17">
        <f t="shared" si="15"/>
        <v>26297623</v>
      </c>
      <c r="K39" s="17">
        <f t="shared" si="15"/>
        <v>52595246</v>
      </c>
      <c r="L39" s="18">
        <f t="shared" si="15"/>
        <v>1</v>
      </c>
      <c r="M39" s="17">
        <f>SUBTOTAL(9, M5:M38)</f>
        <v>52437323</v>
      </c>
      <c r="N39" s="17">
        <f>SUBTOTAL(9, N5:N38)</f>
        <v>28589</v>
      </c>
      <c r="O39" s="17">
        <f>SUBTOTAL(9, O5:O38)</f>
        <v>52465912</v>
      </c>
      <c r="P39" s="17">
        <f>SUBTOTAL(9, P5:P38)</f>
        <v>104931824</v>
      </c>
      <c r="Q39" s="26">
        <f>SUBTOTAL(9, Q5:Q38)</f>
        <v>0.99999999999999989</v>
      </c>
      <c r="R39" s="17">
        <f>SUM(R6:R38)</f>
        <v>7737427</v>
      </c>
      <c r="S39" s="17">
        <f t="shared" ref="S39:T39" si="16">SUM(S6:S38)</f>
        <v>41406</v>
      </c>
      <c r="T39" s="17">
        <f t="shared" si="16"/>
        <v>7778833</v>
      </c>
      <c r="U39" s="17">
        <f>SUM(U6:U38)</f>
        <v>15557666</v>
      </c>
      <c r="V39" s="18">
        <f>SUM(V6:V38)</f>
        <v>0.99999999999999989</v>
      </c>
      <c r="W39" s="17">
        <f>SUM(W6:W38)</f>
        <v>15401889</v>
      </c>
      <c r="X39" s="17">
        <f t="shared" ref="X39:Y39" si="17">SUM(X6:X38)</f>
        <v>49337</v>
      </c>
      <c r="Y39" s="17">
        <f t="shared" si="17"/>
        <v>15451226</v>
      </c>
      <c r="Z39" s="17">
        <f t="shared" ref="Z39:AE39" si="18">SUM(Z6:Z38)</f>
        <v>30902452</v>
      </c>
      <c r="AA39" s="18">
        <f t="shared" si="18"/>
        <v>1</v>
      </c>
      <c r="AB39" s="17">
        <f t="shared" si="18"/>
        <v>105586014</v>
      </c>
      <c r="AC39" s="26">
        <f t="shared" si="18"/>
        <v>0.99999999999999989</v>
      </c>
      <c r="AD39" s="7">
        <f t="shared" si="18"/>
        <v>1543561.05</v>
      </c>
      <c r="AE39" s="7">
        <f t="shared" si="18"/>
        <v>390396.83000000007</v>
      </c>
    </row>
    <row r="40" spans="1:31" ht="15.75" thickTop="1"/>
  </sheetData>
  <mergeCells count="2">
    <mergeCell ref="A2:D2"/>
    <mergeCell ref="A1:D1"/>
  </mergeCells>
  <pageMargins left="0.25" right="0" top="0.75" bottom="0.75" header="0.3" footer="0.3"/>
  <pageSetup scale="50" firstPageNumber="0" fitToWidth="0" fitToHeight="0" orientation="landscape" horizontalDpi="300" verticalDpi="300" r:id="rId1"/>
  <headerFooter>
    <oddHeader>&amp;C&amp;"Times New Roman,Regular"&amp;12 &amp;A</oddHeader>
    <oddFooter>Page &amp;P&amp;R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1"/>
  <sheetViews>
    <sheetView zoomScaleNormal="100" workbookViewId="0">
      <selection activeCell="B5" sqref="B5"/>
    </sheetView>
  </sheetViews>
  <sheetFormatPr defaultColWidth="10.140625" defaultRowHeight="15"/>
  <cols>
    <col min="1" max="1" width="54" customWidth="1"/>
    <col min="2" max="2" width="20" style="11" customWidth="1"/>
    <col min="3" max="3" width="15" style="12" customWidth="1"/>
  </cols>
  <sheetData>
    <row r="1" spans="1:4" s="1" customFormat="1" ht="51.6" customHeight="1">
      <c r="A1" s="36" t="s">
        <v>82</v>
      </c>
      <c r="B1" s="36"/>
      <c r="C1" s="36"/>
    </row>
    <row r="2" spans="1:4" s="2" customFormat="1" ht="78" customHeight="1">
      <c r="A2" s="37" t="s">
        <v>83</v>
      </c>
      <c r="B2" s="37"/>
      <c r="C2" s="37"/>
    </row>
    <row r="4" spans="1:4" s="3" customFormat="1">
      <c r="A4" s="3" t="s">
        <v>84</v>
      </c>
      <c r="B4" s="4" t="s">
        <v>85</v>
      </c>
      <c r="C4" s="5" t="s">
        <v>86</v>
      </c>
    </row>
    <row r="5" spans="1:4">
      <c r="A5" s="14" t="s">
        <v>87</v>
      </c>
      <c r="B5" s="11">
        <f>SUM(B6:B11)</f>
        <v>3750000</v>
      </c>
      <c r="C5" s="12">
        <f>'Stock Incentive Plans'!B5/'Capitalization Table'!$AB$39</f>
        <v>3.5516067497348654E-2</v>
      </c>
      <c r="D5" s="27"/>
    </row>
    <row r="6" spans="1:4">
      <c r="A6" t="s">
        <v>88</v>
      </c>
      <c r="B6" s="11">
        <v>81164</v>
      </c>
      <c r="C6" s="12">
        <f>'Stock Incentive Plans'!B6/'Capitalization Table'!$AB$39</f>
        <v>7.6870029396128162E-4</v>
      </c>
      <c r="D6" s="27"/>
    </row>
    <row r="7" spans="1:4">
      <c r="A7" t="s">
        <v>89</v>
      </c>
      <c r="B7" s="11">
        <v>105366</v>
      </c>
      <c r="C7" s="12">
        <f>'Stock Incentive Plans'!B7/'Capitalization Table'!$AB$39</f>
        <v>9.9791625811350361E-4</v>
      </c>
      <c r="D7" s="27"/>
    </row>
    <row r="8" spans="1:4">
      <c r="A8" t="s">
        <v>90</v>
      </c>
      <c r="B8" s="11">
        <v>1075820</v>
      </c>
      <c r="C8" s="12">
        <f>'Stock Incentive Plans'!B8/'Capitalization Table'!$AB$39</f>
        <v>1.0189038862666035E-2</v>
      </c>
      <c r="D8" s="27"/>
    </row>
    <row r="9" spans="1:4">
      <c r="A9" t="s">
        <v>91</v>
      </c>
      <c r="B9" s="11">
        <v>90095</v>
      </c>
      <c r="C9" s="12">
        <f>'Stock Incentive Plans'!B9/'Capitalization Table'!$AB$39</f>
        <v>8.5328536031296725E-4</v>
      </c>
      <c r="D9" s="27"/>
    </row>
    <row r="10" spans="1:4">
      <c r="A10" t="s">
        <v>81</v>
      </c>
      <c r="B10" s="11">
        <v>2397555</v>
      </c>
      <c r="C10" s="12">
        <f>'Stock Incentive Plans'!B10/'Capitalization Table'!$AB$39</f>
        <v>2.2707126722294867E-2</v>
      </c>
      <c r="D10" s="27"/>
    </row>
    <row r="11" spans="1:4">
      <c r="A11" t="s">
        <v>92</v>
      </c>
    </row>
  </sheetData>
  <mergeCells count="2">
    <mergeCell ref="A1:C1"/>
    <mergeCell ref="A2:C2"/>
  </mergeCells>
  <pageMargins left="0.78749999999999998" right="0.78749999999999998" top="1.05277777777778" bottom="1.05416666666667" header="0.78749999999999998" footer="0.78749999999999998"/>
  <pageSetup firstPageNumber="0" orientation="landscape" horizontalDpi="300" verticalDpi="300" r:id="rId1"/>
  <headerFooter>
    <oddHeader>&amp;C&amp;"Times New Roman,Regular"&amp;12 &amp;A</oddHeader>
    <oddFooter>Page &amp;P&amp;R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00"/>
  <sheetViews>
    <sheetView zoomScaleNormal="100" workbookViewId="0">
      <selection activeCell="F11" sqref="F11"/>
    </sheetView>
  </sheetViews>
  <sheetFormatPr defaultColWidth="10.140625" defaultRowHeight="15"/>
  <cols>
    <col min="1" max="1" width="20.7109375" bestFit="1" customWidth="1"/>
    <col min="2" max="5" width="15.85546875" bestFit="1" customWidth="1"/>
    <col min="6" max="6" width="12" bestFit="1" customWidth="1"/>
  </cols>
  <sheetData>
    <row r="1" spans="1:6" s="1" customFormat="1" ht="54" customHeight="1">
      <c r="A1" s="36" t="s">
        <v>93</v>
      </c>
      <c r="B1" s="36"/>
      <c r="C1" s="36"/>
      <c r="D1" s="36"/>
      <c r="E1" s="36"/>
    </row>
    <row r="2" spans="1:6" s="2" customFormat="1" ht="99" customHeight="1">
      <c r="A2" s="37" t="s">
        <v>94</v>
      </c>
      <c r="B2" s="37"/>
      <c r="C2" s="37"/>
      <c r="D2" s="37"/>
      <c r="E2" s="37"/>
    </row>
    <row r="4" spans="1:6" s="19" customFormat="1">
      <c r="B4" s="19" t="s">
        <v>18</v>
      </c>
      <c r="C4" s="19" t="s">
        <v>17</v>
      </c>
      <c r="D4" s="19" t="s">
        <v>16</v>
      </c>
      <c r="E4" s="19" t="s">
        <v>15</v>
      </c>
      <c r="F4" s="19" t="s">
        <v>12</v>
      </c>
    </row>
    <row r="5" spans="1:6" s="11" customFormat="1">
      <c r="A5" s="11" t="s">
        <v>95</v>
      </c>
      <c r="B5" s="11">
        <v>4000003</v>
      </c>
      <c r="C5" s="11">
        <v>4000002</v>
      </c>
      <c r="D5" s="11">
        <v>4000001</v>
      </c>
      <c r="E5" s="11">
        <v>4000000</v>
      </c>
      <c r="F5" s="11">
        <v>204143508</v>
      </c>
    </row>
    <row r="6" spans="1:6" s="20" customFormat="1">
      <c r="A6" s="20" t="s">
        <v>96</v>
      </c>
      <c r="B6" s="20">
        <v>1.5267352942000001</v>
      </c>
      <c r="C6" s="20">
        <v>0.6588669519</v>
      </c>
      <c r="D6" s="20">
        <v>0.40007909679999998</v>
      </c>
      <c r="E6" s="20">
        <v>0.39051390720000001</v>
      </c>
    </row>
    <row r="7" spans="1:6" s="21" customFormat="1">
      <c r="A7" s="21" t="s">
        <v>97</v>
      </c>
      <c r="B7" s="21">
        <v>1</v>
      </c>
      <c r="C7" s="21">
        <v>1</v>
      </c>
      <c r="D7" s="21">
        <v>1</v>
      </c>
      <c r="E7" s="21">
        <v>1</v>
      </c>
    </row>
    <row r="8" spans="1:6" s="11" customFormat="1">
      <c r="A8" s="11" t="s">
        <v>98</v>
      </c>
      <c r="B8" s="11">
        <v>1</v>
      </c>
      <c r="C8" s="11">
        <v>2</v>
      </c>
      <c r="D8" s="11">
        <v>3</v>
      </c>
      <c r="E8" s="11">
        <v>4</v>
      </c>
      <c r="F8" s="11">
        <v>5</v>
      </c>
    </row>
    <row r="9" spans="1:6">
      <c r="A9" s="11" t="s">
        <v>99</v>
      </c>
      <c r="B9" t="s">
        <v>100</v>
      </c>
      <c r="C9" t="s">
        <v>100</v>
      </c>
      <c r="D9" t="s">
        <v>100</v>
      </c>
      <c r="E9" t="s">
        <v>100</v>
      </c>
    </row>
    <row r="10" spans="1:6" s="22" customFormat="1">
      <c r="A10" s="22" t="s">
        <v>101</v>
      </c>
      <c r="B10" s="22">
        <v>1</v>
      </c>
      <c r="C10" s="22">
        <v>1</v>
      </c>
      <c r="D10" s="22">
        <v>1</v>
      </c>
      <c r="E10" s="22">
        <v>1</v>
      </c>
    </row>
    <row r="11" spans="1:6" s="13" customFormat="1">
      <c r="A11" s="13" t="s">
        <v>102</v>
      </c>
    </row>
    <row r="12" spans="1:6">
      <c r="A12" s="8"/>
    </row>
    <row r="13" spans="1:6">
      <c r="A13" s="8"/>
    </row>
    <row r="14" spans="1:6">
      <c r="A14" s="8"/>
    </row>
    <row r="15" spans="1:6">
      <c r="A15" s="8"/>
    </row>
    <row r="16" spans="1:6">
      <c r="A16" s="8"/>
    </row>
    <row r="17" spans="1:1">
      <c r="A17" s="8"/>
    </row>
    <row r="18" spans="1:1">
      <c r="A18" s="8"/>
    </row>
    <row r="19" spans="1:1">
      <c r="A19" s="8"/>
    </row>
    <row r="20" spans="1:1">
      <c r="A20" s="8"/>
    </row>
    <row r="21" spans="1:1">
      <c r="A21" s="8"/>
    </row>
    <row r="22" spans="1:1">
      <c r="A22" s="8"/>
    </row>
    <row r="23" spans="1:1">
      <c r="A23" s="8"/>
    </row>
    <row r="24" spans="1:1">
      <c r="A24" s="8"/>
    </row>
    <row r="25" spans="1:1">
      <c r="A25" s="8"/>
    </row>
    <row r="26" spans="1:1">
      <c r="A26" s="8"/>
    </row>
    <row r="27" spans="1:1">
      <c r="A27" s="8"/>
    </row>
    <row r="28" spans="1:1">
      <c r="A28" s="8"/>
    </row>
    <row r="29" spans="1:1">
      <c r="A29" s="8"/>
    </row>
    <row r="30" spans="1:1">
      <c r="A30" s="8"/>
    </row>
    <row r="31" spans="1:1">
      <c r="A31" s="8"/>
    </row>
    <row r="32" spans="1:1">
      <c r="A32" s="8"/>
    </row>
    <row r="33" spans="1:1">
      <c r="A33" s="8"/>
    </row>
    <row r="34" spans="1:1">
      <c r="A34" s="8"/>
    </row>
    <row r="35" spans="1:1">
      <c r="A35" s="8"/>
    </row>
    <row r="36" spans="1:1">
      <c r="A36" s="8"/>
    </row>
    <row r="37" spans="1:1">
      <c r="A37" s="8"/>
    </row>
    <row r="38" spans="1:1">
      <c r="A38" s="8"/>
    </row>
    <row r="39" spans="1:1">
      <c r="A39" s="8"/>
    </row>
    <row r="40" spans="1:1">
      <c r="A40" s="8"/>
    </row>
    <row r="41" spans="1:1">
      <c r="A41" s="8"/>
    </row>
    <row r="42" spans="1:1">
      <c r="A42" s="8"/>
    </row>
    <row r="43" spans="1:1">
      <c r="A43" s="8"/>
    </row>
    <row r="44" spans="1:1">
      <c r="A44" s="8"/>
    </row>
    <row r="45" spans="1:1">
      <c r="A45" s="8"/>
    </row>
    <row r="46" spans="1:1">
      <c r="A46" s="8"/>
    </row>
    <row r="47" spans="1:1">
      <c r="A47" s="8"/>
    </row>
    <row r="48" spans="1:1">
      <c r="A48" s="8"/>
    </row>
    <row r="49" spans="1:1">
      <c r="A49" s="8"/>
    </row>
    <row r="50" spans="1:1">
      <c r="A50" s="8"/>
    </row>
    <row r="51" spans="1:1">
      <c r="A51" s="8"/>
    </row>
    <row r="52" spans="1:1">
      <c r="A52" s="8"/>
    </row>
    <row r="53" spans="1:1">
      <c r="A53" s="8"/>
    </row>
    <row r="54" spans="1:1">
      <c r="A54" s="8"/>
    </row>
    <row r="55" spans="1:1">
      <c r="A55" s="8"/>
    </row>
    <row r="56" spans="1:1">
      <c r="A56" s="8"/>
    </row>
    <row r="57" spans="1:1">
      <c r="A57" s="8"/>
    </row>
    <row r="58" spans="1:1">
      <c r="A58" s="8"/>
    </row>
    <row r="59" spans="1:1">
      <c r="A59" s="8"/>
    </row>
    <row r="60" spans="1:1">
      <c r="A60" s="8"/>
    </row>
    <row r="61" spans="1:1">
      <c r="A61" s="8"/>
    </row>
    <row r="62" spans="1:1">
      <c r="A62" s="8"/>
    </row>
    <row r="63" spans="1:1">
      <c r="A63" s="8"/>
    </row>
    <row r="64" spans="1:1">
      <c r="A64" s="8"/>
    </row>
    <row r="65" spans="1:1">
      <c r="A65" s="8"/>
    </row>
    <row r="66" spans="1:1">
      <c r="A66" s="8"/>
    </row>
    <row r="67" spans="1:1">
      <c r="A67" s="8"/>
    </row>
    <row r="68" spans="1:1">
      <c r="A68" s="8"/>
    </row>
    <row r="69" spans="1:1">
      <c r="A69" s="8"/>
    </row>
    <row r="70" spans="1:1">
      <c r="A70" s="8"/>
    </row>
    <row r="71" spans="1:1">
      <c r="A71" s="8"/>
    </row>
    <row r="72" spans="1:1">
      <c r="A72" s="8"/>
    </row>
    <row r="73" spans="1:1">
      <c r="A73" s="8"/>
    </row>
    <row r="74" spans="1:1">
      <c r="A74" s="8"/>
    </row>
    <row r="75" spans="1:1">
      <c r="A75" s="8"/>
    </row>
    <row r="76" spans="1:1">
      <c r="A76" s="8"/>
    </row>
    <row r="77" spans="1:1">
      <c r="A77" s="8"/>
    </row>
    <row r="78" spans="1:1">
      <c r="A78" s="8"/>
    </row>
    <row r="79" spans="1:1">
      <c r="A79" s="8"/>
    </row>
    <row r="80" spans="1:1">
      <c r="A80" s="8"/>
    </row>
    <row r="81" spans="1:1">
      <c r="A81" s="8"/>
    </row>
    <row r="82" spans="1:1">
      <c r="A82" s="8"/>
    </row>
    <row r="83" spans="1:1">
      <c r="A83" s="8"/>
    </row>
    <row r="84" spans="1:1">
      <c r="A84" s="8"/>
    </row>
    <row r="85" spans="1:1">
      <c r="A85" s="8"/>
    </row>
    <row r="86" spans="1:1">
      <c r="A86" s="8"/>
    </row>
    <row r="87" spans="1:1">
      <c r="A87" s="8"/>
    </row>
    <row r="88" spans="1:1">
      <c r="A88" s="8"/>
    </row>
    <row r="89" spans="1:1">
      <c r="A89" s="8"/>
    </row>
    <row r="90" spans="1:1">
      <c r="A90" s="8"/>
    </row>
    <row r="91" spans="1:1">
      <c r="A91" s="8"/>
    </row>
    <row r="92" spans="1:1">
      <c r="A92" s="8"/>
    </row>
    <row r="93" spans="1:1">
      <c r="A93" s="8"/>
    </row>
    <row r="94" spans="1:1">
      <c r="A94" s="8"/>
    </row>
    <row r="95" spans="1:1">
      <c r="A95" s="8"/>
    </row>
    <row r="96" spans="1:1">
      <c r="A96" s="8"/>
    </row>
    <row r="97" spans="1:1">
      <c r="A97" s="8"/>
    </row>
    <row r="98" spans="1:1">
      <c r="A98" s="8"/>
    </row>
    <row r="99" spans="1:1">
      <c r="A99" s="8"/>
    </row>
    <row r="100" spans="1:1">
      <c r="A100" s="8"/>
    </row>
  </sheetData>
  <mergeCells count="2">
    <mergeCell ref="A2:E2"/>
    <mergeCell ref="A1:E1"/>
  </mergeCells>
  <pageMargins left="0.78749999999999998" right="0.78749999999999998" top="1.05277777777778" bottom="1.05416666666667" header="0.78749999999999998" footer="0.78749999999999998"/>
  <pageSetup firstPageNumber="0" orientation="landscape" horizontalDpi="300" verticalDpi="300" r:id="rId1"/>
  <headerFooter>
    <oddHeader>&amp;C&amp;"Times New Roman,Regular"&amp;12 &amp;A</oddHeader>
    <oddFooter>Page &amp;P&amp;R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95"/>
  <sheetViews>
    <sheetView zoomScaleNormal="100" workbookViewId="0">
      <selection activeCell="A2" sqref="A2:E2"/>
    </sheetView>
  </sheetViews>
  <sheetFormatPr defaultColWidth="10.140625" defaultRowHeight="15"/>
  <cols>
    <col min="1" max="1" width="20" customWidth="1"/>
    <col min="2" max="3" width="13" customWidth="1"/>
    <col min="4" max="4" width="25" customWidth="1"/>
    <col min="5" max="5" width="18" style="23" customWidth="1"/>
    <col min="6" max="6" width="20" style="20" customWidth="1"/>
    <col min="7" max="13" width="20" style="11" customWidth="1"/>
    <col min="14" max="14" width="17" customWidth="1"/>
    <col min="15" max="15" width="18" style="23" customWidth="1"/>
    <col min="16" max="17" width="13" customWidth="1"/>
    <col min="18" max="18" width="17" customWidth="1"/>
    <col min="19" max="19" width="27.28515625" bestFit="1" customWidth="1"/>
    <col min="20" max="20" width="27.42578125" bestFit="1" customWidth="1"/>
  </cols>
  <sheetData>
    <row r="1" spans="1:20" s="1" customFormat="1" ht="59.1" customHeight="1">
      <c r="A1" s="36" t="s">
        <v>103</v>
      </c>
      <c r="B1" s="36"/>
      <c r="C1" s="36"/>
      <c r="D1" s="36"/>
      <c r="E1" s="36"/>
    </row>
    <row r="2" spans="1:20" s="2" customFormat="1" ht="77.099999999999994" customHeight="1">
      <c r="A2" s="38" t="s">
        <v>104</v>
      </c>
      <c r="B2" s="37"/>
      <c r="C2" s="37"/>
      <c r="D2" s="37"/>
      <c r="E2" s="37"/>
    </row>
    <row r="4" spans="1:20" s="3" customFormat="1">
      <c r="A4" s="3" t="s">
        <v>105</v>
      </c>
      <c r="B4" s="3" t="s">
        <v>106</v>
      </c>
      <c r="C4" s="3" t="s">
        <v>107</v>
      </c>
      <c r="D4" s="3" t="s">
        <v>108</v>
      </c>
      <c r="E4" s="9" t="s">
        <v>109</v>
      </c>
      <c r="F4" s="10" t="s">
        <v>110</v>
      </c>
      <c r="G4" s="4" t="s">
        <v>111</v>
      </c>
      <c r="H4" s="4" t="s">
        <v>112</v>
      </c>
      <c r="I4" s="4" t="s">
        <v>113</v>
      </c>
      <c r="J4" s="4" t="s">
        <v>114</v>
      </c>
      <c r="K4" s="4" t="s">
        <v>115</v>
      </c>
      <c r="L4" s="4" t="s">
        <v>116</v>
      </c>
      <c r="M4" s="4" t="s">
        <v>117</v>
      </c>
      <c r="N4" s="3" t="s">
        <v>118</v>
      </c>
      <c r="O4" s="9" t="s">
        <v>119</v>
      </c>
      <c r="P4" s="3" t="s">
        <v>120</v>
      </c>
      <c r="Q4" s="3" t="s">
        <v>121</v>
      </c>
      <c r="R4" s="3" t="s">
        <v>122</v>
      </c>
      <c r="S4" s="3" t="s">
        <v>123</v>
      </c>
      <c r="T4" s="3" t="s">
        <v>124</v>
      </c>
    </row>
    <row r="5" spans="1:20">
      <c r="A5" t="s">
        <v>54</v>
      </c>
      <c r="B5" t="s">
        <v>12</v>
      </c>
      <c r="C5" t="s">
        <v>125</v>
      </c>
      <c r="D5" t="s">
        <v>87</v>
      </c>
      <c r="E5" s="23">
        <v>45439</v>
      </c>
      <c r="F5" s="20">
        <v>0.60189599999999999</v>
      </c>
      <c r="G5" s="11">
        <v>57187</v>
      </c>
      <c r="H5" s="11">
        <v>0</v>
      </c>
      <c r="I5" s="11">
        <v>0</v>
      </c>
      <c r="J5" s="11">
        <v>0</v>
      </c>
      <c r="K5" s="11">
        <v>57187</v>
      </c>
      <c r="L5" s="11">
        <v>0</v>
      </c>
      <c r="M5" s="11">
        <v>0</v>
      </c>
      <c r="N5" t="s">
        <v>126</v>
      </c>
      <c r="O5" s="23">
        <v>43978</v>
      </c>
      <c r="P5" t="s">
        <v>127</v>
      </c>
      <c r="Q5">
        <v>48</v>
      </c>
      <c r="R5" t="s">
        <v>128</v>
      </c>
      <c r="S5" t="s">
        <v>129</v>
      </c>
      <c r="T5" t="s">
        <v>130</v>
      </c>
    </row>
    <row r="6" spans="1:20">
      <c r="A6" t="s">
        <v>64</v>
      </c>
      <c r="B6" t="s">
        <v>12</v>
      </c>
      <c r="C6" t="s">
        <v>125</v>
      </c>
      <c r="D6" t="s">
        <v>87</v>
      </c>
      <c r="E6" s="23">
        <v>44731</v>
      </c>
      <c r="F6" s="20">
        <v>0.39630100000000001</v>
      </c>
      <c r="G6" s="11">
        <v>52396</v>
      </c>
      <c r="H6" s="11">
        <v>0</v>
      </c>
      <c r="I6" s="11">
        <v>0</v>
      </c>
      <c r="J6" s="11">
        <v>0</v>
      </c>
      <c r="K6" s="11">
        <v>20740</v>
      </c>
      <c r="L6" s="11">
        <v>31656</v>
      </c>
      <c r="M6" s="11">
        <v>0</v>
      </c>
      <c r="N6" t="s">
        <v>126</v>
      </c>
      <c r="O6" s="23">
        <v>45205</v>
      </c>
      <c r="P6" t="s">
        <v>127</v>
      </c>
      <c r="Q6">
        <v>48</v>
      </c>
      <c r="R6" t="s">
        <v>128</v>
      </c>
      <c r="S6" t="s">
        <v>131</v>
      </c>
      <c r="T6" t="s">
        <v>132</v>
      </c>
    </row>
    <row r="7" spans="1:20">
      <c r="A7" t="s">
        <v>66</v>
      </c>
      <c r="B7" t="s">
        <v>12</v>
      </c>
      <c r="C7" t="s">
        <v>125</v>
      </c>
      <c r="D7" t="s">
        <v>87</v>
      </c>
      <c r="E7" s="23">
        <v>44698</v>
      </c>
      <c r="F7" s="20">
        <v>0.39630100000000001</v>
      </c>
      <c r="G7" s="11">
        <v>38794</v>
      </c>
      <c r="H7" s="11">
        <v>0</v>
      </c>
      <c r="I7" s="11">
        <v>0</v>
      </c>
      <c r="J7" s="11">
        <v>0</v>
      </c>
      <c r="K7" s="11">
        <v>14547</v>
      </c>
      <c r="L7" s="11">
        <v>24247</v>
      </c>
      <c r="M7" s="11">
        <v>0</v>
      </c>
      <c r="N7" t="s">
        <v>126</v>
      </c>
      <c r="O7" s="23">
        <v>45231</v>
      </c>
      <c r="P7" t="s">
        <v>127</v>
      </c>
      <c r="Q7">
        <v>48</v>
      </c>
      <c r="R7" t="s">
        <v>128</v>
      </c>
      <c r="S7" t="s">
        <v>133</v>
      </c>
      <c r="T7" t="s">
        <v>134</v>
      </c>
    </row>
    <row r="8" spans="1:20">
      <c r="A8" t="s">
        <v>60</v>
      </c>
      <c r="B8" t="s">
        <v>12</v>
      </c>
      <c r="C8" t="s">
        <v>135</v>
      </c>
      <c r="D8" t="s">
        <v>87</v>
      </c>
      <c r="E8" s="23">
        <v>44662</v>
      </c>
      <c r="F8" s="20">
        <v>0.39630100000000001</v>
      </c>
      <c r="G8" s="11">
        <v>38187</v>
      </c>
      <c r="H8" s="11">
        <v>0</v>
      </c>
      <c r="I8" s="11">
        <v>0</v>
      </c>
      <c r="J8" s="11">
        <v>0</v>
      </c>
      <c r="K8" s="11">
        <v>13524</v>
      </c>
      <c r="L8" s="11">
        <v>24663</v>
      </c>
      <c r="M8" s="11">
        <v>0</v>
      </c>
      <c r="N8" t="s">
        <v>126</v>
      </c>
      <c r="O8" s="23">
        <v>45276</v>
      </c>
      <c r="P8" t="s">
        <v>127</v>
      </c>
      <c r="Q8">
        <v>48</v>
      </c>
      <c r="R8" t="s">
        <v>128</v>
      </c>
      <c r="S8" t="s">
        <v>136</v>
      </c>
      <c r="T8" t="s">
        <v>137</v>
      </c>
    </row>
    <row r="9" spans="1:20">
      <c r="A9" t="s">
        <v>74</v>
      </c>
      <c r="B9" t="s">
        <v>12</v>
      </c>
      <c r="C9" t="s">
        <v>135</v>
      </c>
      <c r="D9" t="s">
        <v>87</v>
      </c>
      <c r="E9" s="23">
        <v>44539</v>
      </c>
      <c r="F9" s="20">
        <v>0.390154</v>
      </c>
      <c r="G9" s="11">
        <v>35086</v>
      </c>
      <c r="H9" s="11">
        <v>0</v>
      </c>
      <c r="I9" s="11">
        <v>0</v>
      </c>
      <c r="J9" s="11">
        <v>0</v>
      </c>
      <c r="K9" s="11">
        <v>35086</v>
      </c>
      <c r="L9" s="11">
        <v>0</v>
      </c>
      <c r="M9" s="11">
        <v>0</v>
      </c>
      <c r="N9" t="s">
        <v>126</v>
      </c>
      <c r="O9" s="23">
        <v>44156</v>
      </c>
      <c r="P9" t="s">
        <v>127</v>
      </c>
      <c r="Q9">
        <v>48</v>
      </c>
      <c r="R9" t="s">
        <v>128</v>
      </c>
      <c r="S9" t="s">
        <v>138</v>
      </c>
      <c r="T9" t="s">
        <v>139</v>
      </c>
    </row>
    <row r="10" spans="1:20">
      <c r="A10" t="s">
        <v>74</v>
      </c>
      <c r="B10" t="s">
        <v>12</v>
      </c>
      <c r="C10" t="s">
        <v>125</v>
      </c>
      <c r="D10" t="s">
        <v>87</v>
      </c>
      <c r="E10" s="23">
        <v>45133</v>
      </c>
      <c r="F10" s="20">
        <v>0.60189599999999999</v>
      </c>
      <c r="G10" s="11">
        <v>30236</v>
      </c>
      <c r="H10" s="11">
        <v>0</v>
      </c>
      <c r="I10" s="11">
        <v>0</v>
      </c>
      <c r="J10" s="11">
        <v>0</v>
      </c>
      <c r="K10" s="11">
        <v>30236</v>
      </c>
      <c r="L10" s="11">
        <v>0</v>
      </c>
      <c r="M10" s="11">
        <v>0</v>
      </c>
      <c r="N10" t="s">
        <v>126</v>
      </c>
      <c r="O10" s="23">
        <v>44013</v>
      </c>
      <c r="P10" t="s">
        <v>127</v>
      </c>
      <c r="Q10">
        <v>48</v>
      </c>
      <c r="R10" t="s">
        <v>128</v>
      </c>
      <c r="S10" t="s">
        <v>138</v>
      </c>
      <c r="T10" t="s">
        <v>140</v>
      </c>
    </row>
    <row r="11" spans="1:20">
      <c r="A11" t="s">
        <v>65</v>
      </c>
      <c r="B11" t="s">
        <v>12</v>
      </c>
      <c r="C11" t="s">
        <v>125</v>
      </c>
      <c r="D11" t="s">
        <v>87</v>
      </c>
      <c r="E11" s="23">
        <v>44553</v>
      </c>
      <c r="F11" s="20">
        <v>0.390154</v>
      </c>
      <c r="G11" s="11">
        <v>29797</v>
      </c>
      <c r="H11" s="11">
        <v>0</v>
      </c>
      <c r="I11" s="11">
        <v>0</v>
      </c>
      <c r="J11" s="11">
        <v>0</v>
      </c>
      <c r="K11" s="11">
        <v>18623</v>
      </c>
      <c r="L11" s="11">
        <v>11174</v>
      </c>
      <c r="M11" s="11">
        <v>0</v>
      </c>
      <c r="N11" t="s">
        <v>126</v>
      </c>
      <c r="O11" s="23">
        <v>44875</v>
      </c>
      <c r="P11" t="s">
        <v>127</v>
      </c>
      <c r="Q11">
        <v>48</v>
      </c>
      <c r="R11" t="s">
        <v>128</v>
      </c>
      <c r="S11" t="s">
        <v>141</v>
      </c>
      <c r="T11" t="s">
        <v>142</v>
      </c>
    </row>
    <row r="12" spans="1:20">
      <c r="A12" t="s">
        <v>68</v>
      </c>
      <c r="B12" t="s">
        <v>12</v>
      </c>
      <c r="C12" t="s">
        <v>135</v>
      </c>
      <c r="D12" t="s">
        <v>87</v>
      </c>
      <c r="E12" s="23">
        <v>44006</v>
      </c>
      <c r="F12" s="20">
        <v>2.4299000000000001E-2</v>
      </c>
      <c r="G12" s="11">
        <v>29560</v>
      </c>
      <c r="H12" s="11">
        <v>0</v>
      </c>
      <c r="I12" s="11">
        <v>0</v>
      </c>
      <c r="J12" s="11">
        <v>0</v>
      </c>
      <c r="K12" s="11">
        <v>25865</v>
      </c>
      <c r="L12" s="11">
        <v>3695</v>
      </c>
      <c r="M12" s="11">
        <v>0</v>
      </c>
      <c r="N12" t="s">
        <v>126</v>
      </c>
      <c r="O12" s="23">
        <v>44513</v>
      </c>
      <c r="P12" t="s">
        <v>127</v>
      </c>
      <c r="Q12">
        <v>48</v>
      </c>
      <c r="R12" t="s">
        <v>128</v>
      </c>
      <c r="S12" t="s">
        <v>143</v>
      </c>
      <c r="T12" t="s">
        <v>144</v>
      </c>
    </row>
    <row r="13" spans="1:20">
      <c r="A13" t="s">
        <v>63</v>
      </c>
      <c r="B13" t="s">
        <v>12</v>
      </c>
      <c r="C13" t="s">
        <v>125</v>
      </c>
      <c r="D13" t="s">
        <v>87</v>
      </c>
      <c r="E13" s="23">
        <v>44165</v>
      </c>
      <c r="F13" s="20">
        <v>0.18909100000000001</v>
      </c>
      <c r="G13" s="11">
        <v>29140</v>
      </c>
      <c r="H13" s="11">
        <v>0</v>
      </c>
      <c r="I13" s="11">
        <v>0</v>
      </c>
      <c r="J13" s="11">
        <v>0</v>
      </c>
      <c r="K13" s="11">
        <v>29140</v>
      </c>
      <c r="L13" s="11">
        <v>0</v>
      </c>
      <c r="M13" s="11">
        <v>0</v>
      </c>
      <c r="N13" t="s">
        <v>126</v>
      </c>
      <c r="O13" s="23">
        <v>44023</v>
      </c>
      <c r="P13" t="s">
        <v>127</v>
      </c>
      <c r="Q13">
        <v>48</v>
      </c>
      <c r="R13" t="s">
        <v>128</v>
      </c>
      <c r="S13" t="s">
        <v>145</v>
      </c>
      <c r="T13" t="s">
        <v>146</v>
      </c>
    </row>
    <row r="14" spans="1:20">
      <c r="A14" t="s">
        <v>62</v>
      </c>
      <c r="B14" t="s">
        <v>12</v>
      </c>
      <c r="C14" t="s">
        <v>135</v>
      </c>
      <c r="D14" t="s">
        <v>87</v>
      </c>
      <c r="E14" s="23">
        <v>44954</v>
      </c>
      <c r="F14" s="20">
        <v>0.60189599999999999</v>
      </c>
      <c r="G14" s="11">
        <v>28263</v>
      </c>
      <c r="H14" s="11">
        <v>28198</v>
      </c>
      <c r="I14" s="11">
        <v>0</v>
      </c>
      <c r="J14" s="11">
        <v>28198</v>
      </c>
      <c r="K14" s="11">
        <v>0</v>
      </c>
      <c r="L14" s="11">
        <v>65</v>
      </c>
      <c r="M14" s="11">
        <v>0</v>
      </c>
      <c r="N14" t="s">
        <v>126</v>
      </c>
      <c r="O14" s="23">
        <v>45673</v>
      </c>
      <c r="P14" t="s">
        <v>127</v>
      </c>
      <c r="Q14">
        <v>48</v>
      </c>
      <c r="R14" t="s">
        <v>128</v>
      </c>
      <c r="S14" t="s">
        <v>147</v>
      </c>
      <c r="T14" t="s">
        <v>148</v>
      </c>
    </row>
    <row r="15" spans="1:20">
      <c r="A15" t="s">
        <v>60</v>
      </c>
      <c r="B15" t="s">
        <v>12</v>
      </c>
      <c r="C15" t="s">
        <v>135</v>
      </c>
      <c r="D15" t="s">
        <v>87</v>
      </c>
      <c r="E15" s="23">
        <v>44092</v>
      </c>
      <c r="F15" s="20">
        <v>2.4299000000000001E-2</v>
      </c>
      <c r="G15" s="11">
        <v>28229</v>
      </c>
      <c r="H15" s="11">
        <v>0</v>
      </c>
      <c r="I15" s="11">
        <v>0</v>
      </c>
      <c r="J15" s="11">
        <v>0</v>
      </c>
      <c r="K15" s="11">
        <v>27640</v>
      </c>
      <c r="L15" s="11">
        <v>589</v>
      </c>
      <c r="M15" s="11">
        <v>0</v>
      </c>
      <c r="N15" t="s">
        <v>126</v>
      </c>
      <c r="O15" s="23">
        <v>44351</v>
      </c>
      <c r="P15" t="s">
        <v>127</v>
      </c>
      <c r="Q15">
        <v>48</v>
      </c>
      <c r="R15" t="s">
        <v>128</v>
      </c>
      <c r="S15" t="s">
        <v>136</v>
      </c>
      <c r="T15" t="s">
        <v>149</v>
      </c>
    </row>
    <row r="16" spans="1:20">
      <c r="A16" t="s">
        <v>61</v>
      </c>
      <c r="B16" t="s">
        <v>12</v>
      </c>
      <c r="C16" t="s">
        <v>125</v>
      </c>
      <c r="D16" t="s">
        <v>87</v>
      </c>
      <c r="E16" s="23">
        <v>44575</v>
      </c>
      <c r="F16" s="20">
        <v>0.390154</v>
      </c>
      <c r="G16" s="11">
        <v>27633</v>
      </c>
      <c r="H16" s="11">
        <v>0</v>
      </c>
      <c r="I16" s="11">
        <v>0</v>
      </c>
      <c r="J16" s="11">
        <v>0</v>
      </c>
      <c r="K16" s="11">
        <v>13816</v>
      </c>
      <c r="L16" s="11">
        <v>13817</v>
      </c>
      <c r="M16" s="11">
        <v>0</v>
      </c>
      <c r="N16" t="s">
        <v>126</v>
      </c>
      <c r="O16" s="23">
        <v>45041</v>
      </c>
      <c r="P16" t="s">
        <v>127</v>
      </c>
      <c r="Q16">
        <v>48</v>
      </c>
      <c r="R16" t="s">
        <v>128</v>
      </c>
      <c r="S16" t="s">
        <v>150</v>
      </c>
      <c r="T16" t="s">
        <v>151</v>
      </c>
    </row>
    <row r="17" spans="1:20">
      <c r="A17" t="s">
        <v>61</v>
      </c>
      <c r="B17" t="s">
        <v>12</v>
      </c>
      <c r="C17" t="s">
        <v>125</v>
      </c>
      <c r="D17" t="s">
        <v>87</v>
      </c>
      <c r="E17" s="23">
        <v>44971</v>
      </c>
      <c r="F17" s="20">
        <v>0.60189599999999999</v>
      </c>
      <c r="G17" s="11">
        <v>25476</v>
      </c>
      <c r="H17" s="11">
        <v>0</v>
      </c>
      <c r="I17" s="11">
        <v>0</v>
      </c>
      <c r="J17" s="11">
        <v>0</v>
      </c>
      <c r="K17" s="11">
        <v>0</v>
      </c>
      <c r="L17" s="11">
        <v>25476</v>
      </c>
      <c r="M17" s="11">
        <v>0</v>
      </c>
      <c r="N17" t="s">
        <v>126</v>
      </c>
      <c r="O17" s="23">
        <v>45640</v>
      </c>
      <c r="P17" t="s">
        <v>127</v>
      </c>
      <c r="Q17">
        <v>48</v>
      </c>
      <c r="R17" t="s">
        <v>128</v>
      </c>
      <c r="S17" t="s">
        <v>150</v>
      </c>
      <c r="T17" t="s">
        <v>152</v>
      </c>
    </row>
    <row r="18" spans="1:20">
      <c r="A18" t="s">
        <v>75</v>
      </c>
      <c r="B18" t="s">
        <v>12</v>
      </c>
      <c r="C18" t="s">
        <v>125</v>
      </c>
      <c r="D18" t="s">
        <v>87</v>
      </c>
      <c r="E18" s="23">
        <v>45029</v>
      </c>
      <c r="F18" s="20">
        <v>0.60189599999999999</v>
      </c>
      <c r="G18" s="11">
        <v>25209</v>
      </c>
      <c r="H18" s="11">
        <v>0</v>
      </c>
      <c r="I18" s="11">
        <v>0</v>
      </c>
      <c r="J18" s="11">
        <v>0</v>
      </c>
      <c r="K18" s="11">
        <v>7562</v>
      </c>
      <c r="L18" s="11">
        <v>17647</v>
      </c>
      <c r="M18" s="11">
        <v>0</v>
      </c>
      <c r="N18" t="s">
        <v>153</v>
      </c>
      <c r="S18" t="s">
        <v>154</v>
      </c>
      <c r="T18" t="s">
        <v>155</v>
      </c>
    </row>
    <row r="19" spans="1:20">
      <c r="A19" t="s">
        <v>71</v>
      </c>
      <c r="B19" t="s">
        <v>12</v>
      </c>
      <c r="C19" t="s">
        <v>125</v>
      </c>
      <c r="D19" t="s">
        <v>87</v>
      </c>
      <c r="E19" s="23">
        <v>44630</v>
      </c>
      <c r="F19" s="20">
        <v>0.39630100000000001</v>
      </c>
      <c r="G19" s="11">
        <v>24638</v>
      </c>
      <c r="H19" s="11">
        <v>0</v>
      </c>
      <c r="I19" s="11">
        <v>0</v>
      </c>
      <c r="J19" s="11">
        <v>0</v>
      </c>
      <c r="K19" s="11">
        <v>0</v>
      </c>
      <c r="L19" s="11">
        <v>24638</v>
      </c>
      <c r="M19" s="11">
        <v>0</v>
      </c>
      <c r="N19" t="s">
        <v>126</v>
      </c>
      <c r="O19" s="23">
        <v>45571</v>
      </c>
      <c r="P19" t="s">
        <v>127</v>
      </c>
      <c r="Q19">
        <v>48</v>
      </c>
      <c r="R19" t="s">
        <v>128</v>
      </c>
      <c r="S19" t="s">
        <v>156</v>
      </c>
      <c r="T19" t="s">
        <v>157</v>
      </c>
    </row>
    <row r="20" spans="1:20">
      <c r="A20" t="s">
        <v>78</v>
      </c>
      <c r="B20" t="s">
        <v>12</v>
      </c>
      <c r="C20" t="s">
        <v>117</v>
      </c>
      <c r="D20" t="s">
        <v>87</v>
      </c>
      <c r="E20" s="23">
        <v>45355</v>
      </c>
      <c r="F20" s="20">
        <v>0</v>
      </c>
      <c r="G20" s="11">
        <v>22397</v>
      </c>
      <c r="H20" s="11">
        <v>0</v>
      </c>
      <c r="I20" s="11">
        <v>0</v>
      </c>
      <c r="J20" s="11">
        <v>0</v>
      </c>
      <c r="K20" s="11">
        <v>0</v>
      </c>
      <c r="L20" s="11">
        <v>0</v>
      </c>
      <c r="M20" s="11">
        <v>22397</v>
      </c>
      <c r="N20" t="s">
        <v>126</v>
      </c>
      <c r="O20" s="23">
        <v>45249</v>
      </c>
      <c r="P20" t="s">
        <v>127</v>
      </c>
      <c r="Q20">
        <v>48</v>
      </c>
      <c r="R20" t="s">
        <v>128</v>
      </c>
      <c r="S20" t="s">
        <v>158</v>
      </c>
      <c r="T20" t="s">
        <v>159</v>
      </c>
    </row>
    <row r="21" spans="1:20">
      <c r="A21" t="s">
        <v>63</v>
      </c>
      <c r="B21" t="s">
        <v>12</v>
      </c>
      <c r="C21" t="s">
        <v>160</v>
      </c>
      <c r="D21" t="s">
        <v>87</v>
      </c>
      <c r="E21" s="23">
        <v>44000</v>
      </c>
      <c r="F21" s="20">
        <v>2.4299000000000001E-2</v>
      </c>
      <c r="G21" s="11">
        <v>22146</v>
      </c>
      <c r="H21" s="11">
        <v>22146</v>
      </c>
      <c r="I21" s="11">
        <v>22146</v>
      </c>
      <c r="J21" s="11">
        <v>0</v>
      </c>
      <c r="K21" s="11">
        <v>0</v>
      </c>
      <c r="L21" s="11">
        <v>0</v>
      </c>
      <c r="M21" s="11">
        <v>0</v>
      </c>
      <c r="N21" t="s">
        <v>126</v>
      </c>
      <c r="O21" s="23">
        <v>44162</v>
      </c>
      <c r="P21" t="s">
        <v>127</v>
      </c>
      <c r="Q21">
        <v>48</v>
      </c>
      <c r="R21" t="s">
        <v>128</v>
      </c>
      <c r="S21" t="s">
        <v>145</v>
      </c>
      <c r="T21" t="s">
        <v>161</v>
      </c>
    </row>
    <row r="22" spans="1:20">
      <c r="A22" t="s">
        <v>76</v>
      </c>
      <c r="B22" t="s">
        <v>12</v>
      </c>
      <c r="C22" t="s">
        <v>135</v>
      </c>
      <c r="D22" t="s">
        <v>87</v>
      </c>
      <c r="E22" s="23">
        <v>44439</v>
      </c>
      <c r="F22" s="20">
        <v>0.390154</v>
      </c>
      <c r="G22" s="11">
        <v>22104</v>
      </c>
      <c r="H22" s="11">
        <v>0</v>
      </c>
      <c r="I22" s="11">
        <v>0</v>
      </c>
      <c r="J22" s="11">
        <v>0</v>
      </c>
      <c r="K22" s="11">
        <v>7368</v>
      </c>
      <c r="L22" s="11">
        <v>14736</v>
      </c>
      <c r="M22" s="11">
        <v>0</v>
      </c>
      <c r="N22" t="s">
        <v>126</v>
      </c>
      <c r="O22" s="23">
        <v>45301</v>
      </c>
      <c r="P22" t="s">
        <v>127</v>
      </c>
      <c r="Q22">
        <v>48</v>
      </c>
      <c r="R22" t="s">
        <v>128</v>
      </c>
      <c r="S22" t="s">
        <v>162</v>
      </c>
      <c r="T22" t="s">
        <v>163</v>
      </c>
    </row>
    <row r="23" spans="1:20">
      <c r="A23" t="s">
        <v>69</v>
      </c>
      <c r="B23" t="s">
        <v>12</v>
      </c>
      <c r="C23" t="s">
        <v>125</v>
      </c>
      <c r="D23" t="s">
        <v>87</v>
      </c>
      <c r="E23" s="23">
        <v>44601</v>
      </c>
      <c r="F23" s="20">
        <v>0.39630100000000001</v>
      </c>
      <c r="G23" s="11">
        <v>21644</v>
      </c>
      <c r="H23" s="11">
        <v>0</v>
      </c>
      <c r="I23" s="11">
        <v>0</v>
      </c>
      <c r="J23" s="11">
        <v>0</v>
      </c>
      <c r="K23" s="11">
        <v>11272</v>
      </c>
      <c r="L23" s="11">
        <v>10372</v>
      </c>
      <c r="M23" s="11">
        <v>0</v>
      </c>
      <c r="N23" t="s">
        <v>126</v>
      </c>
      <c r="O23" s="23">
        <v>45011</v>
      </c>
      <c r="P23" t="s">
        <v>127</v>
      </c>
      <c r="Q23">
        <v>48</v>
      </c>
      <c r="R23" t="s">
        <v>128</v>
      </c>
      <c r="S23" t="s">
        <v>164</v>
      </c>
      <c r="T23" t="s">
        <v>165</v>
      </c>
    </row>
    <row r="24" spans="1:20">
      <c r="A24" t="s">
        <v>75</v>
      </c>
      <c r="B24" t="s">
        <v>12</v>
      </c>
      <c r="C24" t="s">
        <v>135</v>
      </c>
      <c r="D24" t="s">
        <v>87</v>
      </c>
      <c r="E24" s="23">
        <v>44504</v>
      </c>
      <c r="F24" s="20">
        <v>0.390154</v>
      </c>
      <c r="G24" s="11">
        <v>20983</v>
      </c>
      <c r="H24" s="11">
        <v>0</v>
      </c>
      <c r="I24" s="11">
        <v>0</v>
      </c>
      <c r="J24" s="11">
        <v>0</v>
      </c>
      <c r="K24" s="11">
        <v>6994</v>
      </c>
      <c r="L24" s="11">
        <v>13989</v>
      </c>
      <c r="M24" s="11">
        <v>0</v>
      </c>
      <c r="N24" t="s">
        <v>126</v>
      </c>
      <c r="O24" s="23">
        <v>45287</v>
      </c>
      <c r="P24" t="s">
        <v>127</v>
      </c>
      <c r="Q24">
        <v>48</v>
      </c>
      <c r="R24" t="s">
        <v>128</v>
      </c>
      <c r="S24" t="s">
        <v>154</v>
      </c>
      <c r="T24" t="s">
        <v>166</v>
      </c>
    </row>
    <row r="25" spans="1:20">
      <c r="A25" t="s">
        <v>76</v>
      </c>
      <c r="B25" t="s">
        <v>12</v>
      </c>
      <c r="C25" t="s">
        <v>125</v>
      </c>
      <c r="D25" t="s">
        <v>87</v>
      </c>
      <c r="E25" s="23">
        <v>45446</v>
      </c>
      <c r="F25" s="20">
        <v>0.60189599999999999</v>
      </c>
      <c r="G25" s="11">
        <v>20655</v>
      </c>
      <c r="H25" s="11">
        <v>0</v>
      </c>
      <c r="I25" s="11">
        <v>0</v>
      </c>
      <c r="J25" s="11">
        <v>0</v>
      </c>
      <c r="K25" s="11">
        <v>19364</v>
      </c>
      <c r="L25" s="11">
        <v>1291</v>
      </c>
      <c r="M25" s="11">
        <v>0</v>
      </c>
      <c r="N25" t="s">
        <v>126</v>
      </c>
      <c r="O25" s="23">
        <v>44429</v>
      </c>
      <c r="P25" t="s">
        <v>127</v>
      </c>
      <c r="Q25">
        <v>48</v>
      </c>
      <c r="R25" t="s">
        <v>128</v>
      </c>
      <c r="S25" t="s">
        <v>162</v>
      </c>
      <c r="T25" t="s">
        <v>167</v>
      </c>
    </row>
    <row r="26" spans="1:20">
      <c r="A26" t="s">
        <v>63</v>
      </c>
      <c r="B26" t="s">
        <v>12</v>
      </c>
      <c r="C26" t="s">
        <v>135</v>
      </c>
      <c r="D26" t="s">
        <v>87</v>
      </c>
      <c r="E26" s="23">
        <v>45253</v>
      </c>
      <c r="F26" s="20">
        <v>0.60189599999999999</v>
      </c>
      <c r="G26" s="11">
        <v>20274</v>
      </c>
      <c r="H26" s="11">
        <v>19493</v>
      </c>
      <c r="I26" s="11">
        <v>6335</v>
      </c>
      <c r="J26" s="11">
        <v>13158</v>
      </c>
      <c r="K26" s="11">
        <v>0</v>
      </c>
      <c r="L26" s="11">
        <v>781</v>
      </c>
      <c r="M26" s="11">
        <v>0</v>
      </c>
      <c r="N26" t="s">
        <v>126</v>
      </c>
      <c r="O26" s="23">
        <v>45336</v>
      </c>
      <c r="P26" t="s">
        <v>127</v>
      </c>
      <c r="Q26">
        <v>48</v>
      </c>
      <c r="R26" t="s">
        <v>128</v>
      </c>
      <c r="S26" t="s">
        <v>145</v>
      </c>
      <c r="T26" t="s">
        <v>168</v>
      </c>
    </row>
    <row r="27" spans="1:20">
      <c r="A27" t="s">
        <v>62</v>
      </c>
      <c r="B27" t="s">
        <v>12</v>
      </c>
      <c r="C27" t="s">
        <v>125</v>
      </c>
      <c r="D27" t="s">
        <v>87</v>
      </c>
      <c r="E27" s="23">
        <v>45222</v>
      </c>
      <c r="F27" s="20">
        <v>0.60189599999999999</v>
      </c>
      <c r="G27" s="11">
        <v>20173</v>
      </c>
      <c r="H27" s="11">
        <v>2220</v>
      </c>
      <c r="I27" s="11">
        <v>2220</v>
      </c>
      <c r="J27" s="11">
        <v>0</v>
      </c>
      <c r="K27" s="11">
        <v>5765</v>
      </c>
      <c r="L27" s="11">
        <v>12188</v>
      </c>
      <c r="M27" s="11">
        <v>0</v>
      </c>
      <c r="N27" t="s">
        <v>126</v>
      </c>
      <c r="O27" s="23">
        <v>45212</v>
      </c>
      <c r="P27" t="s">
        <v>127</v>
      </c>
      <c r="Q27">
        <v>48</v>
      </c>
      <c r="R27" t="s">
        <v>128</v>
      </c>
      <c r="S27" t="s">
        <v>147</v>
      </c>
      <c r="T27" t="s">
        <v>169</v>
      </c>
    </row>
    <row r="28" spans="1:20">
      <c r="A28" t="s">
        <v>61</v>
      </c>
      <c r="B28" t="s">
        <v>12</v>
      </c>
      <c r="C28" t="s">
        <v>135</v>
      </c>
      <c r="D28" t="s">
        <v>87</v>
      </c>
      <c r="E28" s="23">
        <v>45068</v>
      </c>
      <c r="F28" s="20">
        <v>0.60189599999999999</v>
      </c>
      <c r="G28" s="11">
        <v>19513</v>
      </c>
      <c r="H28" s="11">
        <v>0</v>
      </c>
      <c r="I28" s="11">
        <v>0</v>
      </c>
      <c r="J28" s="11">
        <v>0</v>
      </c>
      <c r="K28" s="11">
        <v>19513</v>
      </c>
      <c r="L28" s="11">
        <v>0</v>
      </c>
      <c r="M28" s="11">
        <v>0</v>
      </c>
      <c r="N28" t="s">
        <v>126</v>
      </c>
      <c r="O28" s="23">
        <v>44197</v>
      </c>
      <c r="P28" t="s">
        <v>127</v>
      </c>
      <c r="Q28">
        <v>48</v>
      </c>
      <c r="R28" t="s">
        <v>128</v>
      </c>
      <c r="S28" t="s">
        <v>150</v>
      </c>
      <c r="T28" t="s">
        <v>170</v>
      </c>
    </row>
    <row r="29" spans="1:20">
      <c r="A29" t="s">
        <v>62</v>
      </c>
      <c r="B29" t="s">
        <v>12</v>
      </c>
      <c r="C29" t="s">
        <v>160</v>
      </c>
      <c r="D29" t="s">
        <v>87</v>
      </c>
      <c r="E29" s="23">
        <v>44150</v>
      </c>
      <c r="F29" s="20">
        <v>0.18909100000000001</v>
      </c>
      <c r="G29" s="11">
        <v>19351</v>
      </c>
      <c r="H29" s="11">
        <v>19351</v>
      </c>
      <c r="I29" s="11">
        <v>19351</v>
      </c>
      <c r="J29" s="11">
        <v>0</v>
      </c>
      <c r="K29" s="11">
        <v>0</v>
      </c>
      <c r="L29" s="11">
        <v>0</v>
      </c>
      <c r="M29" s="11">
        <v>0</v>
      </c>
      <c r="N29" t="s">
        <v>126</v>
      </c>
      <c r="O29" s="23">
        <v>44100</v>
      </c>
      <c r="P29" t="s">
        <v>127</v>
      </c>
      <c r="Q29">
        <v>48</v>
      </c>
      <c r="R29" t="s">
        <v>128</v>
      </c>
      <c r="S29" t="s">
        <v>147</v>
      </c>
      <c r="T29" t="s">
        <v>171</v>
      </c>
    </row>
    <row r="30" spans="1:20">
      <c r="A30" t="s">
        <v>62</v>
      </c>
      <c r="B30" t="s">
        <v>12</v>
      </c>
      <c r="C30" t="s">
        <v>117</v>
      </c>
      <c r="D30" t="s">
        <v>87</v>
      </c>
      <c r="E30" s="23">
        <v>44360</v>
      </c>
      <c r="F30" s="20">
        <v>0</v>
      </c>
      <c r="G30" s="11">
        <v>19251</v>
      </c>
      <c r="H30" s="11">
        <v>0</v>
      </c>
      <c r="I30" s="11">
        <v>0</v>
      </c>
      <c r="J30" s="11">
        <v>0</v>
      </c>
      <c r="K30" s="11">
        <v>0</v>
      </c>
      <c r="L30" s="11">
        <v>0</v>
      </c>
      <c r="M30" s="11">
        <v>19251</v>
      </c>
      <c r="N30" t="s">
        <v>126</v>
      </c>
      <c r="O30" s="23">
        <v>44125</v>
      </c>
      <c r="P30" t="s">
        <v>127</v>
      </c>
      <c r="Q30">
        <v>48</v>
      </c>
      <c r="R30" t="s">
        <v>128</v>
      </c>
      <c r="S30" t="s">
        <v>147</v>
      </c>
      <c r="T30" t="s">
        <v>172</v>
      </c>
    </row>
    <row r="31" spans="1:20">
      <c r="A31" t="s">
        <v>69</v>
      </c>
      <c r="B31" t="s">
        <v>12</v>
      </c>
      <c r="C31" t="s">
        <v>125</v>
      </c>
      <c r="D31" t="s">
        <v>87</v>
      </c>
      <c r="E31" s="23">
        <v>44386</v>
      </c>
      <c r="F31" s="20">
        <v>0.390154</v>
      </c>
      <c r="G31" s="11">
        <v>18768</v>
      </c>
      <c r="H31" s="11">
        <v>0</v>
      </c>
      <c r="I31" s="11">
        <v>0</v>
      </c>
      <c r="J31" s="11">
        <v>0</v>
      </c>
      <c r="K31" s="11">
        <v>6647</v>
      </c>
      <c r="L31" s="11">
        <v>12121</v>
      </c>
      <c r="M31" s="11">
        <v>0</v>
      </c>
      <c r="N31" t="s">
        <v>126</v>
      </c>
      <c r="O31" s="23">
        <v>45257</v>
      </c>
      <c r="P31" t="s">
        <v>127</v>
      </c>
      <c r="Q31">
        <v>48</v>
      </c>
      <c r="R31" t="s">
        <v>128</v>
      </c>
      <c r="S31" t="s">
        <v>164</v>
      </c>
      <c r="T31" t="s">
        <v>173</v>
      </c>
    </row>
    <row r="32" spans="1:20">
      <c r="A32" t="s">
        <v>61</v>
      </c>
      <c r="B32" t="s">
        <v>12</v>
      </c>
      <c r="C32" t="s">
        <v>125</v>
      </c>
      <c r="D32" t="s">
        <v>87</v>
      </c>
      <c r="E32" s="23">
        <v>44485</v>
      </c>
      <c r="F32" s="20">
        <v>0.390154</v>
      </c>
      <c r="G32" s="11">
        <v>17904</v>
      </c>
      <c r="H32" s="11">
        <v>0</v>
      </c>
      <c r="I32" s="11">
        <v>0</v>
      </c>
      <c r="J32" s="11">
        <v>0</v>
      </c>
      <c r="K32" s="11">
        <v>14323</v>
      </c>
      <c r="L32" s="11">
        <v>3581</v>
      </c>
      <c r="M32" s="11">
        <v>0</v>
      </c>
      <c r="N32" t="s">
        <v>153</v>
      </c>
      <c r="S32" t="s">
        <v>150</v>
      </c>
      <c r="T32" t="s">
        <v>174</v>
      </c>
    </row>
    <row r="33" spans="1:20">
      <c r="A33" t="s">
        <v>60</v>
      </c>
      <c r="B33" t="s">
        <v>12</v>
      </c>
      <c r="C33" t="s">
        <v>135</v>
      </c>
      <c r="D33" t="s">
        <v>87</v>
      </c>
      <c r="E33" s="23">
        <v>44902</v>
      </c>
      <c r="F33" s="20">
        <v>0.60189599999999999</v>
      </c>
      <c r="G33" s="11">
        <v>17455</v>
      </c>
      <c r="H33" s="11">
        <v>0</v>
      </c>
      <c r="I33" s="11">
        <v>0</v>
      </c>
      <c r="J33" s="11">
        <v>0</v>
      </c>
      <c r="K33" s="11">
        <v>16727</v>
      </c>
      <c r="L33" s="11">
        <v>728</v>
      </c>
      <c r="M33" s="11">
        <v>0</v>
      </c>
      <c r="N33" t="s">
        <v>126</v>
      </c>
      <c r="O33" s="23">
        <v>44380</v>
      </c>
      <c r="P33" t="s">
        <v>127</v>
      </c>
      <c r="Q33">
        <v>48</v>
      </c>
      <c r="R33" t="s">
        <v>128</v>
      </c>
      <c r="S33" t="s">
        <v>136</v>
      </c>
      <c r="T33" t="s">
        <v>175</v>
      </c>
    </row>
    <row r="34" spans="1:20">
      <c r="A34" t="s">
        <v>74</v>
      </c>
      <c r="B34" t="s">
        <v>12</v>
      </c>
      <c r="C34" t="s">
        <v>125</v>
      </c>
      <c r="D34" t="s">
        <v>87</v>
      </c>
      <c r="E34" s="23">
        <v>45482</v>
      </c>
      <c r="F34" s="20">
        <v>0.60189599999999999</v>
      </c>
      <c r="G34" s="11">
        <v>17291</v>
      </c>
      <c r="H34" s="11">
        <v>0</v>
      </c>
      <c r="I34" s="11">
        <v>0</v>
      </c>
      <c r="J34" s="11">
        <v>0</v>
      </c>
      <c r="K34" s="11">
        <v>6844</v>
      </c>
      <c r="L34" s="11">
        <v>10447</v>
      </c>
      <c r="M34" s="11">
        <v>0</v>
      </c>
      <c r="N34" t="s">
        <v>126</v>
      </c>
      <c r="O34" s="23">
        <v>45219</v>
      </c>
      <c r="P34" t="s">
        <v>127</v>
      </c>
      <c r="Q34">
        <v>48</v>
      </c>
      <c r="R34" t="s">
        <v>128</v>
      </c>
      <c r="S34" t="s">
        <v>138</v>
      </c>
      <c r="T34" t="s">
        <v>176</v>
      </c>
    </row>
    <row r="35" spans="1:20">
      <c r="A35" t="s">
        <v>64</v>
      </c>
      <c r="B35" t="s">
        <v>12</v>
      </c>
      <c r="C35" t="s">
        <v>135</v>
      </c>
      <c r="D35" t="s">
        <v>87</v>
      </c>
      <c r="E35" s="23">
        <v>45236</v>
      </c>
      <c r="F35" s="20">
        <v>0.60189599999999999</v>
      </c>
      <c r="G35" s="11">
        <v>17036</v>
      </c>
      <c r="H35" s="11">
        <v>0</v>
      </c>
      <c r="I35" s="11">
        <v>0</v>
      </c>
      <c r="J35" s="11">
        <v>0</v>
      </c>
      <c r="K35" s="11">
        <v>13486</v>
      </c>
      <c r="L35" s="11">
        <v>3550</v>
      </c>
      <c r="M35" s="11">
        <v>0</v>
      </c>
      <c r="N35" t="s">
        <v>126</v>
      </c>
      <c r="O35" s="23">
        <v>44625</v>
      </c>
      <c r="P35" t="s">
        <v>127</v>
      </c>
      <c r="Q35">
        <v>48</v>
      </c>
      <c r="R35" t="s">
        <v>128</v>
      </c>
      <c r="S35" t="s">
        <v>131</v>
      </c>
      <c r="T35" t="s">
        <v>177</v>
      </c>
    </row>
    <row r="36" spans="1:20">
      <c r="A36" t="s">
        <v>60</v>
      </c>
      <c r="B36" t="s">
        <v>12</v>
      </c>
      <c r="C36" t="s">
        <v>135</v>
      </c>
      <c r="D36" t="s">
        <v>87</v>
      </c>
      <c r="E36" s="23">
        <v>44001</v>
      </c>
      <c r="F36" s="20">
        <v>2.4299000000000001E-2</v>
      </c>
      <c r="G36" s="11">
        <v>16905</v>
      </c>
      <c r="H36" s="11">
        <v>1181</v>
      </c>
      <c r="I36" s="11">
        <v>0</v>
      </c>
      <c r="J36" s="11">
        <v>1181</v>
      </c>
      <c r="K36" s="11">
        <v>0</v>
      </c>
      <c r="L36" s="11">
        <v>15724</v>
      </c>
      <c r="M36" s="11">
        <v>0</v>
      </c>
      <c r="N36" t="s">
        <v>126</v>
      </c>
      <c r="O36" s="23">
        <v>45511</v>
      </c>
      <c r="P36" t="s">
        <v>127</v>
      </c>
      <c r="Q36">
        <v>48</v>
      </c>
      <c r="R36" t="s">
        <v>128</v>
      </c>
      <c r="S36" t="s">
        <v>136</v>
      </c>
      <c r="T36" t="s">
        <v>178</v>
      </c>
    </row>
    <row r="37" spans="1:20">
      <c r="A37" t="s">
        <v>54</v>
      </c>
      <c r="B37" t="s">
        <v>12</v>
      </c>
      <c r="C37" t="s">
        <v>125</v>
      </c>
      <c r="D37" t="s">
        <v>87</v>
      </c>
      <c r="E37" s="23">
        <v>44055</v>
      </c>
      <c r="F37" s="20">
        <v>2.4299000000000001E-2</v>
      </c>
      <c r="G37" s="11">
        <v>16795</v>
      </c>
      <c r="H37" s="11">
        <v>0</v>
      </c>
      <c r="I37" s="11">
        <v>0</v>
      </c>
      <c r="J37" s="11">
        <v>0</v>
      </c>
      <c r="K37" s="11">
        <v>10077</v>
      </c>
      <c r="L37" s="11">
        <v>6718</v>
      </c>
      <c r="M37" s="11">
        <v>0</v>
      </c>
      <c r="N37" t="s">
        <v>153</v>
      </c>
      <c r="S37" t="s">
        <v>129</v>
      </c>
      <c r="T37" t="s">
        <v>179</v>
      </c>
    </row>
    <row r="38" spans="1:20">
      <c r="A38" t="s">
        <v>74</v>
      </c>
      <c r="B38" t="s">
        <v>12</v>
      </c>
      <c r="C38" t="s">
        <v>125</v>
      </c>
      <c r="D38" t="s">
        <v>87</v>
      </c>
      <c r="E38" s="23">
        <v>45032</v>
      </c>
      <c r="F38" s="20">
        <v>0.60189599999999999</v>
      </c>
      <c r="G38" s="11">
        <v>16621</v>
      </c>
      <c r="H38" s="11">
        <v>0</v>
      </c>
      <c r="I38" s="11">
        <v>0</v>
      </c>
      <c r="J38" s="11">
        <v>0</v>
      </c>
      <c r="K38" s="11">
        <v>16621</v>
      </c>
      <c r="L38" s="11">
        <v>0</v>
      </c>
      <c r="M38" s="11">
        <v>0</v>
      </c>
      <c r="N38" t="s">
        <v>126</v>
      </c>
      <c r="O38" s="23">
        <v>44116</v>
      </c>
      <c r="P38" t="s">
        <v>127</v>
      </c>
      <c r="Q38">
        <v>48</v>
      </c>
      <c r="R38" t="s">
        <v>128</v>
      </c>
      <c r="S38" t="s">
        <v>138</v>
      </c>
      <c r="T38" t="s">
        <v>180</v>
      </c>
    </row>
    <row r="39" spans="1:20">
      <c r="A39" t="s">
        <v>61</v>
      </c>
      <c r="B39" t="s">
        <v>12</v>
      </c>
      <c r="C39" t="s">
        <v>125</v>
      </c>
      <c r="D39" t="s">
        <v>87</v>
      </c>
      <c r="E39" s="23">
        <v>45033</v>
      </c>
      <c r="F39" s="20">
        <v>0.60189599999999999</v>
      </c>
      <c r="G39" s="11">
        <v>16490</v>
      </c>
      <c r="H39" s="11">
        <v>0</v>
      </c>
      <c r="I39" s="11">
        <v>0</v>
      </c>
      <c r="J39" s="11">
        <v>0</v>
      </c>
      <c r="K39" s="11">
        <v>12711</v>
      </c>
      <c r="L39" s="11">
        <v>3779</v>
      </c>
      <c r="M39" s="11">
        <v>0</v>
      </c>
      <c r="N39" t="s">
        <v>126</v>
      </c>
      <c r="O39" s="23">
        <v>44654</v>
      </c>
      <c r="P39" t="s">
        <v>127</v>
      </c>
      <c r="Q39">
        <v>48</v>
      </c>
      <c r="R39" t="s">
        <v>128</v>
      </c>
      <c r="S39" t="s">
        <v>150</v>
      </c>
      <c r="T39" t="s">
        <v>181</v>
      </c>
    </row>
    <row r="40" spans="1:20">
      <c r="A40" t="s">
        <v>74</v>
      </c>
      <c r="B40" t="s">
        <v>12</v>
      </c>
      <c r="C40" t="s">
        <v>135</v>
      </c>
      <c r="D40" t="s">
        <v>87</v>
      </c>
      <c r="E40" s="23">
        <v>45168</v>
      </c>
      <c r="F40" s="20">
        <v>0.60189599999999999</v>
      </c>
      <c r="G40" s="11">
        <v>16469</v>
      </c>
      <c r="H40" s="11">
        <v>0</v>
      </c>
      <c r="I40" s="11">
        <v>0</v>
      </c>
      <c r="J40" s="11">
        <v>0</v>
      </c>
      <c r="K40" s="11">
        <v>13724</v>
      </c>
      <c r="L40" s="11">
        <v>2745</v>
      </c>
      <c r="M40" s="11">
        <v>0</v>
      </c>
      <c r="N40" t="s">
        <v>126</v>
      </c>
      <c r="O40" s="23">
        <v>44553</v>
      </c>
      <c r="P40" t="s">
        <v>127</v>
      </c>
      <c r="Q40">
        <v>48</v>
      </c>
      <c r="R40" t="s">
        <v>128</v>
      </c>
      <c r="S40" t="s">
        <v>138</v>
      </c>
      <c r="T40" t="s">
        <v>182</v>
      </c>
    </row>
    <row r="41" spans="1:20">
      <c r="A41" t="s">
        <v>70</v>
      </c>
      <c r="B41" t="s">
        <v>12</v>
      </c>
      <c r="C41" t="s">
        <v>117</v>
      </c>
      <c r="D41" t="s">
        <v>87</v>
      </c>
      <c r="E41" s="23">
        <v>45007</v>
      </c>
      <c r="F41" s="20">
        <v>0</v>
      </c>
      <c r="G41" s="11">
        <v>16114</v>
      </c>
      <c r="H41" s="11">
        <v>0</v>
      </c>
      <c r="I41" s="11">
        <v>0</v>
      </c>
      <c r="J41" s="11">
        <v>0</v>
      </c>
      <c r="K41" s="11">
        <v>0</v>
      </c>
      <c r="L41" s="11">
        <v>0</v>
      </c>
      <c r="M41" s="11">
        <v>16114</v>
      </c>
      <c r="N41" t="s">
        <v>126</v>
      </c>
      <c r="O41" s="23">
        <v>44193</v>
      </c>
      <c r="P41" t="s">
        <v>127</v>
      </c>
      <c r="Q41">
        <v>48</v>
      </c>
      <c r="R41" t="s">
        <v>128</v>
      </c>
      <c r="S41" t="s">
        <v>183</v>
      </c>
      <c r="T41" t="s">
        <v>184</v>
      </c>
    </row>
    <row r="42" spans="1:20">
      <c r="A42" t="s">
        <v>72</v>
      </c>
      <c r="B42" t="s">
        <v>12</v>
      </c>
      <c r="C42" t="s">
        <v>135</v>
      </c>
      <c r="D42" t="s">
        <v>87</v>
      </c>
      <c r="E42" s="23">
        <v>44203</v>
      </c>
      <c r="F42" s="20">
        <v>0.390154</v>
      </c>
      <c r="G42" s="11">
        <v>15814</v>
      </c>
      <c r="H42" s="11">
        <v>0</v>
      </c>
      <c r="I42" s="11">
        <v>0</v>
      </c>
      <c r="J42" s="11">
        <v>0</v>
      </c>
      <c r="K42" s="11">
        <v>5271</v>
      </c>
      <c r="L42" s="11">
        <v>10543</v>
      </c>
      <c r="M42" s="11">
        <v>0</v>
      </c>
      <c r="N42" t="s">
        <v>126</v>
      </c>
      <c r="O42" s="23">
        <v>45283</v>
      </c>
      <c r="P42" t="s">
        <v>127</v>
      </c>
      <c r="Q42">
        <v>48</v>
      </c>
      <c r="R42" t="s">
        <v>128</v>
      </c>
      <c r="S42" t="s">
        <v>185</v>
      </c>
      <c r="T42" t="s">
        <v>186</v>
      </c>
    </row>
    <row r="43" spans="1:20">
      <c r="A43" t="s">
        <v>75</v>
      </c>
      <c r="B43" t="s">
        <v>12</v>
      </c>
      <c r="C43" t="s">
        <v>125</v>
      </c>
      <c r="D43" t="s">
        <v>87</v>
      </c>
      <c r="E43" s="23">
        <v>44162</v>
      </c>
      <c r="F43" s="20">
        <v>0.18909100000000001</v>
      </c>
      <c r="G43" s="11">
        <v>15344</v>
      </c>
      <c r="H43" s="11">
        <v>0</v>
      </c>
      <c r="I43" s="11">
        <v>0</v>
      </c>
      <c r="J43" s="11">
        <v>0</v>
      </c>
      <c r="K43" s="11">
        <v>15344</v>
      </c>
      <c r="L43" s="11">
        <v>0</v>
      </c>
      <c r="M43" s="11">
        <v>0</v>
      </c>
      <c r="N43" t="s">
        <v>126</v>
      </c>
      <c r="O43" s="23">
        <v>44071</v>
      </c>
      <c r="P43" t="s">
        <v>127</v>
      </c>
      <c r="Q43">
        <v>48</v>
      </c>
      <c r="R43" t="s">
        <v>128</v>
      </c>
      <c r="S43" t="s">
        <v>154</v>
      </c>
      <c r="T43" t="s">
        <v>187</v>
      </c>
    </row>
    <row r="44" spans="1:20">
      <c r="A44" t="s">
        <v>63</v>
      </c>
      <c r="B44" t="s">
        <v>12</v>
      </c>
      <c r="C44" t="s">
        <v>135</v>
      </c>
      <c r="D44" t="s">
        <v>87</v>
      </c>
      <c r="E44" s="23">
        <v>44293</v>
      </c>
      <c r="F44" s="20">
        <v>0.390154</v>
      </c>
      <c r="G44" s="11">
        <v>14906</v>
      </c>
      <c r="H44" s="11">
        <v>0</v>
      </c>
      <c r="I44" s="11">
        <v>0</v>
      </c>
      <c r="J44" s="11">
        <v>0</v>
      </c>
      <c r="K44" s="11">
        <v>13353</v>
      </c>
      <c r="L44" s="11">
        <v>1553</v>
      </c>
      <c r="M44" s="11">
        <v>0</v>
      </c>
      <c r="N44" t="s">
        <v>126</v>
      </c>
      <c r="O44" s="23">
        <v>44469</v>
      </c>
      <c r="P44" t="s">
        <v>127</v>
      </c>
      <c r="Q44">
        <v>48</v>
      </c>
      <c r="R44" t="s">
        <v>128</v>
      </c>
      <c r="S44" t="s">
        <v>145</v>
      </c>
      <c r="T44" t="s">
        <v>188</v>
      </c>
    </row>
    <row r="45" spans="1:20">
      <c r="A45" t="s">
        <v>62</v>
      </c>
      <c r="B45" t="s">
        <v>12</v>
      </c>
      <c r="C45" t="s">
        <v>160</v>
      </c>
      <c r="D45" t="s">
        <v>87</v>
      </c>
      <c r="E45" s="23">
        <v>45291</v>
      </c>
      <c r="F45" s="20">
        <v>0.60189599999999999</v>
      </c>
      <c r="G45" s="11">
        <v>14885</v>
      </c>
      <c r="H45" s="11">
        <v>14885</v>
      </c>
      <c r="I45" s="11">
        <v>14885</v>
      </c>
      <c r="J45" s="11">
        <v>0</v>
      </c>
      <c r="K45" s="11">
        <v>0</v>
      </c>
      <c r="L45" s="11">
        <v>0</v>
      </c>
      <c r="M45" s="11">
        <v>0</v>
      </c>
      <c r="N45" t="s">
        <v>126</v>
      </c>
      <c r="O45" s="23">
        <v>44107</v>
      </c>
      <c r="P45" t="s">
        <v>127</v>
      </c>
      <c r="Q45">
        <v>48</v>
      </c>
      <c r="R45" t="s">
        <v>128</v>
      </c>
      <c r="S45" t="s">
        <v>147</v>
      </c>
      <c r="T45" t="s">
        <v>189</v>
      </c>
    </row>
    <row r="46" spans="1:20">
      <c r="A46" t="s">
        <v>77</v>
      </c>
      <c r="B46" t="s">
        <v>12</v>
      </c>
      <c r="C46" t="s">
        <v>117</v>
      </c>
      <c r="D46" t="s">
        <v>87</v>
      </c>
      <c r="E46" s="23">
        <v>44457</v>
      </c>
      <c r="F46" s="20">
        <v>0</v>
      </c>
      <c r="G46" s="11">
        <v>14469</v>
      </c>
      <c r="H46" s="11">
        <v>0</v>
      </c>
      <c r="I46" s="11">
        <v>0</v>
      </c>
      <c r="J46" s="11">
        <v>0</v>
      </c>
      <c r="K46" s="11">
        <v>0</v>
      </c>
      <c r="L46" s="11">
        <v>0</v>
      </c>
      <c r="M46" s="11">
        <v>14469</v>
      </c>
      <c r="N46" t="s">
        <v>126</v>
      </c>
      <c r="O46" s="23">
        <v>45677</v>
      </c>
      <c r="P46" t="s">
        <v>127</v>
      </c>
      <c r="Q46">
        <v>48</v>
      </c>
      <c r="R46" t="s">
        <v>128</v>
      </c>
      <c r="S46" t="s">
        <v>190</v>
      </c>
      <c r="T46" t="s">
        <v>191</v>
      </c>
    </row>
    <row r="47" spans="1:20">
      <c r="A47" t="s">
        <v>54</v>
      </c>
      <c r="B47" t="s">
        <v>12</v>
      </c>
      <c r="C47" t="s">
        <v>125</v>
      </c>
      <c r="D47" t="s">
        <v>87</v>
      </c>
      <c r="E47" s="23">
        <v>45085</v>
      </c>
      <c r="F47" s="20">
        <v>0.60189599999999999</v>
      </c>
      <c r="G47" s="11">
        <v>14412</v>
      </c>
      <c r="H47" s="11">
        <v>1916</v>
      </c>
      <c r="I47" s="11">
        <v>1334</v>
      </c>
      <c r="J47" s="11">
        <v>582</v>
      </c>
      <c r="K47" s="11">
        <v>0</v>
      </c>
      <c r="L47" s="11">
        <v>12496</v>
      </c>
      <c r="M47" s="11">
        <v>0</v>
      </c>
      <c r="N47" t="s">
        <v>126</v>
      </c>
      <c r="O47" s="23">
        <v>45107</v>
      </c>
      <c r="P47" t="s">
        <v>127</v>
      </c>
      <c r="Q47">
        <v>48</v>
      </c>
      <c r="R47" t="s">
        <v>128</v>
      </c>
      <c r="S47" t="s">
        <v>129</v>
      </c>
      <c r="T47" t="s">
        <v>192</v>
      </c>
    </row>
    <row r="48" spans="1:20">
      <c r="A48" t="s">
        <v>77</v>
      </c>
      <c r="B48" t="s">
        <v>12</v>
      </c>
      <c r="C48" t="s">
        <v>135</v>
      </c>
      <c r="D48" t="s">
        <v>87</v>
      </c>
      <c r="E48" s="23">
        <v>45638</v>
      </c>
      <c r="F48" s="20">
        <v>1.526735</v>
      </c>
      <c r="G48" s="11">
        <v>14408</v>
      </c>
      <c r="H48" s="11">
        <v>0</v>
      </c>
      <c r="I48" s="11">
        <v>0</v>
      </c>
      <c r="J48" s="11">
        <v>0</v>
      </c>
      <c r="K48" s="11">
        <v>14408</v>
      </c>
      <c r="L48" s="11">
        <v>0</v>
      </c>
      <c r="M48" s="11">
        <v>0</v>
      </c>
      <c r="N48" t="s">
        <v>126</v>
      </c>
      <c r="O48" s="23">
        <v>44003</v>
      </c>
      <c r="P48" t="s">
        <v>127</v>
      </c>
      <c r="Q48">
        <v>48</v>
      </c>
      <c r="R48" t="s">
        <v>128</v>
      </c>
      <c r="S48" t="s">
        <v>190</v>
      </c>
      <c r="T48" t="s">
        <v>193</v>
      </c>
    </row>
    <row r="49" spans="1:20">
      <c r="A49" t="s">
        <v>60</v>
      </c>
      <c r="B49" t="s">
        <v>12</v>
      </c>
      <c r="C49" t="s">
        <v>194</v>
      </c>
      <c r="E49" s="23">
        <v>45109</v>
      </c>
      <c r="F49" s="20">
        <v>1.3141499999999999</v>
      </c>
      <c r="G49" s="11">
        <v>14123</v>
      </c>
      <c r="H49" s="11">
        <v>14123</v>
      </c>
      <c r="I49" s="11">
        <v>14123</v>
      </c>
      <c r="S49" t="s">
        <v>136</v>
      </c>
      <c r="T49" t="s">
        <v>195</v>
      </c>
    </row>
    <row r="50" spans="1:20">
      <c r="A50" t="s">
        <v>65</v>
      </c>
      <c r="B50" t="s">
        <v>12</v>
      </c>
      <c r="C50" t="s">
        <v>160</v>
      </c>
      <c r="D50" t="s">
        <v>87</v>
      </c>
      <c r="E50" s="23">
        <v>45136</v>
      </c>
      <c r="F50" s="20">
        <v>0.60189599999999999</v>
      </c>
      <c r="G50" s="11">
        <v>14073</v>
      </c>
      <c r="H50" s="11">
        <v>14073</v>
      </c>
      <c r="I50" s="11">
        <v>10261</v>
      </c>
      <c r="J50" s="11">
        <v>3812</v>
      </c>
      <c r="K50" s="11">
        <v>0</v>
      </c>
      <c r="L50" s="11">
        <v>0</v>
      </c>
      <c r="M50" s="11">
        <v>0</v>
      </c>
      <c r="N50" t="s">
        <v>126</v>
      </c>
      <c r="O50" s="23">
        <v>44716</v>
      </c>
      <c r="P50" t="s">
        <v>127</v>
      </c>
      <c r="Q50">
        <v>48</v>
      </c>
      <c r="R50" t="s">
        <v>128</v>
      </c>
      <c r="S50" t="s">
        <v>141</v>
      </c>
      <c r="T50" t="s">
        <v>196</v>
      </c>
    </row>
    <row r="51" spans="1:20">
      <c r="A51" t="s">
        <v>62</v>
      </c>
      <c r="B51" t="s">
        <v>12</v>
      </c>
      <c r="C51" t="s">
        <v>125</v>
      </c>
      <c r="D51" t="s">
        <v>87</v>
      </c>
      <c r="E51" s="23">
        <v>45324</v>
      </c>
      <c r="F51" s="20">
        <v>0.60189599999999999</v>
      </c>
      <c r="G51" s="11">
        <v>13963</v>
      </c>
      <c r="H51" s="11">
        <v>3628</v>
      </c>
      <c r="I51" s="11">
        <v>3628</v>
      </c>
      <c r="J51" s="11">
        <v>0</v>
      </c>
      <c r="K51" s="11">
        <v>6589</v>
      </c>
      <c r="L51" s="11">
        <v>3746</v>
      </c>
      <c r="M51" s="11">
        <v>0</v>
      </c>
      <c r="N51" t="s">
        <v>126</v>
      </c>
      <c r="O51" s="23">
        <v>44879</v>
      </c>
      <c r="P51" t="s">
        <v>127</v>
      </c>
      <c r="Q51">
        <v>48</v>
      </c>
      <c r="R51" t="s">
        <v>128</v>
      </c>
      <c r="S51" t="s">
        <v>147</v>
      </c>
      <c r="T51" t="s">
        <v>197</v>
      </c>
    </row>
    <row r="52" spans="1:20">
      <c r="A52" t="s">
        <v>70</v>
      </c>
      <c r="B52" t="s">
        <v>12</v>
      </c>
      <c r="C52" t="s">
        <v>160</v>
      </c>
      <c r="D52" t="s">
        <v>87</v>
      </c>
      <c r="E52" s="23">
        <v>44419</v>
      </c>
      <c r="F52" s="20">
        <v>0.390154</v>
      </c>
      <c r="G52" s="11">
        <v>13563</v>
      </c>
      <c r="H52" s="11">
        <v>13563</v>
      </c>
      <c r="I52" s="11">
        <v>13563</v>
      </c>
      <c r="J52" s="11">
        <v>0</v>
      </c>
      <c r="K52" s="11">
        <v>0</v>
      </c>
      <c r="L52" s="11">
        <v>0</v>
      </c>
      <c r="M52" s="11">
        <v>0</v>
      </c>
      <c r="N52" t="s">
        <v>126</v>
      </c>
      <c r="O52" s="23">
        <v>44016</v>
      </c>
      <c r="P52" t="s">
        <v>127</v>
      </c>
      <c r="Q52">
        <v>48</v>
      </c>
      <c r="R52" t="s">
        <v>128</v>
      </c>
      <c r="S52" t="s">
        <v>183</v>
      </c>
      <c r="T52" t="s">
        <v>198</v>
      </c>
    </row>
    <row r="53" spans="1:20">
      <c r="A53" t="s">
        <v>54</v>
      </c>
      <c r="B53" t="s">
        <v>12</v>
      </c>
      <c r="C53" t="s">
        <v>125</v>
      </c>
      <c r="D53" t="s">
        <v>87</v>
      </c>
      <c r="E53" s="23">
        <v>44435</v>
      </c>
      <c r="F53" s="20">
        <v>0.390154</v>
      </c>
      <c r="G53" s="11">
        <v>13090</v>
      </c>
      <c r="H53" s="11">
        <v>0</v>
      </c>
      <c r="I53" s="11">
        <v>0</v>
      </c>
      <c r="J53" s="11">
        <v>0</v>
      </c>
      <c r="K53" s="11">
        <v>0</v>
      </c>
      <c r="L53" s="11">
        <v>13090</v>
      </c>
      <c r="M53" s="11">
        <v>0</v>
      </c>
      <c r="N53" t="s">
        <v>126</v>
      </c>
      <c r="O53" s="23">
        <v>45629</v>
      </c>
      <c r="P53" t="s">
        <v>127</v>
      </c>
      <c r="Q53">
        <v>48</v>
      </c>
      <c r="R53" t="s">
        <v>128</v>
      </c>
      <c r="S53" t="s">
        <v>129</v>
      </c>
      <c r="T53" t="s">
        <v>199</v>
      </c>
    </row>
    <row r="54" spans="1:20">
      <c r="A54" t="s">
        <v>77</v>
      </c>
      <c r="B54" t="s">
        <v>12</v>
      </c>
      <c r="C54" t="s">
        <v>125</v>
      </c>
      <c r="D54" t="s">
        <v>87</v>
      </c>
      <c r="E54" s="23">
        <v>45732</v>
      </c>
      <c r="F54" s="20">
        <v>1.526735</v>
      </c>
      <c r="G54" s="11">
        <v>12999</v>
      </c>
      <c r="H54" s="11">
        <v>0</v>
      </c>
      <c r="I54" s="11">
        <v>0</v>
      </c>
      <c r="J54" s="11">
        <v>0</v>
      </c>
      <c r="K54" s="11">
        <v>4549</v>
      </c>
      <c r="L54" s="11">
        <v>8450</v>
      </c>
      <c r="M54" s="11">
        <v>0</v>
      </c>
      <c r="N54" t="s">
        <v>153</v>
      </c>
      <c r="S54" t="s">
        <v>190</v>
      </c>
      <c r="T54" t="s">
        <v>200</v>
      </c>
    </row>
    <row r="55" spans="1:20">
      <c r="A55" t="s">
        <v>65</v>
      </c>
      <c r="B55" t="s">
        <v>12</v>
      </c>
      <c r="C55" t="s">
        <v>125</v>
      </c>
      <c r="D55" t="s">
        <v>87</v>
      </c>
      <c r="E55" s="23">
        <v>45575</v>
      </c>
      <c r="F55" s="20">
        <v>1.352196</v>
      </c>
      <c r="G55" s="11">
        <v>12993</v>
      </c>
      <c r="H55" s="11">
        <v>0</v>
      </c>
      <c r="I55" s="11">
        <v>0</v>
      </c>
      <c r="J55" s="11">
        <v>0</v>
      </c>
      <c r="K55" s="11">
        <v>0</v>
      </c>
      <c r="L55" s="11">
        <v>12993</v>
      </c>
      <c r="M55" s="11">
        <v>0</v>
      </c>
      <c r="N55" t="s">
        <v>126</v>
      </c>
      <c r="O55" s="23">
        <v>45521</v>
      </c>
      <c r="P55" t="s">
        <v>127</v>
      </c>
      <c r="Q55">
        <v>48</v>
      </c>
      <c r="R55" t="s">
        <v>128</v>
      </c>
      <c r="S55" t="s">
        <v>141</v>
      </c>
      <c r="T55" t="s">
        <v>201</v>
      </c>
    </row>
    <row r="56" spans="1:20">
      <c r="A56" t="s">
        <v>67</v>
      </c>
      <c r="B56" t="s">
        <v>12</v>
      </c>
      <c r="C56" t="s">
        <v>135</v>
      </c>
      <c r="D56" t="s">
        <v>87</v>
      </c>
      <c r="E56" s="23">
        <v>44704</v>
      </c>
      <c r="F56" s="20">
        <v>0.39630100000000001</v>
      </c>
      <c r="G56" s="11">
        <v>12554</v>
      </c>
      <c r="H56" s="11">
        <v>0</v>
      </c>
      <c r="I56" s="11">
        <v>0</v>
      </c>
      <c r="J56" s="11">
        <v>0</v>
      </c>
      <c r="K56" s="11">
        <v>10200</v>
      </c>
      <c r="L56" s="11">
        <v>2354</v>
      </c>
      <c r="M56" s="11">
        <v>0</v>
      </c>
      <c r="N56" t="s">
        <v>126</v>
      </c>
      <c r="O56" s="23">
        <v>44592</v>
      </c>
      <c r="P56" t="s">
        <v>127</v>
      </c>
      <c r="Q56">
        <v>48</v>
      </c>
      <c r="R56" t="s">
        <v>128</v>
      </c>
      <c r="S56" t="s">
        <v>202</v>
      </c>
      <c r="T56" t="s">
        <v>203</v>
      </c>
    </row>
    <row r="57" spans="1:20">
      <c r="A57" t="s">
        <v>71</v>
      </c>
      <c r="B57" t="s">
        <v>12</v>
      </c>
      <c r="C57" t="s">
        <v>204</v>
      </c>
      <c r="E57" s="23">
        <v>44504</v>
      </c>
      <c r="F57" s="20">
        <v>0.390154</v>
      </c>
      <c r="G57" s="11">
        <v>11828</v>
      </c>
      <c r="H57" s="11">
        <v>11828</v>
      </c>
      <c r="I57" s="11">
        <v>8624</v>
      </c>
      <c r="J57" s="11">
        <v>3204</v>
      </c>
      <c r="K57" s="11">
        <v>0</v>
      </c>
      <c r="L57" s="11">
        <v>0</v>
      </c>
      <c r="M57" s="11">
        <v>0</v>
      </c>
      <c r="N57" t="s">
        <v>126</v>
      </c>
      <c r="O57" s="23">
        <v>44706</v>
      </c>
      <c r="P57" t="s">
        <v>127</v>
      </c>
      <c r="Q57">
        <v>48</v>
      </c>
      <c r="R57" t="s">
        <v>128</v>
      </c>
      <c r="S57" t="s">
        <v>156</v>
      </c>
      <c r="T57" t="s">
        <v>205</v>
      </c>
    </row>
    <row r="58" spans="1:20">
      <c r="A58" t="s">
        <v>67</v>
      </c>
      <c r="B58" t="s">
        <v>12</v>
      </c>
      <c r="C58" t="s">
        <v>135</v>
      </c>
      <c r="D58" t="s">
        <v>87</v>
      </c>
      <c r="E58" s="23">
        <v>45135</v>
      </c>
      <c r="F58" s="20">
        <v>0.60189599999999999</v>
      </c>
      <c r="G58" s="11">
        <v>11254</v>
      </c>
      <c r="H58" s="11">
        <v>0</v>
      </c>
      <c r="I58" s="11">
        <v>0</v>
      </c>
      <c r="J58" s="11">
        <v>0</v>
      </c>
      <c r="K58" s="11">
        <v>4220</v>
      </c>
      <c r="L58" s="11">
        <v>7034</v>
      </c>
      <c r="M58" s="11">
        <v>0</v>
      </c>
      <c r="N58" t="s">
        <v>126</v>
      </c>
      <c r="O58" s="23">
        <v>45251</v>
      </c>
      <c r="P58" t="s">
        <v>127</v>
      </c>
      <c r="Q58">
        <v>48</v>
      </c>
      <c r="R58" t="s">
        <v>128</v>
      </c>
      <c r="S58" t="s">
        <v>202</v>
      </c>
      <c r="T58" t="s">
        <v>206</v>
      </c>
    </row>
    <row r="59" spans="1:20">
      <c r="A59" t="s">
        <v>68</v>
      </c>
      <c r="B59" t="s">
        <v>12</v>
      </c>
      <c r="C59" t="s">
        <v>135</v>
      </c>
      <c r="D59" t="s">
        <v>87</v>
      </c>
      <c r="E59" s="23">
        <v>44743</v>
      </c>
      <c r="F59" s="20">
        <v>0.39630100000000001</v>
      </c>
      <c r="G59" s="11">
        <v>11028</v>
      </c>
      <c r="H59" s="11">
        <v>9293</v>
      </c>
      <c r="I59" s="11">
        <v>0</v>
      </c>
      <c r="J59" s="11">
        <v>9293</v>
      </c>
      <c r="K59" s="11">
        <v>0</v>
      </c>
      <c r="L59" s="11">
        <v>1735</v>
      </c>
      <c r="M59" s="11">
        <v>0</v>
      </c>
      <c r="N59" t="s">
        <v>126</v>
      </c>
      <c r="O59" s="23">
        <v>45603</v>
      </c>
      <c r="P59" t="s">
        <v>127</v>
      </c>
      <c r="Q59">
        <v>48</v>
      </c>
      <c r="R59" t="s">
        <v>128</v>
      </c>
      <c r="S59" t="s">
        <v>143</v>
      </c>
      <c r="T59" t="s">
        <v>207</v>
      </c>
    </row>
    <row r="60" spans="1:20">
      <c r="A60" t="s">
        <v>67</v>
      </c>
      <c r="B60" t="s">
        <v>12</v>
      </c>
      <c r="C60" t="s">
        <v>125</v>
      </c>
      <c r="D60" t="s">
        <v>87</v>
      </c>
      <c r="E60" s="23">
        <v>44005</v>
      </c>
      <c r="F60" s="20">
        <v>2.4299000000000001E-2</v>
      </c>
      <c r="G60" s="11">
        <v>10821</v>
      </c>
      <c r="H60" s="11">
        <v>312</v>
      </c>
      <c r="I60" s="11">
        <v>312</v>
      </c>
      <c r="J60" s="11">
        <v>0</v>
      </c>
      <c r="K60" s="11">
        <v>10283</v>
      </c>
      <c r="L60" s="11">
        <v>226</v>
      </c>
      <c r="M60" s="11">
        <v>0</v>
      </c>
      <c r="N60" t="s">
        <v>126</v>
      </c>
      <c r="O60" s="23">
        <v>44345</v>
      </c>
      <c r="P60" t="s">
        <v>127</v>
      </c>
      <c r="Q60">
        <v>48</v>
      </c>
      <c r="R60" t="s">
        <v>128</v>
      </c>
      <c r="S60" t="s">
        <v>202</v>
      </c>
      <c r="T60" t="s">
        <v>208</v>
      </c>
    </row>
    <row r="61" spans="1:20">
      <c r="A61" t="s">
        <v>54</v>
      </c>
      <c r="B61" t="s">
        <v>12</v>
      </c>
      <c r="C61" t="s">
        <v>125</v>
      </c>
      <c r="D61" t="s">
        <v>87</v>
      </c>
      <c r="E61" s="23">
        <v>44117</v>
      </c>
      <c r="F61" s="20">
        <v>0.18909100000000001</v>
      </c>
      <c r="G61" s="11">
        <v>10763</v>
      </c>
      <c r="H61" s="11">
        <v>0</v>
      </c>
      <c r="I61" s="11">
        <v>0</v>
      </c>
      <c r="J61" s="11">
        <v>0</v>
      </c>
      <c r="K61" s="11">
        <v>10763</v>
      </c>
      <c r="L61" s="11">
        <v>0</v>
      </c>
      <c r="M61" s="11">
        <v>0</v>
      </c>
      <c r="N61" t="s">
        <v>126</v>
      </c>
      <c r="O61" s="23">
        <v>44072</v>
      </c>
      <c r="P61" t="s">
        <v>127</v>
      </c>
      <c r="Q61">
        <v>48</v>
      </c>
      <c r="R61" t="s">
        <v>128</v>
      </c>
      <c r="S61" t="s">
        <v>129</v>
      </c>
      <c r="T61" t="s">
        <v>209</v>
      </c>
    </row>
    <row r="62" spans="1:20">
      <c r="A62" t="s">
        <v>66</v>
      </c>
      <c r="B62" t="s">
        <v>12</v>
      </c>
      <c r="C62" t="s">
        <v>117</v>
      </c>
      <c r="D62" t="s">
        <v>87</v>
      </c>
      <c r="E62" s="23">
        <v>45392</v>
      </c>
      <c r="F62" s="20">
        <v>0</v>
      </c>
      <c r="G62" s="11">
        <v>10746</v>
      </c>
      <c r="H62" s="11">
        <v>0</v>
      </c>
      <c r="I62" s="11">
        <v>0</v>
      </c>
      <c r="J62" s="11">
        <v>0</v>
      </c>
      <c r="K62" s="11">
        <v>0</v>
      </c>
      <c r="L62" s="11">
        <v>0</v>
      </c>
      <c r="M62" s="11">
        <v>10746</v>
      </c>
      <c r="N62" t="s">
        <v>126</v>
      </c>
      <c r="O62" s="23">
        <v>44586</v>
      </c>
      <c r="P62" t="s">
        <v>127</v>
      </c>
      <c r="Q62">
        <v>48</v>
      </c>
      <c r="R62" t="s">
        <v>128</v>
      </c>
      <c r="S62" t="s">
        <v>133</v>
      </c>
      <c r="T62" t="s">
        <v>210</v>
      </c>
    </row>
    <row r="63" spans="1:20">
      <c r="A63" t="s">
        <v>61</v>
      </c>
      <c r="B63" t="s">
        <v>12</v>
      </c>
      <c r="C63" t="s">
        <v>135</v>
      </c>
      <c r="D63" t="s">
        <v>87</v>
      </c>
      <c r="E63" s="23">
        <v>44287</v>
      </c>
      <c r="F63" s="20">
        <v>0.390154</v>
      </c>
      <c r="G63" s="11">
        <v>10613</v>
      </c>
      <c r="H63" s="11">
        <v>0</v>
      </c>
      <c r="I63" s="11">
        <v>0</v>
      </c>
      <c r="J63" s="11">
        <v>0</v>
      </c>
      <c r="K63" s="11">
        <v>0</v>
      </c>
      <c r="L63" s="11">
        <v>10613</v>
      </c>
      <c r="M63" s="11">
        <v>0</v>
      </c>
      <c r="N63" t="s">
        <v>126</v>
      </c>
      <c r="O63" s="23">
        <v>45580</v>
      </c>
      <c r="P63" t="s">
        <v>127</v>
      </c>
      <c r="Q63">
        <v>48</v>
      </c>
      <c r="R63" t="s">
        <v>128</v>
      </c>
      <c r="S63" t="s">
        <v>150</v>
      </c>
      <c r="T63" t="s">
        <v>211</v>
      </c>
    </row>
    <row r="64" spans="1:20">
      <c r="A64" t="s">
        <v>60</v>
      </c>
      <c r="B64" t="s">
        <v>12</v>
      </c>
      <c r="C64" t="s">
        <v>135</v>
      </c>
      <c r="D64" t="s">
        <v>87</v>
      </c>
      <c r="E64" s="23">
        <v>44480</v>
      </c>
      <c r="F64" s="20">
        <v>0.390154</v>
      </c>
      <c r="G64" s="11">
        <v>10026</v>
      </c>
      <c r="H64" s="11">
        <v>0</v>
      </c>
      <c r="I64" s="11">
        <v>0</v>
      </c>
      <c r="J64" s="11">
        <v>0</v>
      </c>
      <c r="K64" s="11">
        <v>3133</v>
      </c>
      <c r="L64" s="11">
        <v>6893</v>
      </c>
      <c r="M64" s="11">
        <v>0</v>
      </c>
      <c r="N64" t="s">
        <v>126</v>
      </c>
      <c r="O64" s="23">
        <v>45339</v>
      </c>
      <c r="P64" t="s">
        <v>127</v>
      </c>
      <c r="Q64">
        <v>48</v>
      </c>
      <c r="R64" t="s">
        <v>128</v>
      </c>
      <c r="S64" t="s">
        <v>136</v>
      </c>
      <c r="T64" t="s">
        <v>212</v>
      </c>
    </row>
    <row r="65" spans="1:20">
      <c r="A65" t="s">
        <v>61</v>
      </c>
      <c r="B65" t="s">
        <v>12</v>
      </c>
      <c r="C65" t="s">
        <v>204</v>
      </c>
      <c r="E65" s="23">
        <v>45066</v>
      </c>
      <c r="F65" s="20">
        <v>0.60189599999999999</v>
      </c>
      <c r="G65" s="11">
        <v>9698</v>
      </c>
      <c r="H65" s="11">
        <v>9698</v>
      </c>
      <c r="I65" s="11">
        <v>7071</v>
      </c>
      <c r="J65" s="11">
        <v>2627</v>
      </c>
      <c r="K65" s="11">
        <v>0</v>
      </c>
      <c r="L65" s="11">
        <v>0</v>
      </c>
      <c r="M65" s="11">
        <v>0</v>
      </c>
      <c r="N65" t="s">
        <v>126</v>
      </c>
      <c r="O65" s="23">
        <v>44725</v>
      </c>
      <c r="P65" t="s">
        <v>127</v>
      </c>
      <c r="Q65">
        <v>48</v>
      </c>
      <c r="R65" t="s">
        <v>128</v>
      </c>
      <c r="S65" t="s">
        <v>150</v>
      </c>
      <c r="T65" t="s">
        <v>213</v>
      </c>
    </row>
    <row r="66" spans="1:20">
      <c r="A66" t="s">
        <v>76</v>
      </c>
      <c r="B66" t="s">
        <v>12</v>
      </c>
      <c r="C66" t="s">
        <v>125</v>
      </c>
      <c r="D66" t="s">
        <v>87</v>
      </c>
      <c r="E66" s="23">
        <v>44018</v>
      </c>
      <c r="F66" s="20">
        <v>2.4299000000000001E-2</v>
      </c>
      <c r="G66" s="11">
        <v>9289</v>
      </c>
      <c r="H66" s="11">
        <v>0</v>
      </c>
      <c r="I66" s="11">
        <v>0</v>
      </c>
      <c r="J66" s="11">
        <v>0</v>
      </c>
      <c r="K66" s="11">
        <v>2709</v>
      </c>
      <c r="L66" s="11">
        <v>6580</v>
      </c>
      <c r="M66" s="11">
        <v>0</v>
      </c>
      <c r="N66" t="s">
        <v>126</v>
      </c>
      <c r="O66" s="23">
        <v>45364</v>
      </c>
      <c r="P66" t="s">
        <v>127</v>
      </c>
      <c r="Q66">
        <v>48</v>
      </c>
      <c r="R66" t="s">
        <v>128</v>
      </c>
      <c r="S66" t="s">
        <v>162</v>
      </c>
      <c r="T66" t="s">
        <v>214</v>
      </c>
    </row>
    <row r="67" spans="1:20">
      <c r="A67" t="s">
        <v>64</v>
      </c>
      <c r="B67" t="s">
        <v>12</v>
      </c>
      <c r="C67" t="s">
        <v>194</v>
      </c>
      <c r="E67" s="23">
        <v>45712</v>
      </c>
      <c r="F67" s="20">
        <v>1.855051</v>
      </c>
      <c r="G67" s="11">
        <v>9166</v>
      </c>
      <c r="H67" s="11">
        <v>9166</v>
      </c>
      <c r="I67" s="11">
        <v>9166</v>
      </c>
      <c r="S67" t="s">
        <v>131</v>
      </c>
      <c r="T67" t="s">
        <v>215</v>
      </c>
    </row>
    <row r="68" spans="1:20">
      <c r="A68" t="s">
        <v>54</v>
      </c>
      <c r="B68" t="s">
        <v>12</v>
      </c>
      <c r="C68" t="s">
        <v>125</v>
      </c>
      <c r="D68" t="s">
        <v>87</v>
      </c>
      <c r="E68" s="23">
        <v>45155</v>
      </c>
      <c r="F68" s="20">
        <v>0.60189599999999999</v>
      </c>
      <c r="G68" s="11">
        <v>8159</v>
      </c>
      <c r="H68" s="11">
        <v>0</v>
      </c>
      <c r="I68" s="11">
        <v>0</v>
      </c>
      <c r="J68" s="11">
        <v>0</v>
      </c>
      <c r="K68" s="11">
        <v>6119</v>
      </c>
      <c r="L68" s="11">
        <v>2040</v>
      </c>
      <c r="M68" s="11">
        <v>0</v>
      </c>
      <c r="N68" t="s">
        <v>126</v>
      </c>
      <c r="O68" s="23">
        <v>44674</v>
      </c>
      <c r="P68" t="s">
        <v>127</v>
      </c>
      <c r="Q68">
        <v>48</v>
      </c>
      <c r="R68" t="s">
        <v>128</v>
      </c>
      <c r="S68" t="s">
        <v>129</v>
      </c>
      <c r="T68" t="s">
        <v>216</v>
      </c>
    </row>
    <row r="69" spans="1:20">
      <c r="A69" t="s">
        <v>67</v>
      </c>
      <c r="B69" t="s">
        <v>12</v>
      </c>
      <c r="C69" t="s">
        <v>125</v>
      </c>
      <c r="D69" t="s">
        <v>87</v>
      </c>
      <c r="E69" s="23">
        <v>44048</v>
      </c>
      <c r="F69" s="20">
        <v>2.4299000000000001E-2</v>
      </c>
      <c r="G69" s="11">
        <v>7903</v>
      </c>
      <c r="H69" s="11">
        <v>0</v>
      </c>
      <c r="I69" s="11">
        <v>0</v>
      </c>
      <c r="J69" s="11">
        <v>0</v>
      </c>
      <c r="K69" s="11">
        <v>4280</v>
      </c>
      <c r="L69" s="11">
        <v>3623</v>
      </c>
      <c r="M69" s="11">
        <v>0</v>
      </c>
      <c r="N69" t="s">
        <v>126</v>
      </c>
      <c r="O69" s="23">
        <v>44990</v>
      </c>
      <c r="P69" t="s">
        <v>127</v>
      </c>
      <c r="Q69">
        <v>48</v>
      </c>
      <c r="R69" t="s">
        <v>128</v>
      </c>
      <c r="S69" t="s">
        <v>202</v>
      </c>
      <c r="T69" t="s">
        <v>217</v>
      </c>
    </row>
    <row r="70" spans="1:20">
      <c r="A70" t="s">
        <v>62</v>
      </c>
      <c r="B70" t="s">
        <v>12</v>
      </c>
      <c r="C70" t="s">
        <v>125</v>
      </c>
      <c r="D70" t="s">
        <v>87</v>
      </c>
      <c r="E70" s="23">
        <v>43962</v>
      </c>
      <c r="F70" s="20">
        <v>2.4299000000000001E-2</v>
      </c>
      <c r="G70" s="11">
        <v>7830</v>
      </c>
      <c r="H70" s="11">
        <v>0</v>
      </c>
      <c r="I70" s="11">
        <v>0</v>
      </c>
      <c r="J70" s="11">
        <v>0</v>
      </c>
      <c r="K70" s="11">
        <v>5709</v>
      </c>
      <c r="L70" s="11">
        <v>2121</v>
      </c>
      <c r="M70" s="11">
        <v>0</v>
      </c>
      <c r="N70" t="s">
        <v>126</v>
      </c>
      <c r="O70" s="23">
        <v>44718</v>
      </c>
      <c r="P70" t="s">
        <v>127</v>
      </c>
      <c r="Q70">
        <v>48</v>
      </c>
      <c r="R70" t="s">
        <v>128</v>
      </c>
      <c r="S70" t="s">
        <v>147</v>
      </c>
      <c r="T70" t="s">
        <v>218</v>
      </c>
    </row>
    <row r="71" spans="1:20">
      <c r="A71" t="s">
        <v>70</v>
      </c>
      <c r="B71" t="s">
        <v>12</v>
      </c>
      <c r="C71" t="s">
        <v>135</v>
      </c>
      <c r="D71" t="s">
        <v>87</v>
      </c>
      <c r="E71" s="23">
        <v>45386</v>
      </c>
      <c r="F71" s="20">
        <v>0.60189599999999999</v>
      </c>
      <c r="G71" s="11">
        <v>7500</v>
      </c>
      <c r="H71" s="11">
        <v>0</v>
      </c>
      <c r="I71" s="11">
        <v>0</v>
      </c>
      <c r="J71" s="11">
        <v>0</v>
      </c>
      <c r="K71" s="11">
        <v>7500</v>
      </c>
      <c r="L71" s="11">
        <v>0</v>
      </c>
      <c r="M71" s="11">
        <v>0</v>
      </c>
      <c r="N71" t="s">
        <v>126</v>
      </c>
      <c r="O71" s="23">
        <v>44010</v>
      </c>
      <c r="P71" t="s">
        <v>127</v>
      </c>
      <c r="Q71">
        <v>48</v>
      </c>
      <c r="R71" t="s">
        <v>128</v>
      </c>
      <c r="S71" t="s">
        <v>183</v>
      </c>
      <c r="T71" t="s">
        <v>219</v>
      </c>
    </row>
    <row r="72" spans="1:20">
      <c r="A72" t="s">
        <v>60</v>
      </c>
      <c r="B72" t="s">
        <v>12</v>
      </c>
      <c r="C72" t="s">
        <v>125</v>
      </c>
      <c r="D72" t="s">
        <v>87</v>
      </c>
      <c r="E72" s="23">
        <v>45140</v>
      </c>
      <c r="F72" s="20">
        <v>0.60189599999999999</v>
      </c>
      <c r="G72" s="11">
        <v>7203</v>
      </c>
      <c r="H72" s="11">
        <v>0</v>
      </c>
      <c r="I72" s="11">
        <v>0</v>
      </c>
      <c r="J72" s="11">
        <v>0</v>
      </c>
      <c r="K72" s="11">
        <v>720</v>
      </c>
      <c r="L72" s="11">
        <v>6483</v>
      </c>
      <c r="M72" s="11">
        <v>0</v>
      </c>
      <c r="N72" t="s">
        <v>153</v>
      </c>
      <c r="S72" t="s">
        <v>136</v>
      </c>
      <c r="T72" t="s">
        <v>220</v>
      </c>
    </row>
    <row r="73" spans="1:20">
      <c r="A73" t="s">
        <v>77</v>
      </c>
      <c r="B73" t="s">
        <v>12</v>
      </c>
      <c r="C73" t="s">
        <v>117</v>
      </c>
      <c r="D73" t="s">
        <v>87</v>
      </c>
      <c r="E73" s="23">
        <v>44651</v>
      </c>
      <c r="F73" s="20">
        <v>0</v>
      </c>
      <c r="G73" s="11">
        <v>7118</v>
      </c>
      <c r="H73" s="11">
        <v>0</v>
      </c>
      <c r="I73" s="11">
        <v>0</v>
      </c>
      <c r="J73" s="11">
        <v>0</v>
      </c>
      <c r="K73" s="11">
        <v>0</v>
      </c>
      <c r="L73" s="11">
        <v>0</v>
      </c>
      <c r="M73" s="11">
        <v>7118</v>
      </c>
      <c r="N73" t="s">
        <v>126</v>
      </c>
      <c r="O73" s="23">
        <v>45654</v>
      </c>
      <c r="P73" t="s">
        <v>127</v>
      </c>
      <c r="Q73">
        <v>48</v>
      </c>
      <c r="R73" t="s">
        <v>128</v>
      </c>
      <c r="S73" t="s">
        <v>190</v>
      </c>
      <c r="T73" t="s">
        <v>221</v>
      </c>
    </row>
    <row r="74" spans="1:20">
      <c r="A74" t="s">
        <v>75</v>
      </c>
      <c r="B74" t="s">
        <v>12</v>
      </c>
      <c r="C74" t="s">
        <v>125</v>
      </c>
      <c r="D74" t="s">
        <v>87</v>
      </c>
      <c r="E74" s="23">
        <v>44836</v>
      </c>
      <c r="F74" s="20">
        <v>0.44516099999999997</v>
      </c>
      <c r="G74" s="11">
        <v>6726</v>
      </c>
      <c r="H74" s="11">
        <v>0</v>
      </c>
      <c r="I74" s="11">
        <v>0</v>
      </c>
      <c r="J74" s="11">
        <v>0</v>
      </c>
      <c r="K74" s="11">
        <v>0</v>
      </c>
      <c r="L74" s="11">
        <v>6726</v>
      </c>
      <c r="M74" s="11">
        <v>0</v>
      </c>
      <c r="N74" t="s">
        <v>153</v>
      </c>
      <c r="S74" t="s">
        <v>154</v>
      </c>
      <c r="T74" t="s">
        <v>222</v>
      </c>
    </row>
    <row r="75" spans="1:20">
      <c r="A75" t="s">
        <v>60</v>
      </c>
      <c r="B75" t="s">
        <v>12</v>
      </c>
      <c r="C75" t="s">
        <v>125</v>
      </c>
      <c r="D75" t="s">
        <v>87</v>
      </c>
      <c r="E75" s="23">
        <v>44403</v>
      </c>
      <c r="F75" s="20">
        <v>0.390154</v>
      </c>
      <c r="G75" s="11">
        <v>6587</v>
      </c>
      <c r="H75" s="11">
        <v>0</v>
      </c>
      <c r="I75" s="11">
        <v>0</v>
      </c>
      <c r="J75" s="11">
        <v>0</v>
      </c>
      <c r="K75" s="11">
        <v>2744</v>
      </c>
      <c r="L75" s="11">
        <v>3843</v>
      </c>
      <c r="M75" s="11">
        <v>0</v>
      </c>
      <c r="N75" t="s">
        <v>126</v>
      </c>
      <c r="O75" s="23">
        <v>45163</v>
      </c>
      <c r="P75" t="s">
        <v>127</v>
      </c>
      <c r="Q75">
        <v>48</v>
      </c>
      <c r="R75" t="s">
        <v>128</v>
      </c>
      <c r="S75" t="s">
        <v>136</v>
      </c>
      <c r="T75" t="s">
        <v>223</v>
      </c>
    </row>
    <row r="76" spans="1:20">
      <c r="A76" t="s">
        <v>60</v>
      </c>
      <c r="B76" t="s">
        <v>12</v>
      </c>
      <c r="C76" t="s">
        <v>135</v>
      </c>
      <c r="D76" t="s">
        <v>87</v>
      </c>
      <c r="E76" s="23">
        <v>45044</v>
      </c>
      <c r="F76" s="20">
        <v>0.60189599999999999</v>
      </c>
      <c r="G76" s="11">
        <v>6476</v>
      </c>
      <c r="H76" s="11">
        <v>0</v>
      </c>
      <c r="I76" s="11">
        <v>0</v>
      </c>
      <c r="J76" s="11">
        <v>0</v>
      </c>
      <c r="K76" s="11">
        <v>4317</v>
      </c>
      <c r="L76" s="11">
        <v>2159</v>
      </c>
      <c r="M76" s="11">
        <v>0</v>
      </c>
      <c r="N76" t="s">
        <v>126</v>
      </c>
      <c r="O76" s="23">
        <v>44810</v>
      </c>
      <c r="P76" t="s">
        <v>127</v>
      </c>
      <c r="Q76">
        <v>48</v>
      </c>
      <c r="R76" t="s">
        <v>128</v>
      </c>
      <c r="S76" t="s">
        <v>136</v>
      </c>
      <c r="T76" t="s">
        <v>224</v>
      </c>
    </row>
    <row r="77" spans="1:20">
      <c r="A77" t="s">
        <v>61</v>
      </c>
      <c r="B77" t="s">
        <v>12</v>
      </c>
      <c r="C77" t="s">
        <v>135</v>
      </c>
      <c r="D77" t="s">
        <v>87</v>
      </c>
      <c r="E77" s="23">
        <v>44495</v>
      </c>
      <c r="F77" s="20">
        <v>0.390154</v>
      </c>
      <c r="G77" s="11">
        <v>6393</v>
      </c>
      <c r="H77" s="11">
        <v>0</v>
      </c>
      <c r="I77" s="11">
        <v>0</v>
      </c>
      <c r="J77" s="11">
        <v>0</v>
      </c>
      <c r="K77" s="11">
        <v>3862</v>
      </c>
      <c r="L77" s="11">
        <v>2531</v>
      </c>
      <c r="M77" s="11">
        <v>0</v>
      </c>
      <c r="N77" t="s">
        <v>126</v>
      </c>
      <c r="O77" s="23">
        <v>44896</v>
      </c>
      <c r="P77" t="s">
        <v>127</v>
      </c>
      <c r="Q77">
        <v>48</v>
      </c>
      <c r="R77" t="s">
        <v>128</v>
      </c>
      <c r="S77" t="s">
        <v>150</v>
      </c>
      <c r="T77" t="s">
        <v>225</v>
      </c>
    </row>
    <row r="78" spans="1:20">
      <c r="A78" t="s">
        <v>65</v>
      </c>
      <c r="B78" t="s">
        <v>12</v>
      </c>
      <c r="C78" t="s">
        <v>135</v>
      </c>
      <c r="D78" t="s">
        <v>87</v>
      </c>
      <c r="E78" s="23">
        <v>44816</v>
      </c>
      <c r="F78" s="20">
        <v>0.44516099999999997</v>
      </c>
      <c r="G78" s="11">
        <v>6242</v>
      </c>
      <c r="H78" s="11">
        <v>0</v>
      </c>
      <c r="I78" s="11">
        <v>0</v>
      </c>
      <c r="J78" s="11">
        <v>0</v>
      </c>
      <c r="K78" s="11">
        <v>0</v>
      </c>
      <c r="L78" s="11">
        <v>6242</v>
      </c>
      <c r="M78" s="11">
        <v>0</v>
      </c>
      <c r="N78" t="s">
        <v>126</v>
      </c>
      <c r="O78" s="23">
        <v>45705</v>
      </c>
      <c r="P78" t="s">
        <v>127</v>
      </c>
      <c r="Q78">
        <v>48</v>
      </c>
      <c r="R78" t="s">
        <v>128</v>
      </c>
      <c r="S78" t="s">
        <v>141</v>
      </c>
      <c r="T78" t="s">
        <v>226</v>
      </c>
    </row>
    <row r="79" spans="1:20">
      <c r="A79" t="s">
        <v>80</v>
      </c>
      <c r="B79" t="s">
        <v>12</v>
      </c>
      <c r="C79" t="s">
        <v>227</v>
      </c>
      <c r="E79" s="23">
        <v>45084</v>
      </c>
      <c r="F79" s="20">
        <v>0.60189599999999999</v>
      </c>
      <c r="G79" s="11">
        <v>5998</v>
      </c>
      <c r="H79" s="11">
        <v>0</v>
      </c>
      <c r="I79" s="11">
        <v>0</v>
      </c>
      <c r="J79" s="11">
        <v>0</v>
      </c>
      <c r="K79" s="11">
        <v>0</v>
      </c>
      <c r="L79" s="11">
        <v>0</v>
      </c>
      <c r="M79" s="11">
        <v>0</v>
      </c>
      <c r="N79" t="s">
        <v>228</v>
      </c>
      <c r="S79" t="s">
        <v>229</v>
      </c>
      <c r="T79" t="s">
        <v>230</v>
      </c>
    </row>
    <row r="80" spans="1:20">
      <c r="A80" t="s">
        <v>64</v>
      </c>
      <c r="B80" t="s">
        <v>12</v>
      </c>
      <c r="C80" t="s">
        <v>135</v>
      </c>
      <c r="D80" t="s">
        <v>87</v>
      </c>
      <c r="E80" s="23">
        <v>45357</v>
      </c>
      <c r="F80" s="20">
        <v>0.60189599999999999</v>
      </c>
      <c r="G80" s="11">
        <v>5945</v>
      </c>
      <c r="H80" s="11">
        <v>0</v>
      </c>
      <c r="I80" s="11">
        <v>0</v>
      </c>
      <c r="J80" s="11">
        <v>0</v>
      </c>
      <c r="K80" s="11">
        <v>5325</v>
      </c>
      <c r="L80" s="11">
        <v>620</v>
      </c>
      <c r="M80" s="11">
        <v>0</v>
      </c>
      <c r="N80" t="s">
        <v>126</v>
      </c>
      <c r="O80" s="23">
        <v>44489</v>
      </c>
      <c r="P80" t="s">
        <v>127</v>
      </c>
      <c r="Q80">
        <v>48</v>
      </c>
      <c r="R80" t="s">
        <v>128</v>
      </c>
      <c r="S80" t="s">
        <v>131</v>
      </c>
      <c r="T80" t="s">
        <v>231</v>
      </c>
    </row>
    <row r="81" spans="1:20">
      <c r="A81" t="s">
        <v>69</v>
      </c>
      <c r="B81" t="s">
        <v>12</v>
      </c>
      <c r="C81" t="s">
        <v>204</v>
      </c>
      <c r="E81" s="23">
        <v>45600</v>
      </c>
      <c r="F81" s="20">
        <v>1.526735</v>
      </c>
      <c r="G81" s="11">
        <v>5066</v>
      </c>
      <c r="H81" s="11">
        <v>5066</v>
      </c>
      <c r="I81" s="11">
        <v>5066</v>
      </c>
      <c r="J81" s="11">
        <v>0</v>
      </c>
      <c r="K81" s="11">
        <v>0</v>
      </c>
      <c r="L81" s="11">
        <v>0</v>
      </c>
      <c r="M81" s="11">
        <v>0</v>
      </c>
      <c r="N81" t="s">
        <v>126</v>
      </c>
      <c r="O81" s="23">
        <v>43954</v>
      </c>
      <c r="P81" t="s">
        <v>127</v>
      </c>
      <c r="Q81">
        <v>48</v>
      </c>
      <c r="R81" t="s">
        <v>128</v>
      </c>
      <c r="S81" t="s">
        <v>164</v>
      </c>
      <c r="T81" t="s">
        <v>232</v>
      </c>
    </row>
    <row r="82" spans="1:20">
      <c r="A82" t="s">
        <v>63</v>
      </c>
      <c r="B82" t="s">
        <v>12</v>
      </c>
      <c r="C82" t="s">
        <v>160</v>
      </c>
      <c r="D82" t="s">
        <v>87</v>
      </c>
      <c r="E82" s="23">
        <v>45151</v>
      </c>
      <c r="F82" s="20">
        <v>0.60189599999999999</v>
      </c>
      <c r="G82" s="11">
        <v>4907</v>
      </c>
      <c r="H82" s="11">
        <v>4907</v>
      </c>
      <c r="I82" s="11">
        <v>2351</v>
      </c>
      <c r="J82" s="11">
        <v>2556</v>
      </c>
      <c r="K82" s="11">
        <v>0</v>
      </c>
      <c r="L82" s="11">
        <v>0</v>
      </c>
      <c r="M82" s="11">
        <v>0</v>
      </c>
      <c r="N82" t="s">
        <v>126</v>
      </c>
      <c r="O82" s="23">
        <v>45096</v>
      </c>
      <c r="P82" t="s">
        <v>127</v>
      </c>
      <c r="Q82">
        <v>48</v>
      </c>
      <c r="R82" t="s">
        <v>128</v>
      </c>
      <c r="S82" t="s">
        <v>145</v>
      </c>
      <c r="T82" t="s">
        <v>233</v>
      </c>
    </row>
    <row r="83" spans="1:20">
      <c r="A83" t="s">
        <v>67</v>
      </c>
      <c r="B83" t="s">
        <v>12</v>
      </c>
      <c r="C83" t="s">
        <v>125</v>
      </c>
      <c r="D83" t="s">
        <v>87</v>
      </c>
      <c r="E83" s="23">
        <v>43947</v>
      </c>
      <c r="F83" s="20">
        <v>2.4299000000000001E-2</v>
      </c>
      <c r="G83" s="11">
        <v>4767</v>
      </c>
      <c r="H83" s="11">
        <v>0</v>
      </c>
      <c r="I83" s="11">
        <v>0</v>
      </c>
      <c r="J83" s="11">
        <v>0</v>
      </c>
      <c r="K83" s="11">
        <v>0</v>
      </c>
      <c r="L83" s="11">
        <v>4767</v>
      </c>
      <c r="M83" s="11">
        <v>0</v>
      </c>
      <c r="N83" t="s">
        <v>126</v>
      </c>
      <c r="O83" s="23">
        <v>45587</v>
      </c>
      <c r="P83" t="s">
        <v>127</v>
      </c>
      <c r="Q83">
        <v>48</v>
      </c>
      <c r="R83" t="s">
        <v>128</v>
      </c>
      <c r="S83" t="s">
        <v>202</v>
      </c>
      <c r="T83" t="s">
        <v>234</v>
      </c>
    </row>
    <row r="84" spans="1:20">
      <c r="A84" t="s">
        <v>68</v>
      </c>
      <c r="B84" t="s">
        <v>12</v>
      </c>
      <c r="C84" t="s">
        <v>135</v>
      </c>
      <c r="D84" t="s">
        <v>87</v>
      </c>
      <c r="E84" s="23">
        <v>44607</v>
      </c>
      <c r="F84" s="20">
        <v>0.39630100000000001</v>
      </c>
      <c r="G84" s="11">
        <v>4680</v>
      </c>
      <c r="H84" s="11">
        <v>2547</v>
      </c>
      <c r="I84" s="11">
        <v>0</v>
      </c>
      <c r="J84" s="11">
        <v>2547</v>
      </c>
      <c r="K84" s="11">
        <v>0</v>
      </c>
      <c r="L84" s="11">
        <v>2133</v>
      </c>
      <c r="M84" s="11">
        <v>0</v>
      </c>
      <c r="N84" t="s">
        <v>126</v>
      </c>
      <c r="O84" s="23">
        <v>45546</v>
      </c>
      <c r="P84" t="s">
        <v>127</v>
      </c>
      <c r="Q84">
        <v>48</v>
      </c>
      <c r="R84" t="s">
        <v>128</v>
      </c>
      <c r="S84" t="s">
        <v>143</v>
      </c>
      <c r="T84" t="s">
        <v>235</v>
      </c>
    </row>
    <row r="85" spans="1:20">
      <c r="A85" t="s">
        <v>63</v>
      </c>
      <c r="B85" t="s">
        <v>12</v>
      </c>
      <c r="C85" t="s">
        <v>125</v>
      </c>
      <c r="D85" t="s">
        <v>87</v>
      </c>
      <c r="E85" s="23">
        <v>44135</v>
      </c>
      <c r="F85" s="20">
        <v>0.18909100000000001</v>
      </c>
      <c r="G85" s="11">
        <v>4595</v>
      </c>
      <c r="H85" s="11">
        <v>0</v>
      </c>
      <c r="I85" s="11">
        <v>0</v>
      </c>
      <c r="J85" s="11">
        <v>0</v>
      </c>
      <c r="K85" s="11">
        <v>1818</v>
      </c>
      <c r="L85" s="11">
        <v>2777</v>
      </c>
      <c r="M85" s="11">
        <v>0</v>
      </c>
      <c r="N85" t="s">
        <v>126</v>
      </c>
      <c r="O85" s="23">
        <v>45211</v>
      </c>
      <c r="P85" t="s">
        <v>127</v>
      </c>
      <c r="Q85">
        <v>48</v>
      </c>
      <c r="R85" t="s">
        <v>128</v>
      </c>
      <c r="S85" t="s">
        <v>145</v>
      </c>
      <c r="T85" t="s">
        <v>236</v>
      </c>
    </row>
    <row r="86" spans="1:20">
      <c r="A86" t="s">
        <v>78</v>
      </c>
      <c r="B86" t="s">
        <v>12</v>
      </c>
      <c r="C86" t="s">
        <v>125</v>
      </c>
      <c r="D86" t="s">
        <v>87</v>
      </c>
      <c r="E86" s="23">
        <v>45305</v>
      </c>
      <c r="F86" s="20">
        <v>0.60189599999999999</v>
      </c>
      <c r="G86" s="11">
        <v>4518</v>
      </c>
      <c r="H86" s="11">
        <v>0</v>
      </c>
      <c r="I86" s="11">
        <v>0</v>
      </c>
      <c r="J86" s="11">
        <v>0</v>
      </c>
      <c r="K86" s="11">
        <v>3294</v>
      </c>
      <c r="L86" s="11">
        <v>1224</v>
      </c>
      <c r="M86" s="11">
        <v>0</v>
      </c>
      <c r="N86" t="s">
        <v>126</v>
      </c>
      <c r="O86" s="23">
        <v>44727</v>
      </c>
      <c r="P86" t="s">
        <v>127</v>
      </c>
      <c r="Q86">
        <v>48</v>
      </c>
      <c r="R86" t="s">
        <v>128</v>
      </c>
      <c r="S86" t="s">
        <v>158</v>
      </c>
      <c r="T86" t="s">
        <v>237</v>
      </c>
    </row>
    <row r="87" spans="1:20">
      <c r="A87" t="s">
        <v>67</v>
      </c>
      <c r="B87" t="s">
        <v>12</v>
      </c>
      <c r="C87" t="s">
        <v>135</v>
      </c>
      <c r="D87" t="s">
        <v>87</v>
      </c>
      <c r="E87" s="23">
        <v>44775</v>
      </c>
      <c r="F87" s="20">
        <v>0.44516099999999997</v>
      </c>
      <c r="G87" s="11">
        <v>4461</v>
      </c>
      <c r="H87" s="11">
        <v>0</v>
      </c>
      <c r="I87" s="11">
        <v>0</v>
      </c>
      <c r="J87" s="11">
        <v>0</v>
      </c>
      <c r="K87" s="11">
        <v>0</v>
      </c>
      <c r="L87" s="11">
        <v>4461</v>
      </c>
      <c r="M87" s="11">
        <v>0</v>
      </c>
      <c r="N87" t="s">
        <v>126</v>
      </c>
      <c r="O87" s="23">
        <v>45717</v>
      </c>
      <c r="P87" t="s">
        <v>127</v>
      </c>
      <c r="Q87">
        <v>48</v>
      </c>
      <c r="R87" t="s">
        <v>128</v>
      </c>
      <c r="S87" t="s">
        <v>202</v>
      </c>
      <c r="T87" t="s">
        <v>238</v>
      </c>
    </row>
    <row r="88" spans="1:20">
      <c r="A88" t="s">
        <v>62</v>
      </c>
      <c r="B88" t="s">
        <v>12</v>
      </c>
      <c r="C88" t="s">
        <v>125</v>
      </c>
      <c r="D88" t="s">
        <v>87</v>
      </c>
      <c r="E88" s="23">
        <v>45014</v>
      </c>
      <c r="F88" s="20">
        <v>0.60189599999999999</v>
      </c>
      <c r="G88" s="11">
        <v>3946</v>
      </c>
      <c r="H88" s="11">
        <v>0</v>
      </c>
      <c r="I88" s="11">
        <v>0</v>
      </c>
      <c r="J88" s="11">
        <v>0</v>
      </c>
      <c r="K88" s="11">
        <v>3781</v>
      </c>
      <c r="L88" s="11">
        <v>165</v>
      </c>
      <c r="M88" s="11">
        <v>0</v>
      </c>
      <c r="N88" t="s">
        <v>126</v>
      </c>
      <c r="O88" s="23">
        <v>44380</v>
      </c>
      <c r="P88" t="s">
        <v>127</v>
      </c>
      <c r="Q88">
        <v>48</v>
      </c>
      <c r="R88" t="s">
        <v>128</v>
      </c>
      <c r="S88" t="s">
        <v>147</v>
      </c>
      <c r="T88" t="s">
        <v>239</v>
      </c>
    </row>
    <row r="89" spans="1:20">
      <c r="A89" t="s">
        <v>72</v>
      </c>
      <c r="B89" t="s">
        <v>12</v>
      </c>
      <c r="C89" t="s">
        <v>125</v>
      </c>
      <c r="D89" t="s">
        <v>87</v>
      </c>
      <c r="E89" s="23">
        <v>44634</v>
      </c>
      <c r="F89" s="20">
        <v>0.39630100000000001</v>
      </c>
      <c r="G89" s="11">
        <v>3133</v>
      </c>
      <c r="H89" s="11">
        <v>0</v>
      </c>
      <c r="I89" s="11">
        <v>0</v>
      </c>
      <c r="J89" s="11">
        <v>0</v>
      </c>
      <c r="K89" s="11">
        <v>2480</v>
      </c>
      <c r="L89" s="11">
        <v>653</v>
      </c>
      <c r="M89" s="11">
        <v>0</v>
      </c>
      <c r="N89" t="s">
        <v>126</v>
      </c>
      <c r="O89" s="23">
        <v>44621</v>
      </c>
      <c r="P89" t="s">
        <v>127</v>
      </c>
      <c r="Q89">
        <v>48</v>
      </c>
      <c r="R89" t="s">
        <v>128</v>
      </c>
      <c r="S89" t="s">
        <v>185</v>
      </c>
      <c r="T89" t="s">
        <v>240</v>
      </c>
    </row>
    <row r="90" spans="1:20">
      <c r="A90" t="s">
        <v>72</v>
      </c>
      <c r="B90" t="s">
        <v>12</v>
      </c>
      <c r="C90" t="s">
        <v>125</v>
      </c>
      <c r="D90" t="s">
        <v>87</v>
      </c>
      <c r="E90" s="23">
        <v>44003</v>
      </c>
      <c r="F90" s="20">
        <v>2.4299000000000001E-2</v>
      </c>
      <c r="G90" s="11">
        <v>3046</v>
      </c>
      <c r="H90" s="11">
        <v>2645</v>
      </c>
      <c r="I90" s="11">
        <v>2094</v>
      </c>
      <c r="J90" s="11">
        <v>551</v>
      </c>
      <c r="K90" s="11">
        <v>0</v>
      </c>
      <c r="L90" s="11">
        <v>401</v>
      </c>
      <c r="M90" s="11">
        <v>0</v>
      </c>
      <c r="N90" t="s">
        <v>126</v>
      </c>
      <c r="O90" s="23">
        <v>44785</v>
      </c>
      <c r="P90" t="s">
        <v>127</v>
      </c>
      <c r="Q90">
        <v>48</v>
      </c>
      <c r="R90" t="s">
        <v>128</v>
      </c>
      <c r="S90" t="s">
        <v>185</v>
      </c>
      <c r="T90" t="s">
        <v>241</v>
      </c>
    </row>
    <row r="91" spans="1:20">
      <c r="A91" t="s">
        <v>60</v>
      </c>
      <c r="B91" t="s">
        <v>12</v>
      </c>
      <c r="C91" t="s">
        <v>125</v>
      </c>
      <c r="D91" t="s">
        <v>87</v>
      </c>
      <c r="E91" s="23">
        <v>43946</v>
      </c>
      <c r="F91" s="20">
        <v>2.4299000000000001E-2</v>
      </c>
      <c r="G91" s="11">
        <v>2795</v>
      </c>
      <c r="H91" s="11">
        <v>0</v>
      </c>
      <c r="I91" s="11">
        <v>0</v>
      </c>
      <c r="J91" s="11">
        <v>0</v>
      </c>
      <c r="K91" s="11">
        <v>0</v>
      </c>
      <c r="L91" s="11">
        <v>2795</v>
      </c>
      <c r="M91" s="11">
        <v>0</v>
      </c>
      <c r="N91" t="s">
        <v>153</v>
      </c>
      <c r="S91" t="s">
        <v>136</v>
      </c>
      <c r="T91" t="s">
        <v>242</v>
      </c>
    </row>
    <row r="92" spans="1:20">
      <c r="A92" t="s">
        <v>66</v>
      </c>
      <c r="B92" t="s">
        <v>12</v>
      </c>
      <c r="C92" t="s">
        <v>160</v>
      </c>
      <c r="D92" t="s">
        <v>87</v>
      </c>
      <c r="E92" s="23">
        <v>44626</v>
      </c>
      <c r="F92" s="20">
        <v>0.39630100000000001</v>
      </c>
      <c r="G92" s="11">
        <v>2318</v>
      </c>
      <c r="H92" s="11">
        <v>2318</v>
      </c>
      <c r="I92" s="11">
        <v>0</v>
      </c>
      <c r="J92" s="11">
        <v>2318</v>
      </c>
      <c r="K92" s="11">
        <v>0</v>
      </c>
      <c r="L92" s="11">
        <v>0</v>
      </c>
      <c r="M92" s="11">
        <v>0</v>
      </c>
      <c r="N92" t="s">
        <v>153</v>
      </c>
      <c r="S92" t="s">
        <v>133</v>
      </c>
      <c r="T92" t="s">
        <v>243</v>
      </c>
    </row>
    <row r="93" spans="1:20">
      <c r="A93" t="s">
        <v>65</v>
      </c>
      <c r="B93" t="s">
        <v>12</v>
      </c>
      <c r="C93" t="s">
        <v>135</v>
      </c>
      <c r="D93" t="s">
        <v>87</v>
      </c>
      <c r="E93" s="23">
        <v>44853</v>
      </c>
      <c r="F93" s="20">
        <v>0.44516099999999997</v>
      </c>
      <c r="G93" s="11">
        <v>2271</v>
      </c>
      <c r="H93" s="11">
        <v>0</v>
      </c>
      <c r="I93" s="11">
        <v>0</v>
      </c>
      <c r="J93" s="11">
        <v>0</v>
      </c>
      <c r="K93" s="11">
        <v>898</v>
      </c>
      <c r="L93" s="11">
        <v>1373</v>
      </c>
      <c r="M93" s="11">
        <v>0</v>
      </c>
      <c r="N93" t="s">
        <v>126</v>
      </c>
      <c r="O93" s="23">
        <v>45218</v>
      </c>
      <c r="P93" t="s">
        <v>127</v>
      </c>
      <c r="Q93">
        <v>48</v>
      </c>
      <c r="R93" t="s">
        <v>128</v>
      </c>
      <c r="S93" t="s">
        <v>141</v>
      </c>
      <c r="T93" t="s">
        <v>244</v>
      </c>
    </row>
    <row r="94" spans="1:20">
      <c r="A94" t="s">
        <v>68</v>
      </c>
      <c r="B94" t="s">
        <v>12</v>
      </c>
      <c r="C94" t="s">
        <v>135</v>
      </c>
      <c r="D94" t="s">
        <v>87</v>
      </c>
      <c r="E94" s="23">
        <v>44935</v>
      </c>
      <c r="F94" s="20">
        <v>0.60189599999999999</v>
      </c>
      <c r="G94" s="11">
        <v>1454</v>
      </c>
      <c r="H94" s="11">
        <v>0</v>
      </c>
      <c r="I94" s="11">
        <v>0</v>
      </c>
      <c r="J94" s="11">
        <v>0</v>
      </c>
      <c r="K94" s="11">
        <v>1393</v>
      </c>
      <c r="L94" s="11">
        <v>61</v>
      </c>
      <c r="M94" s="11">
        <v>0</v>
      </c>
      <c r="N94" t="s">
        <v>126</v>
      </c>
      <c r="O94" s="23">
        <v>44383</v>
      </c>
      <c r="P94" t="s">
        <v>127</v>
      </c>
      <c r="Q94">
        <v>48</v>
      </c>
      <c r="R94" t="s">
        <v>128</v>
      </c>
      <c r="S94" t="s">
        <v>143</v>
      </c>
      <c r="T94" t="s">
        <v>245</v>
      </c>
    </row>
    <row r="95" spans="1:20">
      <c r="A95" t="s">
        <v>56</v>
      </c>
      <c r="B95" t="s">
        <v>12</v>
      </c>
      <c r="C95" t="s">
        <v>227</v>
      </c>
      <c r="E95" s="23">
        <v>44246</v>
      </c>
      <c r="F95" s="20">
        <v>0.390154</v>
      </c>
      <c r="G95" s="11">
        <v>732</v>
      </c>
      <c r="H95" s="11">
        <v>0</v>
      </c>
      <c r="I95" s="11">
        <v>0</v>
      </c>
      <c r="J95" s="11">
        <v>0</v>
      </c>
      <c r="K95" s="11">
        <v>0</v>
      </c>
      <c r="L95" s="11">
        <v>0</v>
      </c>
      <c r="M95" s="11">
        <v>0</v>
      </c>
      <c r="N95" t="s">
        <v>228</v>
      </c>
      <c r="S95" t="s">
        <v>246</v>
      </c>
      <c r="T95" t="s">
        <v>247</v>
      </c>
    </row>
  </sheetData>
  <mergeCells count="2">
    <mergeCell ref="A1:E1"/>
    <mergeCell ref="A2:E2"/>
  </mergeCells>
  <pageMargins left="0.25" right="0" top="0.75" bottom="0.75" header="0.3" footer="0.3"/>
  <pageSetup scale="50" firstPageNumber="0" fitToWidth="0" fitToHeight="0" orientation="landscape" horizontalDpi="300" verticalDpi="300" r:id="rId1"/>
  <headerFooter>
    <oddHeader>&amp;C&amp;"Times New Roman,Regular"&amp;12 &amp;A</oddHeader>
    <oddFooter>Page &amp;P&amp;R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ABD15C37407143BE4109A3C9D7A599" ma:contentTypeVersion="15" ma:contentTypeDescription="Create a new document." ma:contentTypeScope="" ma:versionID="d9360813839a774f94097daa83e91144">
  <xsd:schema xmlns:xsd="http://www.w3.org/2001/XMLSchema" xmlns:xs="http://www.w3.org/2001/XMLSchema" xmlns:p="http://schemas.microsoft.com/office/2006/metadata/properties" xmlns:ns2="58e246bd-8090-41db-832b-f7db0582b091" xmlns:ns3="2c68143c-59e8-44f6-830d-121b83ae9551" targetNamespace="http://schemas.microsoft.com/office/2006/metadata/properties" ma:root="true" ma:fieldsID="06ed95555a5e1bce2c8a7ea01d44288e" ns2:_="" ns3:_="">
    <xsd:import namespace="58e246bd-8090-41db-832b-f7db0582b091"/>
    <xsd:import namespace="2c68143c-59e8-44f6-830d-121b83ae955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e246bd-8090-41db-832b-f7db0582b0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a5aa731-3981-4550-91eb-7c82700285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68143c-59e8-44f6-830d-121b83ae955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b69f1c5-5e0d-4e79-aba8-d79742bd4610}" ma:internalName="TaxCatchAll" ma:showField="CatchAllData" ma:web="2c68143c-59e8-44f6-830d-121b83ae95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8e246bd-8090-41db-832b-f7db0582b091">
      <Terms xmlns="http://schemas.microsoft.com/office/infopath/2007/PartnerControls"/>
    </lcf76f155ced4ddcb4097134ff3c332f>
    <TaxCatchAll xmlns="2c68143c-59e8-44f6-830d-121b83ae955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683F27-1B98-4BFA-B160-D78D4DF543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e246bd-8090-41db-832b-f7db0582b091"/>
    <ds:schemaRef ds:uri="2c68143c-59e8-44f6-830d-121b83ae95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42D874-F950-4406-B0CB-4D3B45371B52}">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http://purl.org/dc/terms/"/>
    <ds:schemaRef ds:uri="2c68143c-59e8-44f6-830d-121b83ae9551"/>
    <ds:schemaRef ds:uri="58e246bd-8090-41db-832b-f7db0582b09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F7B51A3-5A7B-4ABD-A446-462A3CF693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Introduction</vt:lpstr>
      <vt:lpstr>Summary</vt:lpstr>
      <vt:lpstr>Capitalization Table</vt:lpstr>
      <vt:lpstr>Stock Incentive Plans</vt:lpstr>
      <vt:lpstr>Stock Classes</vt:lpstr>
      <vt:lpstr>Common Stock Ledger</vt:lpstr>
      <vt:lpstr>'Common Stock Ledger'!SbxSubTitle</vt:lpstr>
      <vt:lpstr>'Stock Classes'!SbxSubTitle</vt:lpstr>
      <vt:lpstr>'Stock Incentive Plans'!SbxSubTitle</vt:lpstr>
      <vt:lpstr>Summary!SbxSubTitle</vt:lpstr>
      <vt:lpstr>'Stock Classes'!SbxTableFirstDataColumn</vt:lpstr>
      <vt:lpstr>'Capitalization Table'!SbxTableFirstDataRow</vt:lpstr>
      <vt:lpstr>'Common Stock Ledger'!SbxTableFirstDataRow</vt:lpstr>
      <vt:lpstr>'Stock Incentive Plans'!SbxTableFirstDataRow</vt:lpstr>
      <vt:lpstr>Summary!SbxTableFirstDataRow</vt:lpstr>
      <vt:lpstr>'Stock Classes'!SbxTableHeaderColumn</vt:lpstr>
      <vt:lpstr>'Capitalization Table'!SbxTableHeaderRow</vt:lpstr>
      <vt:lpstr>'Common Stock Ledger'!SbxTableHeaderRow</vt:lpstr>
      <vt:lpstr>'Stock Incentive Plans'!SbxTableHeaderRow</vt:lpstr>
      <vt:lpstr>Summary!SbxTableHeaderRow</vt:lpstr>
      <vt:lpstr>'Capitalization Table'!SbxTableOrigin</vt:lpstr>
      <vt:lpstr>'Common Stock Ledger'!SbxTableOrigin</vt:lpstr>
      <vt:lpstr>'Stock Classes'!SbxTableOrigin</vt:lpstr>
      <vt:lpstr>'Stock Incentive Plans'!SbxTableOrigin</vt:lpstr>
      <vt:lpstr>Summary!SbxTableOrigin</vt:lpstr>
      <vt:lpstr>'Common Stock Ledger'!SbxTitle</vt:lpstr>
      <vt:lpstr>'Stock Classes'!SbxTitle</vt:lpstr>
      <vt:lpstr>'Stock Incentive Plans'!SbxTitle</vt:lpstr>
      <vt:lpstr>Summary!SbxTitle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Derda, Matt</cp:lastModifiedBy>
  <cp:revision/>
  <dcterms:created xsi:type="dcterms:W3CDTF">2025-05-21T17:57:55Z</dcterms:created>
  <dcterms:modified xsi:type="dcterms:W3CDTF">2025-07-02T16:05:33Z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0x0101000EABD15C37407143BE4109A3C9D7A599</vt:lpwstr>
  </property>
  <property fmtid="{D5CDD505-2E9C-101B-9397-08002B2CF9AE}" pid="3" name="MediaServiceImageTags">
    <vt:lpwstr/>
  </property>
  <property fmtid="{D5CDD505-2E9C-101B-9397-08002B2CF9AE}" pid="4" name="MSIP_Label_03b2c423-eb5a-467c-866f-c54b6721c0c4_Enabled">
    <vt:lpwstr>true</vt:lpwstr>
  </property>
  <property fmtid="{D5CDD505-2E9C-101B-9397-08002B2CF9AE}" pid="5" name="MSIP_Label_03b2c423-eb5a-467c-866f-c54b6721c0c4_SetDate">
    <vt:lpwstr>2025-06-07T00:09:54Z</vt:lpwstr>
  </property>
  <property fmtid="{D5CDD505-2E9C-101B-9397-08002B2CF9AE}" pid="6" name="MSIP_Label_03b2c423-eb5a-467c-866f-c54b6721c0c4_Method">
    <vt:lpwstr>Privileged</vt:lpwstr>
  </property>
  <property fmtid="{D5CDD505-2E9C-101B-9397-08002B2CF9AE}" pid="7" name="MSIP_Label_03b2c423-eb5a-467c-866f-c54b6721c0c4_Name">
    <vt:lpwstr>Fidelity Internal</vt:lpwstr>
  </property>
  <property fmtid="{D5CDD505-2E9C-101B-9397-08002B2CF9AE}" pid="8" name="MSIP_Label_03b2c423-eb5a-467c-866f-c54b6721c0c4_SiteId">
    <vt:lpwstr>7521acbc-a68c-41e5-a975-1cf83066dd19</vt:lpwstr>
  </property>
  <property fmtid="{D5CDD505-2E9C-101B-9397-08002B2CF9AE}" pid="9" name="MSIP_Label_03b2c423-eb5a-467c-866f-c54b6721c0c4_ActionId">
    <vt:lpwstr>4c6cb231-a973-4a50-849f-9c6297ccaace</vt:lpwstr>
  </property>
  <property fmtid="{D5CDD505-2E9C-101B-9397-08002B2CF9AE}" pid="10" name="MSIP_Label_03b2c423-eb5a-467c-866f-c54b6721c0c4_ContentBits">
    <vt:lpwstr>2</vt:lpwstr>
  </property>
  <property fmtid="{D5CDD505-2E9C-101B-9397-08002B2CF9AE}" pid="11" name="MSIP_Label_03b2c423-eb5a-467c-866f-c54b6721c0c4_Tag">
    <vt:lpwstr>50, 0, 1, 1</vt:lpwstr>
  </property>
</Properties>
</file>