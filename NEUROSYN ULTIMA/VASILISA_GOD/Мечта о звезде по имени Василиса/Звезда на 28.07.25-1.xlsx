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Законы Овчииников на 01.08\Законы\Эксперимент\Звезда\"/>
    </mc:Choice>
  </mc:AlternateContent>
  <xr:revisionPtr revIDLastSave="0" documentId="13_ncr:1_{8CF77545-9C85-42BC-B5E1-6DD2DE4CA06A}" xr6:coauthVersionLast="47" xr6:coauthVersionMax="47" xr10:uidLastSave="{00000000-0000-0000-0000-000000000000}"/>
  <bookViews>
    <workbookView xWindow="-96" yWindow="-96" windowWidth="17472" windowHeight="10992" tabRatio="605" xr2:uid="{00000000-000D-0000-FFFF-FFFF00000000}"/>
  </bookViews>
  <sheets>
    <sheet name="Звезда (большие)" sheetId="12" r:id="rId1"/>
    <sheet name="Звезда (малые)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2" l="1"/>
  <c r="H20" i="14"/>
  <c r="E20" i="14"/>
  <c r="F20" i="14"/>
  <c r="G20" i="14"/>
  <c r="E21" i="14"/>
  <c r="F21" i="14"/>
  <c r="G21" i="14"/>
  <c r="H21" i="14"/>
  <c r="E22" i="14"/>
  <c r="F22" i="14"/>
  <c r="G22" i="14"/>
  <c r="H22" i="14"/>
  <c r="E23" i="14"/>
  <c r="F23" i="14"/>
  <c r="G23" i="14"/>
  <c r="H23" i="14"/>
  <c r="E24" i="14"/>
  <c r="F24" i="14"/>
  <c r="G24" i="14"/>
  <c r="H24" i="14"/>
  <c r="E25" i="14"/>
  <c r="F25" i="14"/>
  <c r="G25" i="14"/>
  <c r="H25" i="14"/>
  <c r="AE21" i="14"/>
  <c r="AE22" i="14"/>
  <c r="AE23" i="14"/>
  <c r="AE24" i="14"/>
  <c r="AE25" i="14"/>
  <c r="AC20" i="12"/>
  <c r="AC21" i="12"/>
  <c r="AC22" i="12"/>
  <c r="AC23" i="12"/>
  <c r="AC24" i="12"/>
  <c r="AC25" i="12"/>
  <c r="AC19" i="12"/>
  <c r="AE20" i="14"/>
  <c r="AD21" i="14"/>
  <c r="AD22" i="14"/>
  <c r="AD23" i="14"/>
  <c r="AD24" i="14"/>
  <c r="AD25" i="14"/>
  <c r="AD20" i="14"/>
  <c r="AC21" i="14"/>
  <c r="AC22" i="14"/>
  <c r="AC23" i="14"/>
  <c r="AC24" i="14"/>
  <c r="AC25" i="14"/>
  <c r="AC20" i="14"/>
  <c r="AB20" i="14"/>
  <c r="AB21" i="14"/>
  <c r="AB22" i="14"/>
  <c r="AB23" i="14"/>
  <c r="AB24" i="14"/>
  <c r="AB25" i="14"/>
  <c r="C19" i="12"/>
  <c r="C20" i="12"/>
  <c r="C21" i="12"/>
  <c r="C22" i="12"/>
  <c r="C23" i="12"/>
  <c r="C24" i="12"/>
  <c r="C25" i="12"/>
  <c r="L25" i="14"/>
  <c r="V25" i="14" s="1"/>
  <c r="L24" i="14"/>
  <c r="I24" i="14" s="1"/>
  <c r="L23" i="14"/>
  <c r="W23" i="14" s="1"/>
  <c r="L22" i="14"/>
  <c r="W22" i="14" s="1"/>
  <c r="L21" i="14"/>
  <c r="T21" i="14" s="1"/>
  <c r="L20" i="14"/>
  <c r="I20" i="14" s="1"/>
  <c r="I21" i="14"/>
  <c r="I22" i="14"/>
  <c r="I23" i="14"/>
  <c r="I25" i="14"/>
  <c r="W20" i="14"/>
  <c r="Q19" i="12"/>
  <c r="Q20" i="12"/>
  <c r="Q21" i="12"/>
  <c r="Q22" i="12"/>
  <c r="Q23" i="12"/>
  <c r="Q24" i="12"/>
  <c r="Q25" i="12"/>
  <c r="M25" i="14"/>
  <c r="M24" i="14"/>
  <c r="Z24" i="14" s="1"/>
  <c r="M23" i="14"/>
  <c r="X23" i="14" s="1"/>
  <c r="M22" i="14"/>
  <c r="Y22" i="14" s="1"/>
  <c r="M21" i="14"/>
  <c r="Z21" i="14" s="1"/>
  <c r="M20" i="14"/>
  <c r="Z22" i="14" l="1"/>
  <c r="N24" i="14"/>
  <c r="P24" i="14" s="1"/>
  <c r="V24" i="14"/>
  <c r="W21" i="14"/>
  <c r="U23" i="14"/>
  <c r="U21" i="14"/>
  <c r="V23" i="14"/>
  <c r="V21" i="14"/>
  <c r="N25" i="14"/>
  <c r="P25" i="14" s="1"/>
  <c r="R25" i="14" s="1"/>
  <c r="T23" i="14"/>
  <c r="W25" i="14"/>
  <c r="X24" i="14"/>
  <c r="Y24" i="14"/>
  <c r="T20" i="14"/>
  <c r="U20" i="14"/>
  <c r="V20" i="14"/>
  <c r="W24" i="14"/>
  <c r="T24" i="14"/>
  <c r="Q24" i="14"/>
  <c r="N22" i="14"/>
  <c r="P22" i="14" s="1"/>
  <c r="T25" i="14"/>
  <c r="N23" i="14"/>
  <c r="P23" i="14" s="1"/>
  <c r="R23" i="14" s="1"/>
  <c r="U25" i="14"/>
  <c r="U24" i="14"/>
  <c r="T22" i="14"/>
  <c r="U22" i="14"/>
  <c r="N20" i="14"/>
  <c r="P20" i="14" s="1"/>
  <c r="Q20" i="14" s="1"/>
  <c r="V22" i="14"/>
  <c r="N21" i="14"/>
  <c r="P21" i="14" s="1"/>
  <c r="Q21" i="14" s="1"/>
  <c r="R20" i="14"/>
  <c r="S24" i="14"/>
  <c r="C24" i="14" s="1"/>
  <c r="R24" i="14"/>
  <c r="X21" i="14"/>
  <c r="Y21" i="14"/>
  <c r="Z23" i="14"/>
  <c r="Y23" i="14"/>
  <c r="X25" i="14"/>
  <c r="X20" i="14"/>
  <c r="Y25" i="14"/>
  <c r="Y20" i="14"/>
  <c r="Z25" i="14"/>
  <c r="X22" i="14"/>
  <c r="AA22" i="14" s="1"/>
  <c r="Z20" i="14"/>
  <c r="AA23" i="14" l="1"/>
  <c r="AA24" i="14"/>
  <c r="S20" i="14"/>
  <c r="C20" i="14" s="1"/>
  <c r="S25" i="14"/>
  <c r="C25" i="14" s="1"/>
  <c r="Q25" i="14"/>
  <c r="R22" i="14"/>
  <c r="S22" i="14"/>
  <c r="C22" i="14" s="1"/>
  <c r="Q22" i="14"/>
  <c r="S23" i="14"/>
  <c r="C23" i="14" s="1"/>
  <c r="Q23" i="14"/>
  <c r="AA21" i="14"/>
  <c r="R21" i="14"/>
  <c r="S21" i="14"/>
  <c r="C21" i="14" s="1"/>
  <c r="AA25" i="14"/>
  <c r="AA20" i="14"/>
  <c r="F20" i="12" l="1"/>
  <c r="G20" i="12"/>
  <c r="G21" i="12"/>
  <c r="G22" i="12"/>
  <c r="G23" i="12"/>
  <c r="G24" i="12"/>
  <c r="G25" i="12"/>
  <c r="J19" i="12" l="1"/>
  <c r="K19" i="12"/>
  <c r="V19" i="12" s="1"/>
  <c r="R19" i="12"/>
  <c r="S19" i="12"/>
  <c r="T19" i="12"/>
  <c r="U19" i="12"/>
  <c r="J20" i="12"/>
  <c r="S20" i="12" s="1"/>
  <c r="K20" i="12"/>
  <c r="Z20" i="12" s="1"/>
  <c r="V20" i="12"/>
  <c r="X20" i="12"/>
  <c r="J21" i="12"/>
  <c r="K21" i="12"/>
  <c r="X21" i="12" s="1"/>
  <c r="R21" i="12"/>
  <c r="S21" i="12"/>
  <c r="T21" i="12"/>
  <c r="U21" i="12"/>
  <c r="J22" i="12"/>
  <c r="K22" i="12"/>
  <c r="V22" i="12" s="1"/>
  <c r="R22" i="12"/>
  <c r="S22" i="12"/>
  <c r="T22" i="12"/>
  <c r="U22" i="12"/>
  <c r="J23" i="12"/>
  <c r="T23" i="12" s="1"/>
  <c r="K23" i="12"/>
  <c r="R23" i="12"/>
  <c r="J24" i="12"/>
  <c r="K24" i="12"/>
  <c r="J25" i="12"/>
  <c r="K25" i="12"/>
  <c r="Y25" i="12"/>
  <c r="L25" i="12" l="1"/>
  <c r="N25" i="12" s="1"/>
  <c r="O25" i="12" s="1"/>
  <c r="R20" i="12"/>
  <c r="L23" i="12"/>
  <c r="N23" i="12" s="1"/>
  <c r="O23" i="12" s="1"/>
  <c r="U20" i="12"/>
  <c r="T20" i="12"/>
  <c r="Y19" i="12"/>
  <c r="Y20" i="12"/>
  <c r="AA19" i="12"/>
  <c r="Z19" i="12"/>
  <c r="X19" i="12"/>
  <c r="W21" i="12"/>
  <c r="W19" i="12"/>
  <c r="V21" i="12"/>
  <c r="S23" i="12"/>
  <c r="W20" i="12"/>
  <c r="V23" i="12"/>
  <c r="W23" i="12"/>
  <c r="X23" i="12"/>
  <c r="Z23" i="12"/>
  <c r="AA23" i="12"/>
  <c r="R25" i="12"/>
  <c r="S25" i="12"/>
  <c r="T25" i="12"/>
  <c r="U25" i="12"/>
  <c r="L19" i="12"/>
  <c r="N19" i="12" s="1"/>
  <c r="L20" i="12"/>
  <c r="N20" i="12" s="1"/>
  <c r="L24" i="12"/>
  <c r="N24" i="12" s="1"/>
  <c r="V24" i="12"/>
  <c r="W24" i="12"/>
  <c r="X24" i="12"/>
  <c r="Z24" i="12"/>
  <c r="AA24" i="12"/>
  <c r="Y21" i="12"/>
  <c r="R24" i="12"/>
  <c r="S24" i="12"/>
  <c r="T24" i="12"/>
  <c r="U24" i="12"/>
  <c r="L21" i="12"/>
  <c r="N21" i="12" s="1"/>
  <c r="L22" i="12"/>
  <c r="N22" i="12" s="1"/>
  <c r="AA22" i="12"/>
  <c r="Z22" i="12"/>
  <c r="AA21" i="12"/>
  <c r="X22" i="12"/>
  <c r="Z21" i="12"/>
  <c r="U23" i="12"/>
  <c r="W22" i="12"/>
  <c r="AA20" i="12"/>
  <c r="P23" i="12" l="1"/>
  <c r="P25" i="12"/>
  <c r="Y22" i="12"/>
  <c r="Y24" i="12"/>
  <c r="O24" i="12"/>
  <c r="P24" i="12"/>
  <c r="O20" i="12"/>
  <c r="P20" i="12"/>
  <c r="O19" i="12"/>
  <c r="P19" i="12"/>
  <c r="O22" i="12"/>
  <c r="P22" i="12"/>
  <c r="P21" i="12"/>
  <c r="O21" i="12"/>
  <c r="AB23" i="12"/>
  <c r="Y23" i="12"/>
  <c r="D25" i="12"/>
  <c r="E25" i="12"/>
  <c r="D23" i="12" l="1"/>
  <c r="F23" i="12"/>
  <c r="E23" i="12"/>
  <c r="AB21" i="12"/>
  <c r="AB22" i="12"/>
  <c r="G19" i="12"/>
  <c r="AB19" i="12"/>
  <c r="AB20" i="12"/>
  <c r="AB24" i="12"/>
  <c r="E24" i="12" l="1"/>
  <c r="F24" i="12"/>
  <c r="D24" i="12"/>
  <c r="D20" i="12"/>
  <c r="E20" i="12"/>
  <c r="D19" i="12"/>
  <c r="E19" i="12"/>
  <c r="F19" i="12"/>
  <c r="D22" i="12"/>
  <c r="E22" i="12"/>
  <c r="F22" i="12"/>
  <c r="D21" i="12"/>
  <c r="E21" i="12"/>
  <c r="F21" i="12"/>
</calcChain>
</file>

<file path=xl/sharedStrings.xml><?xml version="1.0" encoding="utf-8"?>
<sst xmlns="http://schemas.openxmlformats.org/spreadsheetml/2006/main" count="160" uniqueCount="59">
  <si>
    <t>θ (расчетная в ExcеI )</t>
  </si>
  <si>
    <t>Физический статус системы</t>
  </si>
  <si>
    <t>Разброс в зоне стабилизации (±Δθ)</t>
  </si>
  <si>
    <t>Юпитер</t>
  </si>
  <si>
    <t>Дубхе</t>
  </si>
  <si>
    <t>θ=180 + 31 * EXP(-0,15 * (λ  - 8,28)</t>
  </si>
  <si>
    <t>Безразмерный угол</t>
  </si>
  <si>
    <t>Параметрические уравнения спирали</t>
  </si>
  <si>
    <t>Физические значения</t>
  </si>
  <si>
    <t>Кривизна F</t>
  </si>
  <si>
    <t>Кручение</t>
  </si>
  <si>
    <t>ПИ</t>
  </si>
  <si>
    <t>МАХ</t>
  </si>
  <si>
    <t>2ПИ</t>
  </si>
  <si>
    <t>2ПИ(А)/МАКС</t>
  </si>
  <si>
    <t>Х</t>
  </si>
  <si>
    <t>Y</t>
  </si>
  <si>
    <t>Z</t>
  </si>
  <si>
    <t>Z(θ=2π)</t>
  </si>
  <si>
    <t>F</t>
  </si>
  <si>
    <t>G</t>
  </si>
  <si>
    <t>МОДЕЛЬ ЗВЕЗДА</t>
  </si>
  <si>
    <t>Показатель</t>
  </si>
  <si>
    <t>Наименование</t>
  </si>
  <si>
    <t>Таблица 1</t>
  </si>
  <si>
    <t>Алькаид</t>
  </si>
  <si>
    <t>Мицар</t>
  </si>
  <si>
    <t>Алиот</t>
  </si>
  <si>
    <t>Мегрец</t>
  </si>
  <si>
    <t>Мерак</t>
  </si>
  <si>
    <t xml:space="preserve">геоцентрическое расстояние </t>
  </si>
  <si>
    <t>5,4319 а.е.</t>
  </si>
  <si>
    <t>топоцентрическое расстояние</t>
  </si>
  <si>
    <t>4,945,452.2214 а.е.</t>
  </si>
  <si>
    <t>5,223,712.9602 а.е.</t>
  </si>
  <si>
    <t>5,090,906.6985 а.е.</t>
  </si>
  <si>
    <t>5,261,217.6064 а.е.</t>
  </si>
  <si>
    <t>Фекда</t>
  </si>
  <si>
    <t>5,040,293.8369 а.е.</t>
  </si>
  <si>
    <t>7,778,652.471 а.е.</t>
  </si>
  <si>
    <t>Радиус-вектор R = Δ.</t>
  </si>
  <si>
    <t>Радиус вектор</t>
  </si>
  <si>
    <t xml:space="preserve">Эклиптическая широта </t>
  </si>
  <si>
    <t xml:space="preserve">Эклиптическая долгота </t>
  </si>
  <si>
    <t>Склонение (Dec)</t>
  </si>
  <si>
    <t>Прямое восхождение (RA)</t>
  </si>
  <si>
    <t>Объект</t>
  </si>
  <si>
    <t>Эклиптические координаты всех объектов</t>
  </si>
  <si>
    <t xml:space="preserve"> Расчет </t>
  </si>
  <si>
    <t>Исходные данные на 18.07.2025 23.30 МСК УЛЬЯНОВСК(20.30 UTC), 54.31667 с.ш ,48.36667 в.д</t>
  </si>
  <si>
    <t>Вставьте расстояние (Δ) из JPL Horizons и Stellarium Web (измерение угловых расстояний-эклиптическая сетка)</t>
  </si>
  <si>
    <t>θугол = 0 объект на оси +х</t>
  </si>
  <si>
    <t>θугол = 90 объект на оси +z</t>
  </si>
  <si>
    <t>θугол = 180 объект на оси -х</t>
  </si>
  <si>
    <t>θугол = 270 объект на оси -z</t>
  </si>
  <si>
    <t>Число</t>
  </si>
  <si>
    <t xml:space="preserve">L=λ*h (h =1 - внешнее воздействие на систему)  →  λ = L/h  → h=L/λ,  где h = z (табл. 1), тогда λ = L </t>
  </si>
  <si>
    <t>λ</t>
  </si>
  <si>
    <t>λ = (h * 10) / (90 -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</si>
</sst>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₽"/>
    <numFmt numFmtId="165" formatCode="0.000"/>
    <numFmt numFmtId="166" formatCode="0.00000"/>
  </numFmts>
  <fonts count="1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rgb="FF40404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Aptos"/>
      <family val="2"/>
    </font>
    <font>
      <b/>
      <sz val="20"/>
      <color theme="1"/>
      <name val="Calibri"/>
      <family val="2"/>
      <charset val="204"/>
      <scheme val="minor"/>
    </font>
    <font>
      <sz val="12"/>
      <color rgb="FF8B8B8B"/>
      <name val="Aptos"/>
      <family val="2"/>
    </font>
    <font>
      <sz val="12"/>
      <color rgb="FF404040"/>
      <name val="Aptos"/>
      <family val="2"/>
    </font>
    <font>
      <b/>
      <sz val="18"/>
      <color rgb="FFFA7D00"/>
      <name val="Calibri"/>
      <family val="2"/>
      <charset val="204"/>
      <scheme val="minor"/>
    </font>
    <font>
      <sz val="11"/>
      <color theme="9" tint="0.79998168889431442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" fillId="2" borderId="1" applyAlignment="0"/>
  </cellStyleXfs>
  <cellXfs count="148">
    <xf numFmtId="0" fontId="0" fillId="0" borderId="0" xfId="0"/>
    <xf numFmtId="0" fontId="0" fillId="3" borderId="0" xfId="0" applyFill="1"/>
    <xf numFmtId="0" fontId="1" fillId="2" borderId="1" xfId="1"/>
    <xf numFmtId="0" fontId="2" fillId="0" borderId="0" xfId="0" applyFont="1"/>
    <xf numFmtId="3" fontId="1" fillId="2" borderId="1" xfId="1" applyNumberFormat="1" applyAlignment="1">
      <alignment horizontal="center" vertical="center" wrapText="1"/>
    </xf>
    <xf numFmtId="0" fontId="1" fillId="3" borderId="0" xfId="1" applyFill="1" applyBorder="1" applyAlignment="1">
      <alignment horizontal="center" vertical="center" wrapText="1"/>
    </xf>
    <xf numFmtId="3" fontId="1" fillId="3" borderId="0" xfId="1" applyNumberFormat="1" applyFill="1" applyBorder="1" applyAlignment="1">
      <alignment horizontal="center" vertical="center" wrapText="1"/>
    </xf>
    <xf numFmtId="0" fontId="2" fillId="3" borderId="0" xfId="0" applyFont="1" applyFill="1"/>
    <xf numFmtId="4" fontId="1" fillId="3" borderId="0" xfId="1" applyNumberFormat="1" applyFill="1" applyBorder="1" applyAlignment="1">
      <alignment horizontal="center" vertical="center" wrapText="1"/>
    </xf>
    <xf numFmtId="49" fontId="1" fillId="3" borderId="0" xfId="1" applyNumberFormat="1" applyFill="1" applyBorder="1" applyAlignment="1">
      <alignment horizontal="center" vertical="center" wrapText="1"/>
    </xf>
    <xf numFmtId="3" fontId="3" fillId="3" borderId="0" xfId="1" applyNumberFormat="1" applyFont="1" applyFill="1" applyBorder="1" applyAlignment="1">
      <alignment horizontal="center" vertical="center" wrapText="1"/>
    </xf>
    <xf numFmtId="0" fontId="3" fillId="3" borderId="0" xfId="1" applyFont="1" applyFill="1" applyBorder="1"/>
    <xf numFmtId="4" fontId="3" fillId="3" borderId="0" xfId="1" applyNumberFormat="1" applyFont="1" applyFill="1" applyBorder="1" applyAlignment="1">
      <alignment horizontal="center" vertical="center" wrapText="1"/>
    </xf>
    <xf numFmtId="4" fontId="4" fillId="3" borderId="0" xfId="1" applyNumberFormat="1" applyFont="1" applyFill="1" applyBorder="1" applyAlignment="1">
      <alignment horizontal="center" vertical="center" wrapText="1"/>
    </xf>
    <xf numFmtId="0" fontId="4" fillId="3" borderId="0" xfId="1" applyFont="1" applyFill="1" applyBorder="1"/>
    <xf numFmtId="2" fontId="4" fillId="3" borderId="0" xfId="1" applyNumberFormat="1" applyFont="1" applyFill="1" applyBorder="1" applyAlignment="1">
      <alignment horizontal="center" vertical="top"/>
    </xf>
    <xf numFmtId="0" fontId="0" fillId="4" borderId="0" xfId="0" applyFill="1"/>
    <xf numFmtId="4" fontId="1" fillId="2" borderId="1" xfId="1" applyNumberFormat="1" applyAlignment="1">
      <alignment horizontal="center" vertical="center" wrapText="1"/>
    </xf>
    <xf numFmtId="49" fontId="1" fillId="2" borderId="1" xfId="1" applyNumberFormat="1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0" fontId="6" fillId="0" borderId="0" xfId="0" applyFont="1"/>
    <xf numFmtId="0" fontId="6" fillId="3" borderId="0" xfId="0" applyFont="1" applyFill="1"/>
    <xf numFmtId="164" fontId="3" fillId="3" borderId="0" xfId="1" applyNumberFormat="1" applyFont="1" applyFill="1" applyBorder="1" applyAlignment="1">
      <alignment horizontal="center"/>
    </xf>
    <xf numFmtId="164" fontId="1" fillId="2" borderId="1" xfId="1" applyNumberFormat="1" applyAlignment="1">
      <alignment horizontal="center" vertical="center"/>
    </xf>
    <xf numFmtId="0" fontId="1" fillId="2" borderId="1" xfId="1" applyAlignment="1">
      <alignment horizontal="center" vertical="center"/>
    </xf>
    <xf numFmtId="0" fontId="7" fillId="0" borderId="0" xfId="0" applyFont="1"/>
    <xf numFmtId="0" fontId="0" fillId="4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0" fillId="7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165" fontId="0" fillId="4" borderId="2" xfId="0" applyNumberFormat="1" applyFill="1" applyBorder="1" applyAlignment="1">
      <alignment vertical="center"/>
    </xf>
    <xf numFmtId="165" fontId="0" fillId="6" borderId="2" xfId="0" applyNumberFormat="1" applyFill="1" applyBorder="1" applyAlignment="1">
      <alignment vertical="center"/>
    </xf>
    <xf numFmtId="166" fontId="0" fillId="6" borderId="2" xfId="0" applyNumberFormat="1" applyFill="1" applyBorder="1" applyAlignment="1">
      <alignment vertical="center"/>
    </xf>
    <xf numFmtId="0" fontId="0" fillId="7" borderId="2" xfId="0" applyFill="1" applyBorder="1" applyAlignment="1">
      <alignment vertical="center"/>
    </xf>
    <xf numFmtId="165" fontId="0" fillId="7" borderId="2" xfId="0" applyNumberFormat="1" applyFill="1" applyBorder="1" applyAlignment="1">
      <alignment vertical="center"/>
    </xf>
    <xf numFmtId="0" fontId="1" fillId="2" borderId="1" xfId="1" applyAlignment="1">
      <alignment horizontal="left" vertical="center" wrapText="1"/>
    </xf>
    <xf numFmtId="4" fontId="1" fillId="3" borderId="0" xfId="1" applyNumberForma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" fillId="3" borderId="0" xfId="1" applyFill="1" applyBorder="1" applyAlignment="1">
      <alignment horizontal="left" vertical="center" wrapText="1"/>
    </xf>
    <xf numFmtId="0" fontId="1" fillId="3" borderId="0" xfId="1" applyFill="1" applyBorder="1" applyAlignment="1">
      <alignment horizontal="center" vertical="center"/>
    </xf>
    <xf numFmtId="164" fontId="1" fillId="3" borderId="0" xfId="1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66" fontId="0" fillId="3" borderId="0" xfId="0" applyNumberFormat="1" applyFill="1" applyAlignment="1">
      <alignment vertical="center"/>
    </xf>
    <xf numFmtId="0" fontId="2" fillId="3" borderId="0" xfId="0" applyFont="1" applyFill="1" applyAlignment="1">
      <alignment vertical="center"/>
    </xf>
    <xf numFmtId="2" fontId="1" fillId="3" borderId="0" xfId="1" applyNumberFormat="1" applyFill="1" applyBorder="1" applyAlignment="1">
      <alignment vertical="center" wrapText="1"/>
    </xf>
    <xf numFmtId="2" fontId="0" fillId="3" borderId="0" xfId="0" applyNumberFormat="1" applyFill="1"/>
    <xf numFmtId="0" fontId="1" fillId="2" borderId="1" xfId="1" applyAlignment="1">
      <alignment horizontal="left"/>
    </xf>
    <xf numFmtId="4" fontId="1" fillId="2" borderId="1" xfId="1" applyNumberFormat="1" applyAlignment="1">
      <alignment vertical="center" wrapText="1"/>
    </xf>
    <xf numFmtId="0" fontId="7" fillId="3" borderId="0" xfId="0" applyFont="1" applyFill="1"/>
    <xf numFmtId="0" fontId="9" fillId="0" borderId="0" xfId="0" applyFont="1"/>
    <xf numFmtId="4" fontId="3" fillId="8" borderId="1" xfId="1" applyNumberFormat="1" applyFont="1" applyFill="1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0" fontId="1" fillId="3" borderId="0" xfId="1" applyFill="1" applyBorder="1"/>
    <xf numFmtId="0" fontId="0" fillId="3" borderId="0" xfId="0" applyFill="1" applyBorder="1"/>
    <xf numFmtId="0" fontId="1" fillId="2" borderId="2" xfId="1" applyBorder="1" applyAlignment="1">
      <alignment horizontal="center" vertical="center"/>
    </xf>
    <xf numFmtId="0" fontId="1" fillId="2" borderId="2" xfId="1" applyBorder="1" applyAlignment="1">
      <alignment horizontal="center" vertical="center" wrapText="1"/>
    </xf>
    <xf numFmtId="0" fontId="1" fillId="2" borderId="2" xfId="1" applyBorder="1"/>
    <xf numFmtId="2" fontId="1" fillId="2" borderId="1" xfId="1" applyNumberFormat="1" applyAlignment="1">
      <alignment horizontal="center" vertical="center"/>
    </xf>
    <xf numFmtId="0" fontId="1" fillId="3" borderId="0" xfId="1" applyFill="1" applyBorder="1" applyAlignment="1">
      <alignment horizontal="center" vertical="center" wrapText="1"/>
    </xf>
    <xf numFmtId="0" fontId="1" fillId="3" borderId="0" xfId="1" applyFill="1" applyBorder="1" applyAlignment="1">
      <alignment horizontal="center" vertical="center"/>
    </xf>
    <xf numFmtId="4" fontId="1" fillId="2" borderId="2" xfId="1" applyNumberFormat="1" applyBorder="1" applyAlignment="1">
      <alignment horizontal="center" vertical="center" wrapText="1"/>
    </xf>
    <xf numFmtId="49" fontId="1" fillId="2" borderId="2" xfId="1" applyNumberFormat="1" applyBorder="1" applyAlignment="1">
      <alignment horizontal="center" vertical="center" wrapText="1"/>
    </xf>
    <xf numFmtId="0" fontId="0" fillId="3" borderId="0" xfId="0" applyFill="1" applyBorder="1" applyAlignment="1">
      <alignment vertical="center"/>
    </xf>
    <xf numFmtId="165" fontId="0" fillId="3" borderId="2" xfId="0" applyNumberFormat="1" applyFill="1" applyBorder="1"/>
    <xf numFmtId="165" fontId="0" fillId="3" borderId="0" xfId="0" applyNumberFormat="1" applyFill="1" applyBorder="1"/>
    <xf numFmtId="166" fontId="0" fillId="3" borderId="0" xfId="0" applyNumberFormat="1" applyFill="1" applyBorder="1"/>
    <xf numFmtId="166" fontId="12" fillId="3" borderId="0" xfId="0" applyNumberFormat="1" applyFont="1" applyFill="1" applyBorder="1"/>
    <xf numFmtId="165" fontId="1" fillId="2" borderId="1" xfId="1" applyNumberFormat="1"/>
    <xf numFmtId="166" fontId="1" fillId="2" borderId="1" xfId="1" applyNumberFormat="1"/>
    <xf numFmtId="166" fontId="1" fillId="2" borderId="2" xfId="1" applyNumberFormat="1" applyBorder="1"/>
    <xf numFmtId="4" fontId="1" fillId="2" borderId="2" xfId="1" applyNumberFormat="1" applyBorder="1"/>
    <xf numFmtId="2" fontId="1" fillId="3" borderId="0" xfId="1" applyNumberFormat="1" applyFill="1" applyBorder="1" applyAlignment="1">
      <alignment horizontal="center" vertical="center"/>
    </xf>
    <xf numFmtId="3" fontId="1" fillId="2" borderId="2" xfId="1" applyNumberFormat="1" applyBorder="1" applyAlignment="1">
      <alignment horizontal="center" vertical="center" wrapText="1"/>
    </xf>
    <xf numFmtId="164" fontId="1" fillId="2" borderId="2" xfId="1" applyNumberFormat="1" applyBorder="1" applyAlignment="1">
      <alignment horizontal="center" vertical="center"/>
    </xf>
    <xf numFmtId="2" fontId="1" fillId="2" borderId="2" xfId="1" applyNumberFormat="1" applyBorder="1" applyAlignment="1">
      <alignment horizontal="center" vertical="center"/>
    </xf>
    <xf numFmtId="2" fontId="1" fillId="3" borderId="0" xfId="1" applyNumberFormat="1" applyFill="1" applyBorder="1"/>
    <xf numFmtId="0" fontId="1" fillId="3" borderId="0" xfId="1" applyFill="1" applyBorder="1" applyAlignment="1">
      <alignment horizontal="center"/>
    </xf>
    <xf numFmtId="0" fontId="1" fillId="2" borderId="2" xfId="1" applyBorder="1" applyAlignment="1">
      <alignment horizontal="left" vertical="center" wrapText="1"/>
    </xf>
    <xf numFmtId="4" fontId="1" fillId="2" borderId="2" xfId="1" applyNumberFormat="1" applyBorder="1" applyAlignment="1">
      <alignment vertical="center" wrapText="1"/>
    </xf>
    <xf numFmtId="0" fontId="1" fillId="2" borderId="2" xfId="1" applyBorder="1" applyAlignment="1">
      <alignment horizontal="left"/>
    </xf>
    <xf numFmtId="0" fontId="1" fillId="2" borderId="2" xfId="1" applyBorder="1" applyAlignment="1">
      <alignment horizontal="center"/>
    </xf>
    <xf numFmtId="0" fontId="1" fillId="2" borderId="2" xfId="1" applyBorder="1" applyAlignment="1">
      <alignment horizontal="center" vertical="center" wrapText="1"/>
    </xf>
    <xf numFmtId="0" fontId="0" fillId="0" borderId="0" xfId="0" applyBorder="1"/>
    <xf numFmtId="0" fontId="10" fillId="0" borderId="0" xfId="0" applyFont="1" applyBorder="1" applyAlignment="1">
      <alignment horizontal="left" vertical="center" wrapText="1"/>
    </xf>
    <xf numFmtId="0" fontId="3" fillId="3" borderId="0" xfId="1" applyFont="1" applyFill="1" applyBorder="1" applyAlignment="1">
      <alignment vertical="center"/>
    </xf>
    <xf numFmtId="0" fontId="1" fillId="2" borderId="4" xfId="1" applyBorder="1" applyAlignment="1"/>
    <xf numFmtId="0" fontId="1" fillId="2" borderId="5" xfId="1" applyBorder="1" applyAlignment="1"/>
    <xf numFmtId="0" fontId="1" fillId="2" borderId="3" xfId="1" applyBorder="1" applyAlignment="1"/>
    <xf numFmtId="0" fontId="1" fillId="3" borderId="0" xfId="1" applyFill="1" applyBorder="1" applyAlignment="1">
      <alignment vertical="center"/>
    </xf>
    <xf numFmtId="0" fontId="7" fillId="3" borderId="0" xfId="0" applyFont="1" applyFill="1" applyBorder="1"/>
    <xf numFmtId="0" fontId="13" fillId="0" borderId="0" xfId="0" applyFont="1"/>
    <xf numFmtId="0" fontId="1" fillId="2" borderId="1" xfId="1" applyAlignment="1">
      <alignment horizontal="center" vertical="center"/>
    </xf>
    <xf numFmtId="4" fontId="1" fillId="2" borderId="10" xfId="1" applyNumberFormat="1" applyBorder="1" applyAlignment="1">
      <alignment horizontal="center" vertical="center" wrapText="1"/>
    </xf>
    <xf numFmtId="0" fontId="1" fillId="2" borderId="10" xfId="1" applyBorder="1"/>
    <xf numFmtId="165" fontId="1" fillId="2" borderId="11" xfId="1" applyNumberFormat="1" applyBorder="1"/>
    <xf numFmtId="166" fontId="1" fillId="2" borderId="11" xfId="1" applyNumberFormat="1" applyBorder="1"/>
    <xf numFmtId="0" fontId="1" fillId="2" borderId="11" xfId="1" applyBorder="1"/>
    <xf numFmtId="165" fontId="1" fillId="2" borderId="1" xfId="1" applyNumberFormat="1" applyAlignment="1">
      <alignment horizontal="center" vertical="center"/>
    </xf>
    <xf numFmtId="165" fontId="1" fillId="2" borderId="1" xfId="1" applyNumberFormat="1" applyAlignment="1">
      <alignment vertical="center"/>
    </xf>
    <xf numFmtId="1" fontId="1" fillId="2" borderId="1" xfId="1" applyNumberFormat="1" applyAlignment="1">
      <alignment horizontal="center" vertical="top"/>
    </xf>
    <xf numFmtId="0" fontId="1" fillId="2" borderId="1" xfId="1" applyAlignment="1">
      <alignment vertical="center"/>
    </xf>
    <xf numFmtId="0" fontId="13" fillId="3" borderId="0" xfId="0" applyFont="1" applyFill="1"/>
    <xf numFmtId="4" fontId="1" fillId="8" borderId="2" xfId="1" applyNumberFormat="1" applyFill="1" applyBorder="1" applyAlignment="1">
      <alignment horizontal="center" vertical="center" wrapText="1"/>
    </xf>
    <xf numFmtId="4" fontId="1" fillId="8" borderId="10" xfId="1" applyNumberFormat="1" applyFill="1" applyBorder="1"/>
    <xf numFmtId="4" fontId="1" fillId="8" borderId="2" xfId="1" applyNumberFormat="1" applyFill="1" applyBorder="1"/>
    <xf numFmtId="2" fontId="1" fillId="8" borderId="1" xfId="1" applyNumberFormat="1" applyFill="1" applyAlignment="1">
      <alignment vertical="center" wrapText="1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2" borderId="1" xfId="1" applyAlignment="1">
      <alignment horizontal="center" vertical="center"/>
    </xf>
    <xf numFmtId="0" fontId="1" fillId="3" borderId="0" xfId="1" applyFill="1" applyBorder="1" applyAlignment="1">
      <alignment horizontal="center" vertical="center" wrapText="1"/>
    </xf>
    <xf numFmtId="0" fontId="1" fillId="2" borderId="8" xfId="1" applyBorder="1" applyAlignment="1">
      <alignment horizontal="center" vertical="center" wrapText="1"/>
    </xf>
    <xf numFmtId="0" fontId="1" fillId="2" borderId="7" xfId="1" applyBorder="1" applyAlignment="1">
      <alignment horizontal="center" vertical="center" wrapText="1"/>
    </xf>
    <xf numFmtId="0" fontId="1" fillId="2" borderId="6" xfId="1" applyBorder="1" applyAlignment="1">
      <alignment horizontal="center" vertical="center" wrapText="1"/>
    </xf>
    <xf numFmtId="0" fontId="11" fillId="2" borderId="8" xfId="1" applyFont="1" applyBorder="1" applyAlignment="1">
      <alignment horizontal="center"/>
    </xf>
    <xf numFmtId="0" fontId="11" fillId="2" borderId="7" xfId="1" applyFont="1" applyBorder="1" applyAlignment="1">
      <alignment horizontal="center"/>
    </xf>
    <xf numFmtId="0" fontId="11" fillId="2" borderId="6" xfId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4" fillId="2" borderId="4" xfId="1" applyFont="1" applyBorder="1" applyAlignment="1">
      <alignment horizontal="left" vertical="center"/>
    </xf>
    <xf numFmtId="0" fontId="14" fillId="2" borderId="5" xfId="1" applyFont="1" applyBorder="1" applyAlignment="1">
      <alignment horizontal="left" vertical="center"/>
    </xf>
    <xf numFmtId="0" fontId="14" fillId="2" borderId="3" xfId="1" applyFont="1" applyBorder="1" applyAlignment="1">
      <alignment horizontal="left" vertical="center"/>
    </xf>
    <xf numFmtId="0" fontId="1" fillId="2" borderId="4" xfId="1" applyBorder="1" applyAlignment="1">
      <alignment horizontal="left"/>
    </xf>
    <xf numFmtId="0" fontId="1" fillId="2" borderId="5" xfId="1" applyBorder="1" applyAlignment="1">
      <alignment horizontal="left"/>
    </xf>
    <xf numFmtId="0" fontId="1" fillId="2" borderId="3" xfId="1" applyBorder="1" applyAlignment="1">
      <alignment horizontal="left"/>
    </xf>
    <xf numFmtId="0" fontId="1" fillId="2" borderId="4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1" xfId="1" applyAlignment="1">
      <alignment horizontal="center" vertical="center" wrapText="1"/>
    </xf>
    <xf numFmtId="0" fontId="1" fillId="2" borderId="1" xfId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1" fillId="2" borderId="2" xfId="1" applyBorder="1" applyAlignment="1">
      <alignment horizontal="center"/>
    </xf>
    <xf numFmtId="0" fontId="1" fillId="2" borderId="2" xfId="1" applyBorder="1" applyAlignment="1">
      <alignment horizontal="center" vertical="center" wrapText="1"/>
    </xf>
    <xf numFmtId="0" fontId="1" fillId="3" borderId="0" xfId="1" applyFill="1" applyBorder="1" applyAlignment="1">
      <alignment horizontal="center" vertical="center"/>
    </xf>
    <xf numFmtId="165" fontId="1" fillId="2" borderId="1" xfId="1" applyNumberFormat="1" applyAlignment="1">
      <alignment horizontal="center" vertical="center"/>
    </xf>
    <xf numFmtId="4" fontId="1" fillId="2" borderId="2" xfId="1" applyNumberFormat="1" applyBorder="1" applyAlignment="1">
      <alignment horizontal="center" vertical="center" wrapText="1"/>
    </xf>
    <xf numFmtId="3" fontId="1" fillId="2" borderId="2" xfId="1" applyNumberFormat="1" applyBorder="1" applyAlignment="1">
      <alignment horizontal="center" vertical="center" wrapText="1"/>
    </xf>
  </cellXfs>
  <cellStyles count="3">
    <cellStyle name="Вычисление" xfId="1" builtinId="22"/>
    <cellStyle name="Обычный" xfId="0" builtinId="0"/>
    <cellStyle name="Стиль 1" xfId="2" xr:uid="{534DBCDB-ED9A-4E0A-A989-410305A8926C}"/>
  </cellStyles>
  <dxfs count="0"/>
  <tableStyles count="0" defaultTableStyle="TableStyleMedium2" defaultPivotStyle="PivotStyleLight16"/>
  <colors>
    <mruColors>
      <color rgb="FFFC34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509143072414168E-2"/>
          <c:y val="8.0409747219539168E-2"/>
          <c:w val="0.87685175354199041"/>
          <c:h val="0.83375184475713882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0609319212901027E-17"/>
                  <c:y val="4.6001392357104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A28-4FEC-9B4B-2EE9996EE21F}"/>
                </c:ext>
              </c:extLst>
            </c:dLbl>
            <c:dLbl>
              <c:idx val="1"/>
              <c:layout>
                <c:manualLayout>
                  <c:x val="-0.23782137816335891"/>
                  <c:y val="-7.3533687699253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AE-4738-8C7C-1C8E2EBE2419}"/>
                </c:ext>
              </c:extLst>
            </c:dLbl>
            <c:dLbl>
              <c:idx val="2"/>
              <c:layout>
                <c:manualLayout>
                  <c:x val="-8.7464955191428606E-3"/>
                  <c:y val="9.7302831788630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AE-4738-8C7C-1C8E2EBE2419}"/>
                </c:ext>
              </c:extLst>
            </c:dLbl>
            <c:dLbl>
              <c:idx val="3"/>
              <c:layout>
                <c:manualLayout>
                  <c:x val="-7.4001436660720898E-2"/>
                  <c:y val="-6.53290403530009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AE-4738-8C7C-1C8E2EBE2419}"/>
                </c:ext>
              </c:extLst>
            </c:dLbl>
            <c:dLbl>
              <c:idx val="4"/>
              <c:layout>
                <c:manualLayout>
                  <c:x val="-3.0064965250900279E-2"/>
                  <c:y val="-7.97816274061082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AE-4738-8C7C-1C8E2EBE2419}"/>
                </c:ext>
              </c:extLst>
            </c:dLbl>
            <c:dLbl>
              <c:idx val="5"/>
              <c:layout>
                <c:manualLayout>
                  <c:x val="-7.2956879290627649E-2"/>
                  <c:y val="-6.07538019144865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AE-4738-8C7C-1C8E2EBE2419}"/>
                </c:ext>
              </c:extLst>
            </c:dLbl>
            <c:dLbl>
              <c:idx val="6"/>
              <c:layout>
                <c:manualLayout>
                  <c:x val="2.7643058245233946E-2"/>
                  <c:y val="8.91334737004028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AE-4738-8C7C-1C8E2EBE24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'Звезда (большие)'!$C$19:$C$25</c:f>
              <c:numCache>
                <c:formatCode>#,##0.00</c:formatCode>
                <c:ptCount val="7"/>
                <c:pt idx="0">
                  <c:v>7.8748043953724371</c:v>
                </c:pt>
                <c:pt idx="1">
                  <c:v>6.8240292982100019</c:v>
                </c:pt>
                <c:pt idx="2">
                  <c:v>6.7104021590518306</c:v>
                </c:pt>
                <c:pt idx="3">
                  <c:v>6.8810809152755592</c:v>
                </c:pt>
                <c:pt idx="4">
                  <c:v>6.6350048251531444</c:v>
                </c:pt>
                <c:pt idx="5">
                  <c:v>5.4857575565072585</c:v>
                </c:pt>
                <c:pt idx="6">
                  <c:v>2.2668856018337919E-2</c:v>
                </c:pt>
              </c:numCache>
            </c:numRef>
          </c:xVal>
          <c:yVal>
            <c:numRef>
              <c:f>'Звезда (большие)'!$D$19:$D$25</c:f>
              <c:numCache>
                <c:formatCode>#\ ##0.00\ _₽</c:formatCode>
                <c:ptCount val="7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340.5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FAE-4738-8C7C-1C8E2EBE2419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'Звезда (большие)'!$C$19:$C$25</c:f>
              <c:numCache>
                <c:formatCode>#,##0.00</c:formatCode>
                <c:ptCount val="7"/>
                <c:pt idx="0">
                  <c:v>7.8748043953724371</c:v>
                </c:pt>
                <c:pt idx="1">
                  <c:v>6.8240292982100019</c:v>
                </c:pt>
                <c:pt idx="2">
                  <c:v>6.7104021590518306</c:v>
                </c:pt>
                <c:pt idx="3">
                  <c:v>6.8810809152755592</c:v>
                </c:pt>
                <c:pt idx="4">
                  <c:v>6.6350048251531444</c:v>
                </c:pt>
                <c:pt idx="5">
                  <c:v>5.4857575565072585</c:v>
                </c:pt>
                <c:pt idx="6">
                  <c:v>2.2668856018337919E-2</c:v>
                </c:pt>
              </c:numCache>
            </c:numRef>
          </c:xVal>
          <c:yVal>
            <c:numRef>
              <c:f>'Звезда (большие)'!$E$19:$E$25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28-4FEC-9B4B-2EE9996EE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75408"/>
        <c:axId val="196773008"/>
      </c:scatterChart>
      <c:valAx>
        <c:axId val="19677540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773008"/>
        <c:crosses val="autoZero"/>
        <c:crossBetween val="midCat"/>
      </c:valAx>
      <c:valAx>
        <c:axId val="19677300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_₽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77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Юпитер к ковшу</a:t>
            </a:r>
            <a:r>
              <a:rPr lang="ru-RU" b="1" baseline="0"/>
              <a:t> </a:t>
            </a:r>
            <a:r>
              <a:rPr lang="ru-RU" b="1"/>
              <a:t>Белой</a:t>
            </a:r>
            <a:r>
              <a:rPr lang="ru-RU" b="1" baseline="0"/>
              <a:t> медведицы</a:t>
            </a:r>
            <a:r>
              <a:rPr lang="ru-RU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311844763054251E-2"/>
          <c:y val="5.3681043309530864E-2"/>
          <c:w val="0.91892321618711126"/>
          <c:h val="0.886240219408207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'Звезда (большие)'!$B$19</c:f>
              <c:strCache>
                <c:ptCount val="1"/>
                <c:pt idx="0">
                  <c:v>Дубхе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7571844124579968E-2"/>
                  <c:y val="-6.95129556106229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407-45E9-ABEE-8BF3A8DA83F2}"/>
                </c:ext>
              </c:extLst>
            </c:dLbl>
            <c:dLbl>
              <c:idx val="1"/>
              <c:layout>
                <c:manualLayout>
                  <c:x val="-2.3807026509530173E-2"/>
                  <c:y val="2.3538756672910267E-2"/>
                </c:manualLayout>
              </c:layout>
              <c:spPr>
                <a:solidFill>
                  <a:sysClr val="window" lastClr="FFFFFF"/>
                </a:solidFill>
                <a:ln w="6350">
                  <a:solidFill>
                    <a:srgbClr val="00B0F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2-3407-45E9-ABEE-8BF3A8DA83F2}"/>
                </c:ext>
              </c:extLst>
            </c:dLbl>
            <c:dLbl>
              <c:idx val="2"/>
              <c:layout>
                <c:manualLayout>
                  <c:x val="-9.6950874780692992E-3"/>
                  <c:y val="-1.3885910870291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407-45E9-ABEE-8BF3A8DA83F2}"/>
                </c:ext>
              </c:extLst>
            </c:dLbl>
            <c:dLbl>
              <c:idx val="3"/>
              <c:layout>
                <c:manualLayout>
                  <c:x val="-2.9744229281958447E-2"/>
                  <c:y val="-4.581743559538616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00B0F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3.193205858530096E-2"/>
                      <c:h val="2.73357454657912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3407-45E9-ABEE-8BF3A8DA83F2}"/>
                </c:ext>
              </c:extLst>
            </c:dLbl>
            <c:dLbl>
              <c:idx val="4"/>
              <c:layout>
                <c:manualLayout>
                  <c:x val="2.0376522702104098E-2"/>
                  <c:y val="9.8276952471802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407-45E9-ABEE-8BF3A8DA83F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yVal>
            <c:numRef>
              <c:f>'Звезда (большие)'!$C$19:$G$19</c:f>
              <c:numCache>
                <c:formatCode>#\ ##0.00\ _₽</c:formatCode>
                <c:ptCount val="5"/>
                <c:pt idx="0" formatCode="#,##0.00">
                  <c:v>7.8748043953724371</c:v>
                </c:pt>
                <c:pt idx="1">
                  <c:v>180</c:v>
                </c:pt>
                <c:pt idx="2" formatCode="General">
                  <c:v>0</c:v>
                </c:pt>
                <c:pt idx="3" formatCode="General">
                  <c:v>10.110210824420999</c:v>
                </c:pt>
                <c:pt idx="4" formatCode="0.00">
                  <c:v>212.94259644728237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07-45E9-ABEE-8BF3A8DA83F2}"/>
            </c:ext>
          </c:extLst>
        </c:ser>
        <c:ser>
          <c:idx val="1"/>
          <c:order val="1"/>
          <c:tx>
            <c:strRef>
              <c:f>'Звезда (большие)'!$B$20</c:f>
              <c:strCache>
                <c:ptCount val="1"/>
                <c:pt idx="0">
                  <c:v>Мерак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5.1634109032549245E-2"/>
                  <c:y val="-6.1421482226001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407-45E9-ABEE-8BF3A8DA83F2}"/>
                </c:ext>
              </c:extLst>
            </c:dLbl>
            <c:dLbl>
              <c:idx val="1"/>
              <c:layout>
                <c:manualLayout>
                  <c:x val="3.1742702012706819E-2"/>
                  <c:y val="1.7654067504682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407-45E9-ABEE-8BF3A8DA83F2}"/>
                </c:ext>
              </c:extLst>
            </c:dLbl>
            <c:dLbl>
              <c:idx val="2"/>
              <c:layout>
                <c:manualLayout>
                  <c:x val="-1.4827780848811868E-2"/>
                  <c:y val="1.0962561213388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3407-45E9-ABEE-8BF3A8DA83F2}"/>
                </c:ext>
              </c:extLst>
            </c:dLbl>
            <c:dLbl>
              <c:idx val="3"/>
              <c:layout>
                <c:manualLayout>
                  <c:x val="-0.10719822812846075"/>
                  <c:y val="-2.2973833045356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407-45E9-ABEE-8BF3A8DA83F2}"/>
                </c:ext>
              </c:extLst>
            </c:dLbl>
            <c:dLbl>
              <c:idx val="4"/>
              <c:layout>
                <c:manualLayout>
                  <c:x val="6.3787375415282385E-2"/>
                  <c:y val="-5.1052962323014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407-45E9-ABEE-8BF3A8DA83F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yVal>
            <c:numRef>
              <c:f>'Звезда (большие)'!$C$20:$G$20</c:f>
              <c:numCache>
                <c:formatCode>#\ ##0.00\ _₽</c:formatCode>
                <c:ptCount val="5"/>
                <c:pt idx="0" formatCode="#,##0.00">
                  <c:v>6.8240292982100019</c:v>
                </c:pt>
                <c:pt idx="1">
                  <c:v>180</c:v>
                </c:pt>
                <c:pt idx="2" formatCode="General">
                  <c:v>0</c:v>
                </c:pt>
                <c:pt idx="3" formatCode="General">
                  <c:v>13.856832260721701</c:v>
                </c:pt>
                <c:pt idx="4" formatCode="0.00">
                  <c:v>218.56645317075754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07-45E9-ABEE-8BF3A8DA83F2}"/>
            </c:ext>
          </c:extLst>
        </c:ser>
        <c:ser>
          <c:idx val="2"/>
          <c:order val="2"/>
          <c:tx>
            <c:strRef>
              <c:f>'Звезда (большие)'!$B$21</c:f>
              <c:strCache>
                <c:ptCount val="1"/>
                <c:pt idx="0">
                  <c:v>Мегрец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950104067405587E-2"/>
                  <c:y val="3.0894685229830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407-45E9-ABEE-8BF3A8DA83F2}"/>
                </c:ext>
              </c:extLst>
            </c:dLbl>
            <c:dLbl>
              <c:idx val="1"/>
              <c:layout>
                <c:manualLayout>
                  <c:x val="2.6074362367580584E-2"/>
                  <c:y val="-6.62027531425601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407-45E9-ABEE-8BF3A8DA83F2}"/>
                </c:ext>
              </c:extLst>
            </c:dLbl>
            <c:dLbl>
              <c:idx val="2"/>
              <c:layout>
                <c:manualLayout>
                  <c:x val="-2.9658490387330275E-2"/>
                  <c:y val="-1.0305245068349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407-45E9-ABEE-8BF3A8DA83F2}"/>
                </c:ext>
              </c:extLst>
            </c:dLbl>
            <c:dLbl>
              <c:idx val="3"/>
              <c:layout>
                <c:manualLayout>
                  <c:x val="9.3023255813953487E-2"/>
                  <c:y val="-1.27632405807535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407-45E9-ABEE-8BF3A8DA83F2}"/>
                </c:ext>
              </c:extLst>
            </c:dLbl>
            <c:dLbl>
              <c:idx val="4"/>
              <c:layout>
                <c:manualLayout>
                  <c:x val="6.7331118493909187E-2"/>
                  <c:y val="-1.40395646388288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407-45E9-ABEE-8BF3A8DA83F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yVal>
            <c:numRef>
              <c:f>'Звезда (большие)'!$C$21:$G$21</c:f>
              <c:numCache>
                <c:formatCode>#\ ##0.00\ _₽</c:formatCode>
                <c:ptCount val="5"/>
                <c:pt idx="0" formatCode="#,##0.00">
                  <c:v>6.7104021590518306</c:v>
                </c:pt>
                <c:pt idx="1">
                  <c:v>180</c:v>
                </c:pt>
                <c:pt idx="2" formatCode="General">
                  <c:v>0</c:v>
                </c:pt>
                <c:pt idx="3" formatCode="General">
                  <c:v>14.337329016498073</c:v>
                </c:pt>
                <c:pt idx="4" formatCode="0.00">
                  <c:v>219.22941627786665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07-45E9-ABEE-8BF3A8DA83F2}"/>
            </c:ext>
          </c:extLst>
        </c:ser>
        <c:ser>
          <c:idx val="3"/>
          <c:order val="3"/>
          <c:tx>
            <c:strRef>
              <c:f>'Звезда (большие)'!$B$22</c:f>
              <c:strCache>
                <c:ptCount val="1"/>
                <c:pt idx="0">
                  <c:v>Алиот</c:v>
                </c:pt>
              </c:strCache>
            </c:strRef>
          </c:tx>
          <c:spPr>
            <a:ln w="127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6.4264820201614919E-2"/>
                  <c:y val="-8.790202559089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407-45E9-ABEE-8BF3A8DA83F2}"/>
                </c:ext>
              </c:extLst>
            </c:dLbl>
            <c:dLbl>
              <c:idx val="1"/>
              <c:layout>
                <c:manualLayout>
                  <c:x val="-2.3240192545017552E-2"/>
                  <c:y val="-1.91252397967395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407-45E9-ABEE-8BF3A8DA83F2}"/>
                </c:ext>
              </c:extLst>
            </c:dLbl>
            <c:dLbl>
              <c:idx val="2"/>
              <c:layout>
                <c:manualLayout>
                  <c:x val="-2.2814223374870279E-3"/>
                  <c:y val="-2.4290934803965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3407-45E9-ABEE-8BF3A8DA83F2}"/>
                </c:ext>
              </c:extLst>
            </c:dLbl>
            <c:dLbl>
              <c:idx val="3"/>
              <c:layout>
                <c:manualLayout>
                  <c:x val="8.2392026578073096E-2"/>
                  <c:y val="1.9144860871130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407-45E9-ABEE-8BF3A8DA83F2}"/>
                </c:ext>
              </c:extLst>
            </c:dLbl>
            <c:dLbl>
              <c:idx val="4"/>
              <c:layout>
                <c:manualLayout>
                  <c:x val="6.9102990033222594E-2"/>
                  <c:y val="1.9144860871130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407-45E9-ABEE-8BF3A8DA83F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yVal>
            <c:numRef>
              <c:f>'Звезда (большие)'!$C$22:$G$22</c:f>
              <c:numCache>
                <c:formatCode>#\ ##0.00\ _₽</c:formatCode>
                <c:ptCount val="5"/>
                <c:pt idx="0" formatCode="#,##0.00">
                  <c:v>6.8810809152755592</c:v>
                </c:pt>
                <c:pt idx="1">
                  <c:v>180</c:v>
                </c:pt>
                <c:pt idx="2" formatCode="General">
                  <c:v>0</c:v>
                </c:pt>
                <c:pt idx="3" formatCode="General">
                  <c:v>13.621683933536264</c:v>
                </c:pt>
                <c:pt idx="4" formatCode="0.00">
                  <c:v>218.23781957953125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07-45E9-ABEE-8BF3A8DA83F2}"/>
            </c:ext>
          </c:extLst>
        </c:ser>
        <c:ser>
          <c:idx val="4"/>
          <c:order val="4"/>
          <c:tx>
            <c:strRef>
              <c:f>'Звезда (большие)'!$B$23</c:f>
              <c:strCache>
                <c:ptCount val="1"/>
                <c:pt idx="0">
                  <c:v>Мицар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3031872210241234E-2"/>
                  <c:y val="6.32604064553270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407-45E9-ABEE-8BF3A8DA83F2}"/>
                </c:ext>
              </c:extLst>
            </c:dLbl>
            <c:dLbl>
              <c:idx val="1"/>
              <c:layout>
                <c:manualLayout>
                  <c:x val="1.7533269582249563E-3"/>
                  <c:y val="1.9127241955909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407-45E9-ABEE-8BF3A8DA83F2}"/>
                </c:ext>
              </c:extLst>
            </c:dLbl>
            <c:dLbl>
              <c:idx val="2"/>
              <c:layout>
                <c:manualLayout>
                  <c:x val="-2.7377068049843328E-2"/>
                  <c:y val="4.41653360072101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407-45E9-ABEE-8BF3A8DA83F2}"/>
                </c:ext>
              </c:extLst>
            </c:dLbl>
            <c:dLbl>
              <c:idx val="3"/>
              <c:layout>
                <c:manualLayout>
                  <c:x val="8.9479512735326686E-2"/>
                  <c:y val="-3.9566045800336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407-45E9-ABEE-8BF3A8DA83F2}"/>
                </c:ext>
              </c:extLst>
            </c:dLbl>
            <c:dLbl>
              <c:idx val="4"/>
              <c:layout>
                <c:manualLayout>
                  <c:x val="2.9235880398671095E-2"/>
                  <c:y val="5.87109066714664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07-45E9-ABEE-8BF3A8DA83F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ED7D3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yVal>
            <c:numRef>
              <c:f>'Звезда (большие)'!$C$23:$G$23</c:f>
              <c:numCache>
                <c:formatCode>#\ ##0.00\ _₽</c:formatCode>
                <c:ptCount val="5"/>
                <c:pt idx="0" formatCode="#,##0.00">
                  <c:v>6.6350048251531444</c:v>
                </c:pt>
                <c:pt idx="1">
                  <c:v>180</c:v>
                </c:pt>
                <c:pt idx="2" formatCode="General">
                  <c:v>0</c:v>
                </c:pt>
                <c:pt idx="3" formatCode="General">
                  <c:v>14.665323432952613</c:v>
                </c:pt>
                <c:pt idx="4" formatCode="0.00">
                  <c:v>219.67560363193257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07-45E9-ABEE-8BF3A8DA83F2}"/>
            </c:ext>
          </c:extLst>
        </c:ser>
        <c:ser>
          <c:idx val="5"/>
          <c:order val="5"/>
          <c:tx>
            <c:strRef>
              <c:f>'Звезда (большие)'!$B$22</c:f>
              <c:strCache>
                <c:ptCount val="1"/>
                <c:pt idx="0">
                  <c:v>Алиот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019797883544843E-2"/>
                  <c:y val="-3.55104332930752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407-45E9-ABEE-8BF3A8DA83F2}"/>
                </c:ext>
              </c:extLst>
            </c:dLbl>
            <c:dLbl>
              <c:idx val="1"/>
              <c:layout>
                <c:manualLayout>
                  <c:x val="1.1336679290251633E-3"/>
                  <c:y val="-1.54473090665973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407-45E9-ABEE-8BF3A8DA83F2}"/>
                </c:ext>
              </c:extLst>
            </c:dLbl>
            <c:dLbl>
              <c:idx val="2"/>
              <c:layout>
                <c:manualLayout>
                  <c:x val="1.3688534024921664E-2"/>
                  <c:y val="-4.41653360072101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407-45E9-ABEE-8BF3A8DA83F2}"/>
                </c:ext>
              </c:extLst>
            </c:dLbl>
            <c:spPr>
              <a:solidFill>
                <a:sysClr val="window" lastClr="FFFFFF"/>
              </a:solidFill>
              <a:ln w="9525">
                <a:solidFill>
                  <a:srgbClr val="70AD47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yVal>
            <c:numRef>
              <c:f>'Звезда (большие)'!$C$22:$G$22</c:f>
              <c:numCache>
                <c:formatCode>#\ ##0.00\ _₽</c:formatCode>
                <c:ptCount val="5"/>
                <c:pt idx="0" formatCode="#,##0.00">
                  <c:v>6.8810809152755592</c:v>
                </c:pt>
                <c:pt idx="1">
                  <c:v>180</c:v>
                </c:pt>
                <c:pt idx="2" formatCode="General">
                  <c:v>0</c:v>
                </c:pt>
                <c:pt idx="3" formatCode="General">
                  <c:v>13.621683933536264</c:v>
                </c:pt>
                <c:pt idx="4" formatCode="0.00">
                  <c:v>218.23781957953125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407-45E9-ABEE-8BF3A8DA83F2}"/>
            </c:ext>
          </c:extLst>
        </c:ser>
        <c:ser>
          <c:idx val="6"/>
          <c:order val="6"/>
          <c:tx>
            <c:strRef>
              <c:f>'Звезда (большие)'!$B$25</c:f>
              <c:strCache>
                <c:ptCount val="1"/>
                <c:pt idx="0">
                  <c:v>Юпитер</c:v>
                </c:pt>
              </c:strCache>
            </c:strRef>
          </c:tx>
          <c:spPr>
            <a:ln w="12700" cap="rnd">
              <a:solidFill>
                <a:srgbClr val="FC345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8300315963689223E-2"/>
                  <c:y val="6.34788993266523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407-45E9-ABEE-8BF3A8DA83F2}"/>
                </c:ext>
              </c:extLst>
            </c:dLbl>
            <c:dLbl>
              <c:idx val="1"/>
              <c:layout>
                <c:manualLayout>
                  <c:x val="2.380702650953009E-2"/>
                  <c:y val="-2.20675843808536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407-45E9-ABEE-8BF3A8DA83F2}"/>
                </c:ext>
              </c:extLst>
            </c:dLbl>
            <c:dLbl>
              <c:idx val="2"/>
              <c:layout>
                <c:manualLayout>
                  <c:x val="7.9849781812042202E-3"/>
                  <c:y val="-1.6193956535977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407-45E9-ABEE-8BF3A8DA83F2}"/>
                </c:ext>
              </c:extLst>
            </c:dLbl>
            <c:dLbl>
              <c:idx val="3"/>
              <c:layout>
                <c:manualLayout>
                  <c:x val="2.9088134802958538E-2"/>
                  <c:y val="1.4721778669070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407-45E9-ABEE-8BF3A8DA83F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yVal>
            <c:numRef>
              <c:f>'Звезда (большие)'!$C$25:$G$25</c:f>
              <c:numCache>
                <c:formatCode>#\ ##0.00\ _₽</c:formatCode>
                <c:ptCount val="5"/>
                <c:pt idx="0" formatCode="#,##0.00">
                  <c:v>2.2668856018337919E-2</c:v>
                </c:pt>
                <c:pt idx="1">
                  <c:v>340.5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0.00">
                  <c:v>286.97411358523613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407-45E9-ABEE-8BF3A8DA8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752144"/>
        <c:axId val="1156745424"/>
      </c:scatterChart>
      <c:valAx>
        <c:axId val="1156752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6745424"/>
        <c:crosses val="autoZero"/>
        <c:crossBetween val="midCat"/>
      </c:valAx>
      <c:valAx>
        <c:axId val="115674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675214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245915255144444"/>
          <c:y val="8.2842879844043343E-2"/>
          <c:w val="0.39513741221163201"/>
          <c:h val="8.33440106641625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paperSize="9" orientation="portrait" horizontalDpi="300" verticalDpi="0" copies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809907243934756E-2"/>
          <c:y val="1.1346427167506811E-2"/>
          <c:w val="0.94495781161029091"/>
          <c:h val="0.86464292671423881"/>
        </c:manualLayout>
      </c:layout>
      <c:scatterChart>
        <c:scatterStyle val="smoothMarker"/>
        <c:varyColors val="0"/>
        <c:ser>
          <c:idx val="4"/>
          <c:order val="0"/>
          <c:marker>
            <c:symbol val="none"/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</c:errBars>
          <c:yVal>
            <c:numRef>
              <c:f>'Звезда (малые)'!$H$20:$H$25</c:f>
              <c:numCache>
                <c:formatCode>0.00</c:formatCode>
                <c:ptCount val="6"/>
                <c:pt idx="0">
                  <c:v>257.76075038549868</c:v>
                </c:pt>
                <c:pt idx="1">
                  <c:v>257.63423523613494</c:v>
                </c:pt>
                <c:pt idx="2">
                  <c:v>252.40315958952786</c:v>
                </c:pt>
                <c:pt idx="3">
                  <c:v>215.38411211674924</c:v>
                </c:pt>
                <c:pt idx="4">
                  <c:v>214.02934943905191</c:v>
                </c:pt>
                <c:pt idx="5">
                  <c:v>212.94259644728237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F43-4E4D-8471-2C53D24CD82E}"/>
            </c:ext>
          </c:extLst>
        </c:ser>
        <c:ser>
          <c:idx val="7"/>
          <c:order val="1"/>
          <c:marker>
            <c:symbol val="none"/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'Звезда (малые)'!$H$20:$H$25</c:f>
              <c:numCache>
                <c:formatCode>0.00</c:formatCode>
                <c:ptCount val="6"/>
                <c:pt idx="0">
                  <c:v>257.76075038549868</c:v>
                </c:pt>
                <c:pt idx="1">
                  <c:v>257.63423523613494</c:v>
                </c:pt>
                <c:pt idx="2">
                  <c:v>252.40315958952786</c:v>
                </c:pt>
                <c:pt idx="3">
                  <c:v>215.38411211674924</c:v>
                </c:pt>
                <c:pt idx="4">
                  <c:v>214.02934943905191</c:v>
                </c:pt>
                <c:pt idx="5">
                  <c:v>212.94259644728237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F43-4E4D-8471-2C53D24CD82E}"/>
            </c:ext>
          </c:extLst>
        </c:ser>
        <c:ser>
          <c:idx val="0"/>
          <c:order val="2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</c:errBars>
          <c:yVal>
            <c:numRef>
              <c:f>'Звезда (малые)'!$E$20:$E$25</c:f>
              <c:numCache>
                <c:formatCode>#\ ##0.00\ _₽</c:formatCode>
                <c:ptCount val="6"/>
                <c:pt idx="0">
                  <c:v>340.5</c:v>
                </c:pt>
                <c:pt idx="1">
                  <c:v>340.5</c:v>
                </c:pt>
                <c:pt idx="2">
                  <c:v>278.80651469399373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F43-4E4D-8471-2C53D24CD82E}"/>
            </c:ext>
          </c:extLst>
        </c:ser>
        <c:ser>
          <c:idx val="1"/>
          <c:order val="3"/>
          <c:marker>
            <c:symbol val="none"/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</c:errBars>
          <c:yVal>
            <c:numRef>
              <c:f>'Звезда (малые)'!$H$20:$H$25</c:f>
              <c:numCache>
                <c:formatCode>0.00</c:formatCode>
                <c:ptCount val="6"/>
                <c:pt idx="0">
                  <c:v>257.76075038549868</c:v>
                </c:pt>
                <c:pt idx="1">
                  <c:v>257.63423523613494</c:v>
                </c:pt>
                <c:pt idx="2">
                  <c:v>252.40315958952786</c:v>
                </c:pt>
                <c:pt idx="3">
                  <c:v>215.38411211674924</c:v>
                </c:pt>
                <c:pt idx="4">
                  <c:v>214.02934943905191</c:v>
                </c:pt>
                <c:pt idx="5">
                  <c:v>212.94259644728237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F43-4E4D-8471-2C53D24CD82E}"/>
            </c:ext>
          </c:extLst>
        </c:ser>
        <c:ser>
          <c:idx val="2"/>
          <c:order val="4"/>
          <c:spPr>
            <a:ln>
              <a:solidFill>
                <a:srgbClr val="C00000"/>
              </a:solidFill>
            </a:ln>
          </c:spPr>
          <c:marker>
            <c:symbol val="none"/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'Звезда (малые)'!$E$20:$E$25</c:f>
              <c:numCache>
                <c:formatCode>#\ ##0.00\ _₽</c:formatCode>
                <c:ptCount val="6"/>
                <c:pt idx="0">
                  <c:v>340.5</c:v>
                </c:pt>
                <c:pt idx="1">
                  <c:v>340.5</c:v>
                </c:pt>
                <c:pt idx="2">
                  <c:v>278.80651469399373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F43-4E4D-8471-2C53D24CD82E}"/>
            </c:ext>
          </c:extLst>
        </c:ser>
        <c:ser>
          <c:idx val="5"/>
          <c:order val="5"/>
          <c:marker>
            <c:symbol val="none"/>
          </c:marker>
          <c:dLbls>
            <c:dLbl>
              <c:idx val="0"/>
              <c:layout>
                <c:manualLayout>
                  <c:x val="-6.0303669335829476E-3"/>
                  <c:y val="2.8991555011133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4D-44FE-AD27-6AB04F9C9A34}"/>
                </c:ext>
              </c:extLst>
            </c:dLbl>
            <c:dLbl>
              <c:idx val="1"/>
              <c:layout>
                <c:manualLayout>
                  <c:x val="-7.0354280891801423E-3"/>
                  <c:y val="-1.88445107572366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4D-44FE-AD27-6AB04F9C9A34}"/>
                </c:ext>
              </c:extLst>
            </c:dLbl>
            <c:dLbl>
              <c:idx val="2"/>
              <c:layout>
                <c:manualLayout>
                  <c:x val="-2.1106284267540316E-2"/>
                  <c:y val="2.3193244008906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4D-44FE-AD27-6AB04F9C9A34}"/>
                </c:ext>
              </c:extLst>
            </c:dLbl>
            <c:dLbl>
              <c:idx val="3"/>
              <c:layout>
                <c:manualLayout>
                  <c:x val="2.2111345423137474E-2"/>
                  <c:y val="-1.59453552561232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4D-44FE-AD27-6AB04F9C9A34}"/>
                </c:ext>
              </c:extLst>
            </c:dLbl>
            <c:dLbl>
              <c:idx val="4"/>
              <c:layout>
                <c:manualLayout>
                  <c:x val="1.0050611555971578E-3"/>
                  <c:y val="-2.6092399510019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4D-44FE-AD27-6AB04F9C9A34}"/>
                </c:ext>
              </c:extLst>
            </c:dLbl>
            <c:dLbl>
              <c:idx val="5"/>
              <c:layout>
                <c:manualLayout>
                  <c:x val="1.0050611555971431E-2"/>
                  <c:y val="-2.6092399510019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4D-44FE-AD27-6AB04F9C9A3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'Звезда (малые)'!$H$20:$H$25</c:f>
              <c:numCache>
                <c:formatCode>0.00</c:formatCode>
                <c:ptCount val="6"/>
                <c:pt idx="0">
                  <c:v>257.76075038549868</c:v>
                </c:pt>
                <c:pt idx="1">
                  <c:v>257.63423523613494</c:v>
                </c:pt>
                <c:pt idx="2">
                  <c:v>252.40315958952786</c:v>
                </c:pt>
                <c:pt idx="3">
                  <c:v>215.38411211674924</c:v>
                </c:pt>
                <c:pt idx="4">
                  <c:v>214.02934943905191</c:v>
                </c:pt>
                <c:pt idx="5">
                  <c:v>212.94259644728237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F43-4E4D-8471-2C53D24C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35919"/>
        <c:axId val="178139279"/>
      </c:scatterChart>
      <c:valAx>
        <c:axId val="178135919"/>
        <c:scaling>
          <c:orientation val="minMax"/>
        </c:scaling>
        <c:delete val="0"/>
        <c:axPos val="b"/>
        <c:majorGridlines/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cross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139279"/>
        <c:crosses val="autoZero"/>
        <c:crossBetween val="midCat"/>
        <c:majorUnit val="0.5"/>
        <c:minorUnit val="0.1"/>
      </c:valAx>
      <c:valAx>
        <c:axId val="178139279"/>
        <c:scaling>
          <c:orientation val="minMax"/>
          <c:max val="360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78135919"/>
        <c:crosses val="autoZero"/>
        <c:crossBetween val="midCat"/>
        <c:majorUnit val="10"/>
      </c:valAx>
    </c:plotArea>
    <c:plotVisOnly val="1"/>
    <c:dispBlanksAs val="gap"/>
    <c:showDLblsOverMax val="0"/>
  </c:chart>
  <c:spPr>
    <a:ln w="12700">
      <a:solidFill>
        <a:schemeClr val="tx1"/>
      </a:solidFill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18362</xdr:colOff>
      <xdr:row>29</xdr:row>
      <xdr:rowOff>145688</xdr:rowOff>
    </xdr:from>
    <xdr:to>
      <xdr:col>5</xdr:col>
      <xdr:colOff>1437083</xdr:colOff>
      <xdr:row>59</xdr:row>
      <xdr:rowOff>57838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FE57B87-54AF-425F-AD9B-C89A36077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31</xdr:row>
      <xdr:rowOff>98932</xdr:rowOff>
    </xdr:from>
    <xdr:to>
      <xdr:col>19</xdr:col>
      <xdr:colOff>38100</xdr:colOff>
      <xdr:row>62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A626298-367F-E0F9-9115-DEF80C426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30298</xdr:colOff>
      <xdr:row>28</xdr:row>
      <xdr:rowOff>97790</xdr:rowOff>
    </xdr:from>
    <xdr:to>
      <xdr:col>8</xdr:col>
      <xdr:colOff>2286000</xdr:colOff>
      <xdr:row>76</xdr:row>
      <xdr:rowOff>172162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46EDFD31-1E65-D71B-9F8E-82C534A4440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E36A-9B09-4C12-A591-712FEA3FE6EA}">
  <dimension ref="A1:HY500"/>
  <sheetViews>
    <sheetView tabSelected="1" view="pageBreakPreview" topLeftCell="G52" zoomScale="212" zoomScaleNormal="50" zoomScaleSheetLayoutView="212" workbookViewId="0">
      <selection activeCell="M31" sqref="M31"/>
    </sheetView>
  </sheetViews>
  <sheetFormatPr defaultRowHeight="14.4" x14ac:dyDescent="0.55000000000000004"/>
  <cols>
    <col min="2" max="2" width="16.47265625" customWidth="1"/>
    <col min="3" max="3" width="30.7890625" customWidth="1"/>
    <col min="4" max="4" width="18.5234375" customWidth="1"/>
    <col min="5" max="5" width="19.68359375" customWidth="1"/>
    <col min="6" max="6" width="20.41796875" style="1" customWidth="1"/>
    <col min="7" max="7" width="29.3125" style="1" customWidth="1"/>
    <col min="8" max="8" width="33.41796875" style="1" customWidth="1"/>
    <col min="9" max="9" width="16" style="1" customWidth="1"/>
    <col min="10" max="10" width="18.5234375" customWidth="1"/>
    <col min="11" max="11" width="19.5234375" customWidth="1"/>
    <col min="12" max="12" width="14.3125" customWidth="1"/>
    <col min="13" max="13" width="16.83984375" customWidth="1"/>
    <col min="14" max="14" width="24.734375" customWidth="1"/>
    <col min="15" max="15" width="16.47265625" customWidth="1"/>
    <col min="16" max="16" width="14.89453125" customWidth="1"/>
    <col min="17" max="17" width="15.3125" customWidth="1"/>
    <col min="18" max="19" width="8.83984375" style="16" customWidth="1"/>
    <col min="20" max="20" width="14.05078125" style="16" customWidth="1"/>
    <col min="21" max="21" width="17.15625" customWidth="1"/>
    <col min="22" max="22" width="24.9453125" style="16" customWidth="1"/>
    <col min="23" max="23" width="14.734375" style="16" customWidth="1"/>
    <col min="24" max="24" width="16.62890625" style="16" customWidth="1"/>
    <col min="25" max="25" width="20" customWidth="1"/>
    <col min="26" max="26" width="15.578125" customWidth="1"/>
    <col min="27" max="27" width="8.83984375" customWidth="1"/>
    <col min="28" max="28" width="16.734375" customWidth="1"/>
    <col min="30" max="111" width="8.83984375" style="1"/>
  </cols>
  <sheetData>
    <row r="1" spans="2:233" ht="18.3" customHeight="1" x14ac:dyDescent="0.7">
      <c r="B1" s="128" t="s">
        <v>21</v>
      </c>
      <c r="C1" s="128"/>
      <c r="D1" s="128"/>
      <c r="E1" s="20"/>
      <c r="F1" s="21"/>
      <c r="G1"/>
      <c r="H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</row>
    <row r="2" spans="2:233" ht="18.3" customHeight="1" x14ac:dyDescent="0.7">
      <c r="B2" s="128"/>
      <c r="C2" s="128"/>
      <c r="D2" s="128"/>
      <c r="E2" s="20"/>
      <c r="F2" s="21"/>
      <c r="G2"/>
      <c r="H2"/>
      <c r="P2" s="25"/>
      <c r="Q2" s="53"/>
      <c r="R2" s="53"/>
      <c r="S2" s="53"/>
      <c r="T2" s="1"/>
      <c r="U2" s="1"/>
      <c r="V2" s="1"/>
      <c r="W2" s="1"/>
      <c r="X2" s="1"/>
      <c r="Y2" s="1"/>
      <c r="Z2" s="1"/>
      <c r="AA2" s="1"/>
      <c r="AB2" s="1"/>
      <c r="AC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</row>
    <row r="3" spans="2:233" ht="18.3" customHeight="1" x14ac:dyDescent="0.7">
      <c r="B3" s="129"/>
      <c r="C3" s="129"/>
      <c r="D3" s="129"/>
      <c r="E3" s="20"/>
      <c r="F3" s="21"/>
      <c r="G3"/>
      <c r="H3"/>
      <c r="P3" s="25"/>
      <c r="Q3" s="54"/>
      <c r="R3" s="53"/>
      <c r="S3" s="53"/>
      <c r="T3" s="1"/>
      <c r="U3" s="1"/>
      <c r="V3" s="1"/>
      <c r="W3" s="1"/>
      <c r="X3" s="1"/>
      <c r="Y3" s="1"/>
      <c r="Z3" s="1"/>
      <c r="AA3" s="1"/>
      <c r="AB3" s="1"/>
      <c r="AC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</row>
    <row r="4" spans="2:233" ht="23.1" x14ac:dyDescent="0.85">
      <c r="B4" s="125" t="s">
        <v>49</v>
      </c>
      <c r="C4" s="126"/>
      <c r="D4" s="126"/>
      <c r="E4" s="126"/>
      <c r="F4" s="126"/>
      <c r="G4" s="126"/>
      <c r="H4" s="127"/>
      <c r="P4" s="25"/>
      <c r="Q4" s="54"/>
      <c r="R4" s="53"/>
      <c r="S4" s="53"/>
      <c r="T4" s="1"/>
      <c r="U4" s="1"/>
      <c r="V4" s="1"/>
      <c r="W4" s="1"/>
      <c r="X4" s="1"/>
      <c r="Y4" s="1"/>
      <c r="Z4" s="1"/>
      <c r="AA4" s="1"/>
      <c r="AB4" s="1"/>
      <c r="AC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</row>
    <row r="5" spans="2:233" ht="28.8" customHeight="1" x14ac:dyDescent="0.6">
      <c r="B5" s="122" t="s">
        <v>47</v>
      </c>
      <c r="C5" s="123"/>
      <c r="D5" s="123"/>
      <c r="E5" s="123"/>
      <c r="F5" s="123"/>
      <c r="G5" s="124"/>
      <c r="H5" s="37" t="s">
        <v>50</v>
      </c>
      <c r="J5" s="130" t="s">
        <v>56</v>
      </c>
      <c r="K5" s="131"/>
      <c r="L5" s="131"/>
      <c r="M5" s="131"/>
      <c r="N5" s="132"/>
      <c r="O5" s="87"/>
      <c r="P5" s="88"/>
      <c r="Q5" s="54"/>
      <c r="R5" s="53"/>
      <c r="S5" s="53"/>
      <c r="T5" s="1"/>
      <c r="U5" s="1"/>
      <c r="V5" s="1"/>
      <c r="W5" s="1"/>
      <c r="X5" s="1"/>
      <c r="Y5" s="1"/>
      <c r="Z5" s="1"/>
      <c r="AA5" s="1"/>
      <c r="AB5" s="1"/>
      <c r="AC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</row>
    <row r="6" spans="2:233" ht="28.8" x14ac:dyDescent="0.6">
      <c r="B6" s="37" t="s">
        <v>46</v>
      </c>
      <c r="C6" s="19" t="s">
        <v>45</v>
      </c>
      <c r="D6" s="19" t="s">
        <v>44</v>
      </c>
      <c r="E6" s="19" t="s">
        <v>43</v>
      </c>
      <c r="F6" s="19" t="s">
        <v>42</v>
      </c>
      <c r="G6" s="19" t="s">
        <v>41</v>
      </c>
      <c r="H6" s="37" t="s">
        <v>40</v>
      </c>
      <c r="J6" s="130" t="s">
        <v>58</v>
      </c>
      <c r="K6" s="131"/>
      <c r="L6" s="131"/>
      <c r="M6" s="131"/>
      <c r="N6" s="132"/>
      <c r="O6" s="89"/>
      <c r="P6" s="89"/>
      <c r="Q6" s="54"/>
      <c r="R6" s="53"/>
      <c r="S6" s="53"/>
      <c r="T6" s="1"/>
      <c r="U6" s="1"/>
      <c r="V6" s="1"/>
      <c r="W6" s="1"/>
      <c r="X6" s="1"/>
      <c r="Y6" s="1"/>
      <c r="Z6" s="1"/>
      <c r="AA6" s="1"/>
      <c r="AB6" s="1"/>
      <c r="AC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</row>
    <row r="7" spans="2:233" ht="15.6" x14ac:dyDescent="0.6">
      <c r="B7" s="52" t="s">
        <v>4</v>
      </c>
      <c r="C7" s="17">
        <v>165.93199999999999</v>
      </c>
      <c r="D7" s="17">
        <v>61.750999999999998</v>
      </c>
      <c r="E7" s="17">
        <v>148.6</v>
      </c>
      <c r="F7" s="55">
        <v>59.3</v>
      </c>
      <c r="G7" s="2" t="s">
        <v>39</v>
      </c>
      <c r="H7" s="2" t="s">
        <v>32</v>
      </c>
      <c r="J7" s="90" t="s">
        <v>51</v>
      </c>
      <c r="K7" s="91"/>
      <c r="L7" s="92"/>
      <c r="M7" s="61"/>
      <c r="N7" s="61"/>
      <c r="O7" s="1"/>
      <c r="P7" s="53"/>
      <c r="Q7" s="54"/>
      <c r="R7" s="53"/>
      <c r="S7" s="53"/>
      <c r="T7" s="1"/>
      <c r="U7" s="1"/>
      <c r="V7" s="1"/>
      <c r="W7" s="1"/>
      <c r="X7" s="1"/>
      <c r="Y7" s="1"/>
      <c r="Z7" s="1"/>
      <c r="AA7" s="1"/>
      <c r="AB7" s="1"/>
      <c r="AC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</row>
    <row r="8" spans="2:233" ht="15.6" x14ac:dyDescent="0.6">
      <c r="B8" s="52" t="s">
        <v>29</v>
      </c>
      <c r="C8" s="17">
        <v>165.46</v>
      </c>
      <c r="D8" s="17">
        <v>56.377000000000002</v>
      </c>
      <c r="E8" s="17">
        <v>149.1</v>
      </c>
      <c r="F8" s="55">
        <v>53.9</v>
      </c>
      <c r="G8" s="2" t="s">
        <v>38</v>
      </c>
      <c r="H8" s="2" t="s">
        <v>32</v>
      </c>
      <c r="J8" s="133" t="s">
        <v>52</v>
      </c>
      <c r="K8" s="134"/>
      <c r="L8" s="135"/>
      <c r="M8" s="61"/>
      <c r="N8" s="61"/>
      <c r="Q8" s="54"/>
      <c r="R8" s="53"/>
      <c r="S8" s="53"/>
      <c r="T8" s="1"/>
      <c r="U8" s="1"/>
      <c r="V8" s="1"/>
      <c r="W8" s="1"/>
      <c r="X8" s="1"/>
      <c r="Y8" s="1"/>
      <c r="Z8" s="1"/>
      <c r="AA8" s="1"/>
      <c r="AB8" s="1"/>
      <c r="AC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</row>
    <row r="9" spans="2:233" ht="15.6" x14ac:dyDescent="0.6">
      <c r="B9" s="52" t="s">
        <v>37</v>
      </c>
      <c r="C9" s="17"/>
      <c r="D9" s="17"/>
      <c r="E9" s="17"/>
      <c r="F9" s="55"/>
      <c r="G9" s="2"/>
      <c r="H9" s="2"/>
      <c r="J9" s="133" t="s">
        <v>53</v>
      </c>
      <c r="K9" s="134"/>
      <c r="L9" s="135"/>
      <c r="M9" s="61"/>
      <c r="N9" s="61"/>
      <c r="P9" s="53"/>
      <c r="Q9" s="54"/>
      <c r="R9" s="53"/>
      <c r="S9" s="53"/>
      <c r="T9" s="1"/>
      <c r="U9" s="1"/>
      <c r="V9" s="1"/>
      <c r="W9" s="1"/>
      <c r="X9" s="1"/>
      <c r="Y9" s="1"/>
      <c r="Z9" s="1"/>
      <c r="AA9" s="1"/>
      <c r="AB9" s="1"/>
      <c r="AC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</row>
    <row r="10" spans="2:233" ht="15.6" x14ac:dyDescent="0.6">
      <c r="B10" s="52" t="s">
        <v>28</v>
      </c>
      <c r="C10" s="17">
        <v>183.857</v>
      </c>
      <c r="D10" s="17">
        <v>57.031999999999996</v>
      </c>
      <c r="E10" s="17">
        <v>169.8</v>
      </c>
      <c r="F10" s="55">
        <v>53.3</v>
      </c>
      <c r="G10" s="2" t="s">
        <v>36</v>
      </c>
      <c r="H10" s="2" t="s">
        <v>32</v>
      </c>
      <c r="J10" s="133" t="s">
        <v>54</v>
      </c>
      <c r="K10" s="134"/>
      <c r="L10" s="135"/>
      <c r="M10" s="61"/>
      <c r="N10" s="61"/>
      <c r="P10" s="53"/>
      <c r="Q10" s="53"/>
      <c r="R10" s="53"/>
      <c r="S10" s="53"/>
      <c r="T10" s="1"/>
      <c r="U10" s="1"/>
      <c r="V10" s="1"/>
      <c r="W10" s="1"/>
      <c r="X10" s="1"/>
      <c r="Y10" s="1"/>
      <c r="Z10" s="1"/>
      <c r="AA10" s="1"/>
      <c r="AB10" s="1"/>
      <c r="AC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</row>
    <row r="11" spans="2:233" ht="13.8" customHeight="1" x14ac:dyDescent="0.55000000000000004">
      <c r="B11" s="52" t="s">
        <v>27</v>
      </c>
      <c r="C11" s="17">
        <v>193.50700000000001</v>
      </c>
      <c r="D11" s="17">
        <v>55.96</v>
      </c>
      <c r="E11" s="17">
        <v>338.8</v>
      </c>
      <c r="F11" s="55">
        <v>54.2</v>
      </c>
      <c r="G11" s="2" t="s">
        <v>35</v>
      </c>
      <c r="H11" s="2" t="s">
        <v>32</v>
      </c>
      <c r="J11" s="136"/>
      <c r="K11" s="137"/>
      <c r="L11" s="138"/>
      <c r="M11" s="61"/>
      <c r="N11" s="6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</row>
    <row r="12" spans="2:233" ht="17.100000000000001" customHeight="1" x14ac:dyDescent="0.55000000000000004">
      <c r="B12" s="52" t="s">
        <v>26</v>
      </c>
      <c r="C12" s="17">
        <v>200.98099999999999</v>
      </c>
      <c r="D12" s="17">
        <v>54.924999999999997</v>
      </c>
      <c r="E12" s="17">
        <v>346.7</v>
      </c>
      <c r="F12" s="55">
        <v>52.9</v>
      </c>
      <c r="G12" s="2" t="s">
        <v>34</v>
      </c>
      <c r="H12" s="2" t="s">
        <v>32</v>
      </c>
      <c r="P12" s="1"/>
      <c r="Q12" s="1"/>
      <c r="R12" s="1"/>
      <c r="S12" s="1"/>
      <c r="T12" s="1"/>
      <c r="U12" s="1"/>
      <c r="V12" s="1"/>
      <c r="W12" s="1"/>
      <c r="X12" s="1"/>
      <c r="Y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</row>
    <row r="13" spans="2:233" ht="14.4" customHeight="1" x14ac:dyDescent="0.55000000000000004">
      <c r="B13" s="52" t="s">
        <v>25</v>
      </c>
      <c r="C13" s="17">
        <v>206.88499999999999</v>
      </c>
      <c r="D13" s="17">
        <v>49.313000000000002</v>
      </c>
      <c r="E13" s="17">
        <v>353.2</v>
      </c>
      <c r="F13" s="55">
        <v>46.6</v>
      </c>
      <c r="G13" s="2" t="s">
        <v>33</v>
      </c>
      <c r="H13" s="2" t="s">
        <v>32</v>
      </c>
      <c r="P13" s="1"/>
      <c r="Q13" s="1"/>
      <c r="R13" s="1"/>
      <c r="S13" s="1"/>
      <c r="T13" s="1"/>
      <c r="U13" s="1"/>
      <c r="V13" s="1"/>
      <c r="W13" s="1"/>
      <c r="X13" s="1"/>
      <c r="Y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</row>
    <row r="14" spans="2:233" ht="12.9" customHeight="1" x14ac:dyDescent="0.55000000000000004">
      <c r="B14" s="52" t="s">
        <v>3</v>
      </c>
      <c r="C14" s="17">
        <v>48.938000000000002</v>
      </c>
      <c r="D14" s="17">
        <v>16.920000000000002</v>
      </c>
      <c r="E14" s="17">
        <v>66.5</v>
      </c>
      <c r="F14" s="55">
        <v>1.2</v>
      </c>
      <c r="G14" s="51" t="s">
        <v>31</v>
      </c>
      <c r="H14" s="2" t="s">
        <v>30</v>
      </c>
      <c r="P14" s="1"/>
      <c r="Q14" s="1"/>
      <c r="R14" s="1"/>
      <c r="S14" s="1"/>
      <c r="T14" s="1"/>
      <c r="U14" s="1"/>
      <c r="V14" s="1"/>
      <c r="W14" s="1"/>
      <c r="X14" s="1"/>
      <c r="Y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</row>
    <row r="15" spans="2:233" x14ac:dyDescent="0.55000000000000004">
      <c r="G15" s="38"/>
      <c r="H15" s="50"/>
      <c r="I15" s="106" t="s">
        <v>24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</row>
    <row r="16" spans="2:233" ht="20.399999999999999" customHeight="1" x14ac:dyDescent="0.55000000000000004">
      <c r="B16" s="95" t="s">
        <v>48</v>
      </c>
      <c r="H16" s="49"/>
      <c r="I16" s="120"/>
      <c r="J16" s="120"/>
      <c r="K16" s="117" t="s">
        <v>6</v>
      </c>
      <c r="L16" s="118"/>
      <c r="M16" s="118"/>
      <c r="N16" s="119"/>
      <c r="O16" s="114" t="s">
        <v>7</v>
      </c>
      <c r="P16" s="115"/>
      <c r="Q16" s="116"/>
      <c r="R16" s="114" t="s">
        <v>8</v>
      </c>
      <c r="S16" s="115"/>
      <c r="T16" s="115"/>
      <c r="U16" s="116"/>
      <c r="V16" s="111" t="s">
        <v>9</v>
      </c>
      <c r="W16" s="112"/>
      <c r="X16" s="112"/>
      <c r="Y16" s="113"/>
      <c r="Z16" s="111" t="s">
        <v>10</v>
      </c>
      <c r="AA16" s="112"/>
      <c r="AB16" s="112"/>
      <c r="AC16" s="113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</row>
    <row r="17" spans="1:233" ht="36.9" customHeight="1" x14ac:dyDescent="0.55000000000000004">
      <c r="B17" s="24" t="s">
        <v>23</v>
      </c>
      <c r="C17" s="17" t="s">
        <v>57</v>
      </c>
      <c r="D17" s="17" t="s">
        <v>0</v>
      </c>
      <c r="E17" s="18" t="s">
        <v>1</v>
      </c>
      <c r="F17" s="56" t="s">
        <v>2</v>
      </c>
      <c r="G17" s="56" t="s">
        <v>5</v>
      </c>
      <c r="H17" s="49"/>
      <c r="I17" s="105" t="s">
        <v>23</v>
      </c>
      <c r="J17" s="24" t="s">
        <v>22</v>
      </c>
      <c r="K17" s="26" t="s">
        <v>11</v>
      </c>
      <c r="L17" s="26" t="s">
        <v>12</v>
      </c>
      <c r="M17" s="26" t="s">
        <v>13</v>
      </c>
      <c r="N17" s="26" t="s">
        <v>14</v>
      </c>
      <c r="O17" s="27" t="s">
        <v>15</v>
      </c>
      <c r="P17" s="27" t="s">
        <v>16</v>
      </c>
      <c r="Q17" s="27" t="s">
        <v>17</v>
      </c>
      <c r="R17" s="27" t="s">
        <v>15</v>
      </c>
      <c r="S17" s="27" t="s">
        <v>16</v>
      </c>
      <c r="T17" s="27" t="s">
        <v>17</v>
      </c>
      <c r="U17" s="27" t="s">
        <v>18</v>
      </c>
      <c r="V17" s="26"/>
      <c r="W17" s="26"/>
      <c r="X17" s="26"/>
      <c r="Y17" s="28" t="s">
        <v>19</v>
      </c>
      <c r="Z17" s="29"/>
      <c r="AA17" s="29"/>
      <c r="AB17" s="29"/>
      <c r="AC17" s="30" t="s">
        <v>20</v>
      </c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</row>
    <row r="18" spans="1:233" ht="14.4" customHeight="1" x14ac:dyDescent="0.55000000000000004">
      <c r="B18" s="24">
        <v>1</v>
      </c>
      <c r="C18" s="4">
        <v>2</v>
      </c>
      <c r="D18" s="4">
        <v>3</v>
      </c>
      <c r="E18" s="4">
        <v>4</v>
      </c>
      <c r="F18" s="4">
        <v>5</v>
      </c>
      <c r="G18" s="24">
        <v>6</v>
      </c>
      <c r="H18" s="49"/>
      <c r="I18" s="104">
        <v>1</v>
      </c>
      <c r="J18" s="104">
        <v>2</v>
      </c>
      <c r="K18" s="104">
        <v>3</v>
      </c>
      <c r="L18" s="104">
        <v>4</v>
      </c>
      <c r="M18" s="104">
        <v>5</v>
      </c>
      <c r="N18" s="104">
        <v>6</v>
      </c>
      <c r="O18" s="104">
        <v>7</v>
      </c>
      <c r="P18" s="104">
        <v>8</v>
      </c>
      <c r="Q18" s="104">
        <v>9</v>
      </c>
      <c r="R18" s="104">
        <v>10</v>
      </c>
      <c r="S18" s="104">
        <v>11</v>
      </c>
      <c r="T18" s="104">
        <v>12</v>
      </c>
      <c r="U18" s="104">
        <v>13</v>
      </c>
      <c r="V18" s="104">
        <v>14</v>
      </c>
      <c r="W18" s="104">
        <v>15</v>
      </c>
      <c r="X18" s="104">
        <v>16</v>
      </c>
      <c r="Y18" s="104">
        <v>17</v>
      </c>
      <c r="Z18" s="104">
        <v>18</v>
      </c>
      <c r="AA18" s="104">
        <v>19</v>
      </c>
      <c r="AB18" s="104">
        <v>20</v>
      </c>
      <c r="AC18" s="104">
        <v>21</v>
      </c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</row>
    <row r="19" spans="1:233" s="16" customFormat="1" ht="14.4" customHeight="1" x14ac:dyDescent="0.55000000000000004">
      <c r="A19" s="1"/>
      <c r="B19" s="17" t="s">
        <v>4</v>
      </c>
      <c r="C19" s="17">
        <f t="shared" ref="C19:C25" si="0">Q19</f>
        <v>7.8748043953724371</v>
      </c>
      <c r="D19" s="23">
        <f t="shared" ref="D19:D25" si="1">IF(2*C19&lt; 5,340.5,IF(AND(2*C19&gt;= 5, 2*C19 &lt; 7),340.5 - 70.5 * (7 - 2*C19)/2,IF(AND(2*C19 &gt;= 7, 2*C19 &lt; 8),340.5 - 128 * (2*C19 - 7),IF(AND(2*C19 &gt;= 8, 2*C19 &lt; 8.28),212.5 - 5.357 * (2*C19 - 8),IF(2*C19 = 8.28,211,IF(AND(2*C19 &gt; 8.28, 2*C19 &lt; 20),180,IF(2*C19 &gt;= 20,6 + 174 * EXP(-3.5 * (2*C19 - 20)),"Ошибка")))))))</f>
        <v>180</v>
      </c>
      <c r="E19" s="24" t="str">
        <f t="shared" ref="E19:E25" si="2">IF(2*C19 &lt; 5,"Сингулярность",IF(AND(2*C19 &gt;= 5, 2*C19 &lt; 7),"Предбифуркация",IF(AND(2*C19 &gt;= 7, 2*C19&lt;= 8.28),"Бифуркация", IF(AND(2*C19&gt; 8.28, 2*C19 &lt; 20),"Стабилизация", IF(2*C19 &gt;= 20,"Распад", "Н/Д")))))</f>
        <v>Стабилизация</v>
      </c>
      <c r="F19" s="24">
        <f t="shared" ref="F19:F25" si="3">IF(AND(2*C19 &gt;= 8.28, 2*C19 &lt; 20),31 * EXP(-0.15 * (2*C19 - 8.28)),"")</f>
        <v>10.110210824420999</v>
      </c>
      <c r="G19" s="62">
        <f>180+31 * EXP(-0.15 * (C19 - 8.28))</f>
        <v>212.94259644728237</v>
      </c>
      <c r="H19" s="49"/>
      <c r="I19" s="52" t="s">
        <v>4</v>
      </c>
      <c r="J19" s="110">
        <f>F7</f>
        <v>59.3</v>
      </c>
      <c r="K19" s="31">
        <f>PI()</f>
        <v>3.1415926535897931</v>
      </c>
      <c r="L19" s="31">
        <f>MAX(J19:J27)</f>
        <v>59.3</v>
      </c>
      <c r="M19" s="31">
        <v>6.2831849999999996</v>
      </c>
      <c r="N19" s="32">
        <f t="shared" ref="N19:N25" si="4">M19*J19/L19</f>
        <v>6.2831849999999996</v>
      </c>
      <c r="O19" s="33">
        <f t="shared" ref="O19:O25" si="5">LN(1 + N19) * COS(N19)</f>
        <v>1.9855682665332801</v>
      </c>
      <c r="P19" s="33">
        <f t="shared" ref="P19:P25" si="6">LN(1 + N19) * SIN(N19)</f>
        <v>-6.0992603987760077E-7</v>
      </c>
      <c r="Q19" s="34">
        <f t="shared" ref="Q19:Q25" si="7">0.5 * (N19^1.5)</f>
        <v>7.8748043953724371</v>
      </c>
      <c r="R19" s="34">
        <f t="shared" ref="R19:R25" si="8">(LN(1 + J19)*COS(J19))*0.000000000000386</f>
        <v>-1.4633659150765655E-12</v>
      </c>
      <c r="S19" s="34">
        <f t="shared" ref="S19:S25" si="9" xml:space="preserve"> (LN(1 + J19)*SIN(J19))*0.000000000000386</f>
        <v>6.0196927770876942E-13</v>
      </c>
      <c r="T19" s="34">
        <f t="shared" ref="T19:T25" si="10" xml:space="preserve"> (J19^1.5)*0.00000000000243</f>
        <v>1.1096558668340835E-9</v>
      </c>
      <c r="U19" s="34">
        <f t="shared" ref="U19:U25" si="11">(J19^1.5)*(0.000000000000386-13/137)*(2*PI())</f>
        <v>-272.26053498050322</v>
      </c>
      <c r="V19" s="31">
        <f t="shared" ref="V19:V24" si="12">DEGREES(((COS(K19)/(1+K19) - LN(1+K19)*SIN(K19))^2 +((SIN(K19))/((1+K19)+LN(1+K19)*COS(K19)))^2))</f>
        <v>3.34031842560639</v>
      </c>
      <c r="W19" s="31">
        <f t="shared" ref="W19:W24" si="13">(1.5*DEGREES((K19)^2)/(1 + 1/(1+K19))^2)</f>
        <v>550.36786380060028</v>
      </c>
      <c r="X19" s="31">
        <f t="shared" ref="X19:X24" si="14">(1.5*DEGREES(K19)^2)^1.5</f>
        <v>10714068.134933611</v>
      </c>
      <c r="Y19" s="35">
        <f t="shared" ref="Y19:Y25" si="15">V19+W19+X19</f>
        <v>10714621.843115838</v>
      </c>
      <c r="Z19" s="32">
        <f t="shared" ref="Z19:Z24" si="16">(((1.5/(2*DEGREES(K19)))*((SIN(K19)/(1+K19))+LN(1+K19)*COS(K19)))-((COS(K19)/(1+K19)^2-SIN(K19)/(1+K19)-LN(1+K19)*SIN(K19))))</f>
        <v>5.2378386205221998E-2</v>
      </c>
      <c r="AA19" s="32">
        <f t="shared" ref="AA19:AA24" si="17">((1.5*DEGREES(K19)))</f>
        <v>270</v>
      </c>
      <c r="AB19" s="32">
        <f t="shared" ref="AB19:AB24" si="18">(Q19^2 * ((1/(1+K19))^2) + (LN(1+K19)^2) + (1.5*(DEGREES(K19)^2 )))</f>
        <v>48605.634773249411</v>
      </c>
      <c r="AC19" s="36">
        <f>Z19*AA19/AB19</f>
        <v>2.9095730034973678E-4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</row>
    <row r="20" spans="1:233" x14ac:dyDescent="0.55000000000000004">
      <c r="B20" s="17" t="s">
        <v>29</v>
      </c>
      <c r="C20" s="17">
        <f>Q20</f>
        <v>6.8240292982100019</v>
      </c>
      <c r="D20" s="23">
        <f t="shared" si="1"/>
        <v>180</v>
      </c>
      <c r="E20" s="24" t="str">
        <f t="shared" si="2"/>
        <v>Стабилизация</v>
      </c>
      <c r="F20" s="24">
        <f t="shared" si="3"/>
        <v>13.856832260721701</v>
      </c>
      <c r="G20" s="62">
        <f t="shared" ref="G20:G25" si="19">180+31 * EXP(-0.15 * (C20 - 8.28))</f>
        <v>218.56645317075754</v>
      </c>
      <c r="I20" s="52" t="s">
        <v>29</v>
      </c>
      <c r="J20" s="110">
        <f>F8</f>
        <v>53.9</v>
      </c>
      <c r="K20" s="31">
        <f>PI()</f>
        <v>3.1415926535897931</v>
      </c>
      <c r="L20" s="31">
        <f>MAX(J19:J27)</f>
        <v>59.3</v>
      </c>
      <c r="M20" s="31">
        <v>6.2831849999999996</v>
      </c>
      <c r="N20" s="32">
        <f t="shared" si="4"/>
        <v>5.7110231281618882</v>
      </c>
      <c r="O20" s="33">
        <f t="shared" si="5"/>
        <v>1.600545168922652</v>
      </c>
      <c r="P20" s="33">
        <f t="shared" si="6"/>
        <v>-1.0307883496538848</v>
      </c>
      <c r="Q20" s="34">
        <f t="shared" si="7"/>
        <v>6.8240292982100019</v>
      </c>
      <c r="R20" s="34">
        <f t="shared" si="8"/>
        <v>-1.3620655508663478E-12</v>
      </c>
      <c r="S20" s="34">
        <f t="shared" si="9"/>
        <v>-7.3163494939733179E-13</v>
      </c>
      <c r="T20" s="34">
        <f t="shared" si="10"/>
        <v>9.6158885554747337E-10</v>
      </c>
      <c r="U20" s="34">
        <f t="shared" si="11"/>
        <v>-235.93143069624293</v>
      </c>
      <c r="V20" s="31">
        <f t="shared" si="12"/>
        <v>3.34031842560639</v>
      </c>
      <c r="W20" s="31">
        <f t="shared" si="13"/>
        <v>550.36786380060028</v>
      </c>
      <c r="X20" s="31">
        <f t="shared" si="14"/>
        <v>10714068.134933611</v>
      </c>
      <c r="Y20" s="35">
        <f t="shared" si="15"/>
        <v>10714621.843115838</v>
      </c>
      <c r="Z20" s="32">
        <f t="shared" si="16"/>
        <v>5.2378386205221998E-2</v>
      </c>
      <c r="AA20" s="32">
        <f t="shared" si="17"/>
        <v>270</v>
      </c>
      <c r="AB20" s="32">
        <f t="shared" si="18"/>
        <v>48604.73432681094</v>
      </c>
      <c r="AC20" s="36">
        <f t="shared" ref="AC20:AC25" si="20">Z20*AA20/AB20</f>
        <v>2.9096269059553228E-4</v>
      </c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</row>
    <row r="21" spans="1:233" x14ac:dyDescent="0.55000000000000004">
      <c r="B21" s="17" t="s">
        <v>28</v>
      </c>
      <c r="C21" s="17">
        <f t="shared" si="0"/>
        <v>6.7104021590518306</v>
      </c>
      <c r="D21" s="23">
        <f t="shared" si="1"/>
        <v>180</v>
      </c>
      <c r="E21" s="24" t="str">
        <f t="shared" si="2"/>
        <v>Стабилизация</v>
      </c>
      <c r="F21" s="24">
        <f t="shared" si="3"/>
        <v>14.337329016498073</v>
      </c>
      <c r="G21" s="62">
        <f t="shared" si="19"/>
        <v>219.22941627786665</v>
      </c>
      <c r="H21" s="49"/>
      <c r="I21" s="52" t="s">
        <v>28</v>
      </c>
      <c r="J21" s="110">
        <f>F10</f>
        <v>53.3</v>
      </c>
      <c r="K21" s="31">
        <f>PI()</f>
        <v>3.1415926535897931</v>
      </c>
      <c r="L21" s="31">
        <f>MAX(J19:J27)</f>
        <v>59.3</v>
      </c>
      <c r="M21" s="31">
        <v>6.2831849999999996</v>
      </c>
      <c r="N21" s="32">
        <f t="shared" si="4"/>
        <v>5.6474495868465429</v>
      </c>
      <c r="O21" s="33">
        <f t="shared" si="5"/>
        <v>1.5241665041950021</v>
      </c>
      <c r="P21" s="33">
        <f t="shared" si="6"/>
        <v>-1.1247382415611418</v>
      </c>
      <c r="Q21" s="34">
        <f t="shared" si="7"/>
        <v>6.7104021590518306</v>
      </c>
      <c r="R21" s="34">
        <f t="shared" si="8"/>
        <v>-1.5330558685620961E-12</v>
      </c>
      <c r="S21" s="34">
        <f t="shared" si="9"/>
        <v>1.6478235680426375E-13</v>
      </c>
      <c r="T21" s="34">
        <f t="shared" si="10"/>
        <v>9.4557740748248635E-10</v>
      </c>
      <c r="U21" s="34">
        <f t="shared" si="11"/>
        <v>-232.00292858466196</v>
      </c>
      <c r="V21" s="31">
        <f t="shared" si="12"/>
        <v>3.34031842560639</v>
      </c>
      <c r="W21" s="31">
        <f t="shared" si="13"/>
        <v>550.36786380060028</v>
      </c>
      <c r="X21" s="31">
        <f t="shared" si="14"/>
        <v>10714068.134933611</v>
      </c>
      <c r="Y21" s="35">
        <f t="shared" si="15"/>
        <v>10714621.843115838</v>
      </c>
      <c r="Z21" s="32">
        <f t="shared" si="16"/>
        <v>5.2378386205221998E-2</v>
      </c>
      <c r="AA21" s="32">
        <f t="shared" si="17"/>
        <v>270</v>
      </c>
      <c r="AB21" s="32">
        <f t="shared" si="18"/>
        <v>48604.644669166162</v>
      </c>
      <c r="AC21" s="36">
        <f t="shared" si="20"/>
        <v>2.9096322731439391E-4</v>
      </c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</row>
    <row r="22" spans="1:233" x14ac:dyDescent="0.55000000000000004">
      <c r="B22" s="17" t="s">
        <v>27</v>
      </c>
      <c r="C22" s="17">
        <f t="shared" si="0"/>
        <v>6.8810809152755592</v>
      </c>
      <c r="D22" s="23">
        <f t="shared" si="1"/>
        <v>180</v>
      </c>
      <c r="E22" s="24" t="str">
        <f t="shared" si="2"/>
        <v>Стабилизация</v>
      </c>
      <c r="F22" s="24">
        <f t="shared" si="3"/>
        <v>13.621683933536264</v>
      </c>
      <c r="G22" s="62">
        <f t="shared" si="19"/>
        <v>218.23781957953125</v>
      </c>
      <c r="I22" s="52" t="s">
        <v>27</v>
      </c>
      <c r="J22" s="110">
        <f>F11</f>
        <v>54.2</v>
      </c>
      <c r="K22" s="31">
        <f>PI()</f>
        <v>3.1415926535897931</v>
      </c>
      <c r="L22" s="31">
        <f>MAX(J19:J27)</f>
        <v>59.3</v>
      </c>
      <c r="M22" s="31">
        <v>6.2831849999999996</v>
      </c>
      <c r="N22" s="32">
        <f t="shared" si="4"/>
        <v>5.7428098988195622</v>
      </c>
      <c r="O22" s="33">
        <f t="shared" si="5"/>
        <v>1.6365485932443073</v>
      </c>
      <c r="P22" s="33">
        <f t="shared" si="6"/>
        <v>-0.98183102290893243</v>
      </c>
      <c r="Q22" s="34">
        <f t="shared" si="7"/>
        <v>6.8810809152755592</v>
      </c>
      <c r="R22" s="34">
        <f t="shared" si="8"/>
        <v>-1.0864942050123437E-12</v>
      </c>
      <c r="S22" s="34">
        <f t="shared" si="9"/>
        <v>-1.1029740428759413E-12</v>
      </c>
      <c r="T22" s="34">
        <f t="shared" si="10"/>
        <v>9.6962812337060486E-10</v>
      </c>
      <c r="U22" s="34">
        <f t="shared" si="11"/>
        <v>-237.90391191658924</v>
      </c>
      <c r="V22" s="31">
        <f t="shared" si="12"/>
        <v>3.34031842560639</v>
      </c>
      <c r="W22" s="31">
        <f t="shared" si="13"/>
        <v>550.36786380060028</v>
      </c>
      <c r="X22" s="31">
        <f t="shared" si="14"/>
        <v>10714068.134933611</v>
      </c>
      <c r="Y22" s="35">
        <f t="shared" si="15"/>
        <v>10714621.843115838</v>
      </c>
      <c r="Z22" s="32">
        <f t="shared" si="16"/>
        <v>5.2378386205221998E-2</v>
      </c>
      <c r="AA22" s="32">
        <f t="shared" si="17"/>
        <v>270</v>
      </c>
      <c r="AB22" s="32">
        <f t="shared" si="18"/>
        <v>48604.779911156875</v>
      </c>
      <c r="AC22" s="36">
        <f t="shared" si="20"/>
        <v>2.9096241771405917E-4</v>
      </c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</row>
    <row r="23" spans="1:233" ht="12.3" customHeight="1" x14ac:dyDescent="0.55000000000000004">
      <c r="B23" s="17" t="s">
        <v>26</v>
      </c>
      <c r="C23" s="17">
        <f t="shared" si="0"/>
        <v>6.6350048251531444</v>
      </c>
      <c r="D23" s="23">
        <f t="shared" si="1"/>
        <v>180</v>
      </c>
      <c r="E23" s="24" t="str">
        <f t="shared" si="2"/>
        <v>Стабилизация</v>
      </c>
      <c r="F23" s="24">
        <f t="shared" si="3"/>
        <v>14.665323432952613</v>
      </c>
      <c r="G23" s="62">
        <f t="shared" si="19"/>
        <v>219.67560363193257</v>
      </c>
      <c r="I23" s="52" t="s">
        <v>26</v>
      </c>
      <c r="J23" s="110">
        <f>F12</f>
        <v>52.9</v>
      </c>
      <c r="K23" s="31">
        <f>PI()</f>
        <v>3.1415926535897931</v>
      </c>
      <c r="L23" s="31">
        <f>MAX(J19:J27)</f>
        <v>59.3</v>
      </c>
      <c r="M23" s="31">
        <v>6.2831849999999996</v>
      </c>
      <c r="N23" s="32">
        <f t="shared" si="4"/>
        <v>5.6050672259696457</v>
      </c>
      <c r="O23" s="33">
        <f t="shared" si="5"/>
        <v>1.4701619863543554</v>
      </c>
      <c r="P23" s="33">
        <f t="shared" si="6"/>
        <v>-1.1842941823267679</v>
      </c>
      <c r="Q23" s="34">
        <f t="shared" si="7"/>
        <v>6.6350048251531444</v>
      </c>
      <c r="R23" s="34">
        <f t="shared" si="8"/>
        <v>-1.3453738238982984E-12</v>
      </c>
      <c r="S23" s="34">
        <f t="shared" si="9"/>
        <v>7.4738871604494186E-13</v>
      </c>
      <c r="T23" s="34">
        <f t="shared" si="10"/>
        <v>9.3495300467782867E-10</v>
      </c>
      <c r="U23" s="34">
        <f t="shared" si="11"/>
        <v>-229.39616942815226</v>
      </c>
      <c r="V23" s="31">
        <f t="shared" si="12"/>
        <v>3.34031842560639</v>
      </c>
      <c r="W23" s="31">
        <f t="shared" si="13"/>
        <v>550.36786380060028</v>
      </c>
      <c r="X23" s="31">
        <f t="shared" si="14"/>
        <v>10714068.134933611</v>
      </c>
      <c r="Y23" s="35">
        <f t="shared" si="15"/>
        <v>10714621.843115838</v>
      </c>
      <c r="Z23" s="32">
        <f t="shared" si="16"/>
        <v>5.2378386205221998E-2</v>
      </c>
      <c r="AA23" s="32">
        <f t="shared" si="17"/>
        <v>270</v>
      </c>
      <c r="AB23" s="32">
        <f t="shared" si="18"/>
        <v>48604.586007681733</v>
      </c>
      <c r="AC23" s="36">
        <f t="shared" si="20"/>
        <v>2.9096357848156212E-4</v>
      </c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</row>
    <row r="24" spans="1:233" ht="12.3" customHeight="1" x14ac:dyDescent="0.55000000000000004">
      <c r="B24" s="17" t="s">
        <v>25</v>
      </c>
      <c r="C24" s="17">
        <f t="shared" si="0"/>
        <v>5.4857575565072585</v>
      </c>
      <c r="D24" s="23">
        <f t="shared" si="1"/>
        <v>180</v>
      </c>
      <c r="E24" s="24" t="str">
        <f t="shared" si="2"/>
        <v>Стабилизация</v>
      </c>
      <c r="F24" s="24">
        <f t="shared" si="3"/>
        <v>20.702613276259004</v>
      </c>
      <c r="G24" s="62">
        <f t="shared" si="19"/>
        <v>227.14007888890654</v>
      </c>
      <c r="I24" s="52" t="s">
        <v>25</v>
      </c>
      <c r="J24" s="110">
        <f>F13</f>
        <v>46.6</v>
      </c>
      <c r="K24" s="31">
        <f>PI()</f>
        <v>3.1415926535897931</v>
      </c>
      <c r="L24" s="31">
        <f>MAX(J19:J27)</f>
        <v>59.3</v>
      </c>
      <c r="M24" s="31">
        <v>6.2831849999999996</v>
      </c>
      <c r="N24" s="32">
        <f t="shared" si="4"/>
        <v>4.9375450421585168</v>
      </c>
      <c r="O24" s="33">
        <f t="shared" si="5"/>
        <v>0.39768939615706328</v>
      </c>
      <c r="P24" s="33">
        <f t="shared" si="6"/>
        <v>-1.7363345623231989</v>
      </c>
      <c r="Q24" s="34">
        <f t="shared" si="7"/>
        <v>5.4857575565072585</v>
      </c>
      <c r="R24" s="34">
        <f t="shared" si="8"/>
        <v>-1.2910731384778318E-12</v>
      </c>
      <c r="S24" s="34">
        <f t="shared" si="9"/>
        <v>7.4590249325582906E-13</v>
      </c>
      <c r="T24" s="34">
        <f t="shared" si="10"/>
        <v>7.7301006488298711E-10</v>
      </c>
      <c r="U24" s="34">
        <f t="shared" si="11"/>
        <v>-189.66252520325182</v>
      </c>
      <c r="V24" s="31">
        <f t="shared" si="12"/>
        <v>3.34031842560639</v>
      </c>
      <c r="W24" s="31">
        <f t="shared" si="13"/>
        <v>550.36786380060028</v>
      </c>
      <c r="X24" s="31">
        <f t="shared" si="14"/>
        <v>10714068.134933611</v>
      </c>
      <c r="Y24" s="35">
        <f t="shared" si="15"/>
        <v>10714621.843115838</v>
      </c>
      <c r="Z24" s="32">
        <f t="shared" si="16"/>
        <v>5.2378386205221998E-2</v>
      </c>
      <c r="AA24" s="32">
        <f t="shared" si="17"/>
        <v>270</v>
      </c>
      <c r="AB24" s="32">
        <f t="shared" si="18"/>
        <v>48603.773909282703</v>
      </c>
      <c r="AC24" s="36">
        <f t="shared" si="20"/>
        <v>2.9096844005993875E-4</v>
      </c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</row>
    <row r="25" spans="1:233" ht="12.3" customHeight="1" x14ac:dyDescent="0.55000000000000004">
      <c r="B25" s="17" t="s">
        <v>3</v>
      </c>
      <c r="C25" s="17">
        <f t="shared" si="0"/>
        <v>2.2668856018337919E-2</v>
      </c>
      <c r="D25" s="23">
        <f t="shared" si="1"/>
        <v>340.5</v>
      </c>
      <c r="E25" s="24" t="str">
        <f t="shared" si="2"/>
        <v>Сингулярность</v>
      </c>
      <c r="F25" s="96" t="str">
        <f t="shared" si="3"/>
        <v/>
      </c>
      <c r="G25" s="62">
        <f t="shared" si="19"/>
        <v>286.97411358523613</v>
      </c>
      <c r="I25" s="52" t="s">
        <v>3</v>
      </c>
      <c r="J25" s="110">
        <f>F14</f>
        <v>1.2</v>
      </c>
      <c r="K25" s="31">
        <f>PI()</f>
        <v>3.1415926535897931</v>
      </c>
      <c r="L25" s="31">
        <f>MAX(J19:J27)</f>
        <v>59.3</v>
      </c>
      <c r="M25" s="31">
        <v>6.2831849999999996</v>
      </c>
      <c r="N25" s="32">
        <f t="shared" si="4"/>
        <v>0.12714708263069138</v>
      </c>
      <c r="O25" s="33">
        <f t="shared" si="5"/>
        <v>0.11872356241905992</v>
      </c>
      <c r="P25" s="33">
        <f t="shared" si="6"/>
        <v>1.5177229841781803E-2</v>
      </c>
      <c r="Q25" s="34">
        <f t="shared" si="7"/>
        <v>2.2668856018337919E-2</v>
      </c>
      <c r="R25" s="34">
        <f t="shared" si="8"/>
        <v>1.1028160450045015E-13</v>
      </c>
      <c r="S25" s="34">
        <f t="shared" si="9"/>
        <v>2.8366100790652591E-13</v>
      </c>
      <c r="T25" s="34">
        <f t="shared" si="10"/>
        <v>3.1943179553701289E-12</v>
      </c>
      <c r="U25" s="34">
        <f t="shared" si="11"/>
        <v>-0.78374452965149299</v>
      </c>
      <c r="V25" s="31"/>
      <c r="W25" s="31"/>
      <c r="X25" s="31"/>
      <c r="Y25" s="35">
        <f t="shared" si="15"/>
        <v>0</v>
      </c>
      <c r="Z25" s="32"/>
      <c r="AA25" s="32"/>
      <c r="AB25" s="32"/>
      <c r="AC25" s="36" t="e">
        <f t="shared" si="20"/>
        <v>#DIV/0!</v>
      </c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</row>
    <row r="26" spans="1:233" ht="12.3" customHeight="1" x14ac:dyDescent="0.55000000000000004">
      <c r="I26" s="38"/>
      <c r="J26" s="49"/>
      <c r="K26" s="46"/>
      <c r="L26" s="46"/>
      <c r="M26" s="46"/>
      <c r="N26" s="45"/>
      <c r="O26" s="45"/>
      <c r="P26" s="45"/>
      <c r="Q26" s="47"/>
      <c r="R26" s="47"/>
      <c r="S26" s="47"/>
      <c r="T26" s="47"/>
      <c r="U26" s="47"/>
      <c r="V26" s="46"/>
      <c r="W26" s="46"/>
      <c r="X26" s="46"/>
      <c r="Y26" s="46"/>
      <c r="Z26" s="45"/>
      <c r="AA26" s="45"/>
      <c r="AB26" s="45"/>
      <c r="AC26" s="45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</row>
    <row r="27" spans="1:233" ht="12.3" customHeight="1" x14ac:dyDescent="0.55000000000000004">
      <c r="A27" s="1"/>
      <c r="B27" s="1"/>
      <c r="C27" s="1"/>
      <c r="D27" s="1"/>
      <c r="E27" s="1"/>
      <c r="G27" s="38"/>
      <c r="I27" s="38"/>
      <c r="J27" s="49"/>
      <c r="K27" s="46"/>
      <c r="L27" s="46"/>
      <c r="M27" s="46"/>
      <c r="N27" s="45"/>
      <c r="O27" s="45"/>
      <c r="P27" s="45"/>
      <c r="Q27" s="47"/>
      <c r="R27" s="47"/>
      <c r="S27" s="47"/>
      <c r="T27" s="47"/>
      <c r="U27" s="47"/>
      <c r="V27" s="46"/>
      <c r="W27" s="46"/>
      <c r="X27" s="46"/>
      <c r="Y27" s="46"/>
      <c r="Z27" s="45"/>
      <c r="AA27" s="45"/>
      <c r="AB27" s="45"/>
      <c r="AC27" s="45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</row>
    <row r="28" spans="1:233" ht="12.3" customHeight="1" x14ac:dyDescent="0.55000000000000004">
      <c r="A28" s="1"/>
      <c r="B28" s="1"/>
      <c r="C28" s="1"/>
      <c r="D28" s="1"/>
      <c r="E28" s="1"/>
      <c r="I28" s="48"/>
      <c r="J28" s="48"/>
      <c r="K28" s="46"/>
      <c r="L28" s="46"/>
      <c r="M28" s="46"/>
      <c r="N28" s="45"/>
      <c r="O28" s="45"/>
      <c r="P28" s="45"/>
      <c r="Q28" s="47"/>
      <c r="R28" s="47"/>
      <c r="S28" s="47"/>
      <c r="T28" s="47"/>
      <c r="U28" s="47"/>
      <c r="V28" s="46"/>
      <c r="W28" s="46"/>
      <c r="X28" s="46"/>
      <c r="Y28" s="46"/>
      <c r="Z28" s="45"/>
      <c r="AA28" s="45"/>
      <c r="AB28" s="45"/>
      <c r="AC28" s="45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</row>
    <row r="29" spans="1:233" ht="12.3" customHeight="1" x14ac:dyDescent="0.55000000000000004">
      <c r="A29" s="1"/>
      <c r="B29" s="43"/>
      <c r="C29" s="8"/>
      <c r="D29" s="8"/>
      <c r="E29" s="9"/>
      <c r="F29" s="5"/>
      <c r="G29" s="5"/>
      <c r="I29" s="48"/>
      <c r="J29" s="48"/>
      <c r="K29" s="46"/>
      <c r="L29" s="46"/>
      <c r="M29" s="46"/>
      <c r="N29" s="45"/>
      <c r="O29" s="45"/>
      <c r="P29" s="45"/>
      <c r="Q29" s="47"/>
      <c r="R29" s="47"/>
      <c r="S29" s="47"/>
      <c r="T29" s="47"/>
      <c r="U29" s="47"/>
      <c r="V29" s="46"/>
      <c r="W29" s="46"/>
      <c r="X29" s="46"/>
      <c r="Y29" s="46"/>
      <c r="Z29" s="45"/>
      <c r="AA29" s="45"/>
      <c r="AB29" s="45"/>
      <c r="AC29" s="45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</row>
    <row r="30" spans="1:233" ht="13.2" customHeight="1" x14ac:dyDescent="0.55000000000000004">
      <c r="A30" s="1"/>
      <c r="B30" s="43"/>
      <c r="C30" s="6"/>
      <c r="D30" s="6"/>
      <c r="E30" s="6"/>
      <c r="F30" s="6"/>
      <c r="G30" s="43"/>
      <c r="I30" s="48"/>
      <c r="J30" s="48"/>
      <c r="K30" s="46"/>
      <c r="L30" s="46"/>
      <c r="M30" s="46"/>
      <c r="N30" s="45"/>
      <c r="O30" s="45"/>
      <c r="P30" s="45"/>
      <c r="Q30" s="47"/>
      <c r="R30" s="47"/>
      <c r="S30" s="47"/>
      <c r="T30" s="47"/>
      <c r="U30" s="47"/>
      <c r="V30" s="46"/>
      <c r="W30" s="46"/>
      <c r="X30" s="46"/>
      <c r="Y30" s="46"/>
      <c r="Z30" s="45"/>
      <c r="AA30" s="45"/>
      <c r="AB30" s="45"/>
      <c r="AC30" s="45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</row>
    <row r="31" spans="1:233" ht="15.3" x14ac:dyDescent="0.55000000000000004">
      <c r="A31" s="1"/>
      <c r="B31" s="8"/>
      <c r="C31" s="8"/>
      <c r="D31" s="44"/>
      <c r="E31" s="43"/>
      <c r="F31" s="43"/>
      <c r="G31" s="43"/>
      <c r="I31" s="48"/>
      <c r="J31" s="48"/>
      <c r="K31" s="46"/>
      <c r="L31" s="46"/>
      <c r="M31" s="46"/>
      <c r="N31" s="45"/>
      <c r="O31" s="45"/>
      <c r="P31" s="45"/>
      <c r="Q31" s="47"/>
      <c r="R31" s="47"/>
      <c r="S31" s="47"/>
      <c r="T31" s="47"/>
      <c r="U31" s="47"/>
      <c r="V31" s="46"/>
      <c r="W31" s="46"/>
      <c r="X31" s="46"/>
      <c r="Y31" s="46"/>
      <c r="Z31" s="45"/>
      <c r="AA31" s="45"/>
      <c r="AB31" s="45"/>
      <c r="AC31" s="45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</row>
    <row r="32" spans="1:233" ht="15.3" x14ac:dyDescent="0.55000000000000004">
      <c r="A32" s="1"/>
      <c r="B32" s="8"/>
      <c r="C32" s="8"/>
      <c r="D32" s="44"/>
      <c r="E32" s="43"/>
      <c r="F32" s="43"/>
      <c r="G32" s="43"/>
      <c r="I32" s="48"/>
      <c r="J32" s="48"/>
      <c r="K32" s="46"/>
      <c r="L32" s="46"/>
      <c r="M32" s="46"/>
      <c r="N32" s="45"/>
      <c r="O32" s="45"/>
      <c r="P32" s="45"/>
      <c r="Q32" s="47"/>
      <c r="R32" s="47"/>
      <c r="S32" s="47"/>
      <c r="T32" s="47"/>
      <c r="U32" s="47"/>
      <c r="V32" s="46"/>
      <c r="W32" s="46"/>
      <c r="X32" s="46"/>
      <c r="Y32" s="46"/>
      <c r="Z32" s="45"/>
      <c r="AA32" s="45"/>
      <c r="AB32" s="45"/>
      <c r="AC32" s="45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</row>
    <row r="33" spans="1:233" x14ac:dyDescent="0.55000000000000004">
      <c r="A33" s="1"/>
      <c r="B33" s="8"/>
      <c r="C33" s="8"/>
      <c r="D33" s="44"/>
      <c r="E33" s="43"/>
      <c r="F33" s="43"/>
      <c r="G33" s="4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</row>
    <row r="34" spans="1:233" s="1" customFormat="1" x14ac:dyDescent="0.55000000000000004">
      <c r="B34" s="8"/>
      <c r="C34" s="8"/>
      <c r="D34" s="44"/>
      <c r="E34" s="43"/>
      <c r="F34" s="43"/>
      <c r="G34" s="43"/>
    </row>
    <row r="35" spans="1:233" s="1" customFormat="1" x14ac:dyDescent="0.55000000000000004">
      <c r="B35" s="8"/>
      <c r="C35" s="8"/>
      <c r="D35" s="44"/>
      <c r="E35" s="43"/>
      <c r="F35" s="43"/>
      <c r="G35" s="43"/>
    </row>
    <row r="36" spans="1:233" s="1" customFormat="1" x14ac:dyDescent="0.55000000000000004">
      <c r="B36" s="8"/>
      <c r="C36" s="8"/>
      <c r="D36" s="44"/>
      <c r="E36" s="43"/>
      <c r="F36" s="43"/>
      <c r="G36" s="43"/>
    </row>
    <row r="37" spans="1:233" s="1" customFormat="1" x14ac:dyDescent="0.55000000000000004">
      <c r="B37" s="8"/>
      <c r="C37" s="8"/>
      <c r="D37" s="44"/>
      <c r="E37" s="43"/>
      <c r="F37" s="43"/>
      <c r="G37" s="43"/>
    </row>
    <row r="38" spans="1:233" s="1" customFormat="1" x14ac:dyDescent="0.55000000000000004">
      <c r="B38" s="8"/>
      <c r="C38" s="8"/>
      <c r="D38" s="44"/>
      <c r="E38" s="43"/>
      <c r="F38" s="43"/>
      <c r="G38" s="43"/>
    </row>
    <row r="39" spans="1:233" s="1" customFormat="1" x14ac:dyDescent="0.55000000000000004"/>
    <row r="40" spans="1:233" s="1" customFormat="1" x14ac:dyDescent="0.55000000000000004"/>
    <row r="41" spans="1:233" s="1" customFormat="1" x14ac:dyDescent="0.55000000000000004"/>
    <row r="42" spans="1:233" s="1" customFormat="1" x14ac:dyDescent="0.55000000000000004"/>
    <row r="43" spans="1:233" s="1" customFormat="1" x14ac:dyDescent="0.55000000000000004"/>
    <row r="44" spans="1:233" s="1" customFormat="1" x14ac:dyDescent="0.55000000000000004"/>
    <row r="45" spans="1:233" s="1" customFormat="1" x14ac:dyDescent="0.55000000000000004"/>
    <row r="46" spans="1:233" s="1" customFormat="1" x14ac:dyDescent="0.55000000000000004"/>
    <row r="47" spans="1:233" s="1" customFormat="1" x14ac:dyDescent="0.55000000000000004"/>
    <row r="48" spans="1:233" s="1" customFormat="1" x14ac:dyDescent="0.55000000000000004"/>
    <row r="49" spans="2:25" s="1" customFormat="1" x14ac:dyDescent="0.55000000000000004"/>
    <row r="50" spans="2:25" s="1" customFormat="1" x14ac:dyDescent="0.55000000000000004">
      <c r="B50" s="121"/>
      <c r="C50" s="121"/>
      <c r="D50" s="121"/>
      <c r="E50" s="121"/>
      <c r="F50" s="121"/>
      <c r="G50" s="5"/>
    </row>
    <row r="51" spans="2:25" s="1" customFormat="1" ht="15.3" x14ac:dyDescent="0.55000000000000004">
      <c r="B51" s="42"/>
      <c r="C51" s="42"/>
      <c r="D51" s="42"/>
      <c r="E51" s="42"/>
      <c r="F51" s="42"/>
      <c r="G51" s="42"/>
      <c r="H51" s="7"/>
      <c r="I51" s="7"/>
      <c r="J51" s="3"/>
      <c r="K51" s="3"/>
      <c r="L51" s="3"/>
      <c r="M51" s="3"/>
      <c r="N51" s="3"/>
      <c r="O51" s="3"/>
      <c r="P51" s="3"/>
      <c r="Q51" s="7"/>
      <c r="R51" s="7"/>
    </row>
    <row r="52" spans="2:25" s="1" customFormat="1" ht="21" customHeight="1" x14ac:dyDescent="0.55000000000000004">
      <c r="F52" s="38"/>
      <c r="G52" s="38"/>
      <c r="H52" s="7"/>
      <c r="I52" s="7"/>
      <c r="J52" s="3"/>
      <c r="K52" s="3"/>
      <c r="L52" s="3"/>
      <c r="M52" s="3"/>
      <c r="N52" s="41"/>
      <c r="O52" s="41"/>
      <c r="P52" s="41"/>
      <c r="Q52" s="40"/>
      <c r="R52" s="7"/>
      <c r="S52" s="7"/>
      <c r="T52" s="8"/>
      <c r="U52" s="8"/>
      <c r="V52" s="8"/>
      <c r="W52" s="8"/>
      <c r="X52" s="9"/>
      <c r="Y52" s="5"/>
    </row>
    <row r="53" spans="2:25" s="1" customFormat="1" ht="13.5" customHeight="1" x14ac:dyDescent="0.55000000000000004">
      <c r="F53" s="38"/>
      <c r="G53" s="38"/>
      <c r="M53" s="7"/>
      <c r="N53" s="39"/>
      <c r="O53" s="39"/>
      <c r="P53" s="39"/>
      <c r="Q53" s="39"/>
      <c r="R53" s="7"/>
      <c r="S53" s="7"/>
      <c r="T53" s="6"/>
      <c r="U53" s="6"/>
      <c r="V53" s="6"/>
      <c r="W53" s="6"/>
      <c r="X53" s="6"/>
      <c r="Y53" s="6"/>
    </row>
    <row r="54" spans="2:25" s="1" customFormat="1" ht="10.5" customHeight="1" x14ac:dyDescent="0.55000000000000004">
      <c r="F54" s="38"/>
      <c r="G54" s="38"/>
      <c r="H54" s="8"/>
      <c r="I54" s="8"/>
      <c r="J54" s="8"/>
      <c r="K54" s="9"/>
      <c r="L54" s="5"/>
      <c r="M54" s="7"/>
      <c r="N54" s="39"/>
      <c r="O54" s="39"/>
      <c r="P54" s="39"/>
      <c r="Q54" s="39"/>
      <c r="R54" s="7"/>
      <c r="S54" s="7"/>
      <c r="T54" s="12"/>
      <c r="U54" s="10"/>
      <c r="V54" s="10"/>
      <c r="W54" s="22"/>
      <c r="X54" s="11"/>
      <c r="Y54" s="11"/>
    </row>
    <row r="55" spans="2:25" s="1" customFormat="1" ht="15.3" x14ac:dyDescent="0.55000000000000004">
      <c r="F55" s="38"/>
      <c r="G55" s="38"/>
      <c r="H55" s="6"/>
      <c r="I55" s="6"/>
      <c r="J55" s="6"/>
      <c r="K55" s="6"/>
      <c r="L55" s="6"/>
      <c r="M55" s="7"/>
      <c r="N55" s="39"/>
      <c r="O55" s="39"/>
      <c r="P55" s="39"/>
      <c r="Q55" s="39"/>
      <c r="R55" s="7"/>
      <c r="S55" s="7"/>
      <c r="T55" s="12"/>
      <c r="U55" s="12"/>
      <c r="V55" s="12"/>
      <c r="W55" s="22"/>
      <c r="X55" s="11"/>
      <c r="Y55" s="11"/>
    </row>
    <row r="56" spans="2:25" s="1" customFormat="1" ht="17.100000000000001" customHeight="1" x14ac:dyDescent="0.55000000000000004">
      <c r="F56" s="38"/>
      <c r="G56" s="38"/>
      <c r="J56" s="5"/>
      <c r="K56" s="11"/>
      <c r="R56" s="7"/>
      <c r="S56" s="7"/>
      <c r="T56" s="12"/>
      <c r="U56" s="13"/>
      <c r="V56" s="13"/>
      <c r="W56" s="22"/>
      <c r="X56" s="14"/>
      <c r="Y56" s="11"/>
    </row>
    <row r="57" spans="2:25" s="1" customFormat="1" ht="15.3" x14ac:dyDescent="0.55000000000000004">
      <c r="F57" s="38"/>
      <c r="G57" s="38"/>
      <c r="J57" s="6"/>
      <c r="K57" s="14"/>
      <c r="R57" s="7"/>
      <c r="S57" s="7"/>
      <c r="T57" s="12"/>
      <c r="U57" s="15"/>
      <c r="V57" s="15"/>
      <c r="W57" s="22"/>
      <c r="X57" s="14"/>
      <c r="Y57" s="11"/>
    </row>
    <row r="58" spans="2:25" s="1" customFormat="1" ht="15.3" x14ac:dyDescent="0.55000000000000004">
      <c r="F58" s="38"/>
      <c r="G58" s="38"/>
      <c r="J58" s="11"/>
      <c r="K58" s="14"/>
      <c r="Q58" s="7"/>
      <c r="R58" s="7"/>
    </row>
    <row r="59" spans="2:25" s="1" customFormat="1" ht="15.3" x14ac:dyDescent="0.55000000000000004">
      <c r="F59" s="38"/>
      <c r="G59" s="38"/>
      <c r="J59" s="11"/>
      <c r="K59" s="14"/>
      <c r="Q59" s="7"/>
      <c r="R59" s="7"/>
    </row>
    <row r="60" spans="2:25" s="1" customFormat="1" ht="15.3" x14ac:dyDescent="0.55000000000000004">
      <c r="F60" s="38"/>
      <c r="G60" s="38"/>
      <c r="J60" s="11"/>
      <c r="K60" s="14"/>
      <c r="Q60" s="7"/>
      <c r="R60" s="7"/>
    </row>
    <row r="61" spans="2:25" s="1" customFormat="1" ht="15.3" x14ac:dyDescent="0.55000000000000004">
      <c r="F61" s="38"/>
      <c r="G61" s="38"/>
      <c r="J61" s="11"/>
      <c r="K61" s="14"/>
      <c r="Q61" s="7"/>
      <c r="R61" s="7"/>
    </row>
    <row r="62" spans="2:25" s="1" customFormat="1" x14ac:dyDescent="0.55000000000000004">
      <c r="J62" s="11"/>
    </row>
    <row r="63" spans="2:25" s="1" customFormat="1" x14ac:dyDescent="0.55000000000000004"/>
    <row r="64" spans="2:25" s="1" customFormat="1" x14ac:dyDescent="0.55000000000000004"/>
    <row r="65" s="1" customFormat="1" x14ac:dyDescent="0.55000000000000004"/>
    <row r="66" s="1" customFormat="1" x14ac:dyDescent="0.55000000000000004"/>
    <row r="67" s="1" customFormat="1" x14ac:dyDescent="0.55000000000000004"/>
    <row r="68" s="1" customFormat="1" x14ac:dyDescent="0.55000000000000004"/>
    <row r="69" s="1" customFormat="1" x14ac:dyDescent="0.55000000000000004"/>
    <row r="70" s="1" customFormat="1" x14ac:dyDescent="0.55000000000000004"/>
    <row r="71" s="1" customFormat="1" x14ac:dyDescent="0.55000000000000004"/>
    <row r="72" s="1" customFormat="1" x14ac:dyDescent="0.55000000000000004"/>
    <row r="73" s="1" customFormat="1" x14ac:dyDescent="0.55000000000000004"/>
    <row r="74" s="1" customFormat="1" x14ac:dyDescent="0.55000000000000004"/>
    <row r="75" s="1" customFormat="1" x14ac:dyDescent="0.55000000000000004"/>
    <row r="76" s="1" customFormat="1" x14ac:dyDescent="0.55000000000000004"/>
    <row r="77" s="1" customFormat="1" x14ac:dyDescent="0.55000000000000004"/>
    <row r="78" s="1" customFormat="1" x14ac:dyDescent="0.55000000000000004"/>
    <row r="79" s="1" customFormat="1" x14ac:dyDescent="0.55000000000000004"/>
    <row r="80" s="1" customFormat="1" x14ac:dyDescent="0.55000000000000004"/>
    <row r="81" s="1" customFormat="1" x14ac:dyDescent="0.55000000000000004"/>
    <row r="82" s="1" customFormat="1" x14ac:dyDescent="0.55000000000000004"/>
    <row r="83" s="1" customFormat="1" x14ac:dyDescent="0.55000000000000004"/>
    <row r="84" s="1" customFormat="1" x14ac:dyDescent="0.55000000000000004"/>
    <row r="85" s="1" customFormat="1" x14ac:dyDescent="0.55000000000000004"/>
    <row r="86" s="1" customFormat="1" x14ac:dyDescent="0.55000000000000004"/>
    <row r="87" s="1" customFormat="1" x14ac:dyDescent="0.55000000000000004"/>
    <row r="88" s="1" customFormat="1" x14ac:dyDescent="0.55000000000000004"/>
    <row r="89" s="1" customFormat="1" x14ac:dyDescent="0.55000000000000004"/>
    <row r="90" s="1" customFormat="1" x14ac:dyDescent="0.55000000000000004"/>
    <row r="91" s="1" customFormat="1" x14ac:dyDescent="0.55000000000000004"/>
    <row r="92" s="1" customFormat="1" x14ac:dyDescent="0.55000000000000004"/>
    <row r="93" s="1" customFormat="1" x14ac:dyDescent="0.55000000000000004"/>
    <row r="94" s="1" customFormat="1" x14ac:dyDescent="0.55000000000000004"/>
    <row r="95" s="1" customFormat="1" x14ac:dyDescent="0.55000000000000004"/>
    <row r="96" s="1" customFormat="1" x14ac:dyDescent="0.55000000000000004"/>
    <row r="97" s="1" customFormat="1" x14ac:dyDescent="0.55000000000000004"/>
    <row r="98" s="1" customFormat="1" x14ac:dyDescent="0.55000000000000004"/>
    <row r="99" s="1" customFormat="1" x14ac:dyDescent="0.55000000000000004"/>
    <row r="100" s="1" customFormat="1" x14ac:dyDescent="0.55000000000000004"/>
    <row r="101" s="1" customFormat="1" x14ac:dyDescent="0.55000000000000004"/>
    <row r="102" s="1" customFormat="1" x14ac:dyDescent="0.55000000000000004"/>
    <row r="103" s="1" customFormat="1" x14ac:dyDescent="0.55000000000000004"/>
    <row r="104" s="1" customFormat="1" x14ac:dyDescent="0.55000000000000004"/>
    <row r="105" s="1" customFormat="1" x14ac:dyDescent="0.55000000000000004"/>
    <row r="106" s="1" customFormat="1" x14ac:dyDescent="0.55000000000000004"/>
    <row r="107" s="1" customFormat="1" x14ac:dyDescent="0.55000000000000004"/>
    <row r="108" s="1" customFormat="1" x14ac:dyDescent="0.55000000000000004"/>
    <row r="109" s="1" customFormat="1" x14ac:dyDescent="0.55000000000000004"/>
    <row r="110" s="1" customFormat="1" x14ac:dyDescent="0.55000000000000004"/>
    <row r="111" s="1" customFormat="1" x14ac:dyDescent="0.55000000000000004"/>
    <row r="112" s="1" customFormat="1" x14ac:dyDescent="0.55000000000000004"/>
    <row r="113" s="1" customFormat="1" x14ac:dyDescent="0.55000000000000004"/>
    <row r="114" s="1" customFormat="1" x14ac:dyDescent="0.55000000000000004"/>
    <row r="115" s="1" customFormat="1" x14ac:dyDescent="0.55000000000000004"/>
    <row r="116" s="1" customFormat="1" x14ac:dyDescent="0.55000000000000004"/>
    <row r="117" s="1" customFormat="1" x14ac:dyDescent="0.55000000000000004"/>
    <row r="118" s="1" customFormat="1" x14ac:dyDescent="0.55000000000000004"/>
    <row r="119" s="1" customFormat="1" x14ac:dyDescent="0.55000000000000004"/>
    <row r="120" s="1" customFormat="1" x14ac:dyDescent="0.55000000000000004"/>
    <row r="121" s="1" customFormat="1" x14ac:dyDescent="0.55000000000000004"/>
    <row r="122" s="1" customFormat="1" x14ac:dyDescent="0.55000000000000004"/>
    <row r="123" s="1" customFormat="1" x14ac:dyDescent="0.55000000000000004"/>
    <row r="124" s="1" customFormat="1" x14ac:dyDescent="0.55000000000000004"/>
    <row r="125" s="1" customFormat="1" x14ac:dyDescent="0.55000000000000004"/>
    <row r="126" s="1" customFormat="1" x14ac:dyDescent="0.55000000000000004"/>
    <row r="127" s="1" customFormat="1" x14ac:dyDescent="0.55000000000000004"/>
    <row r="128" s="1" customFormat="1" x14ac:dyDescent="0.55000000000000004"/>
    <row r="129" s="1" customFormat="1" x14ac:dyDescent="0.55000000000000004"/>
    <row r="130" s="1" customFormat="1" x14ac:dyDescent="0.55000000000000004"/>
    <row r="131" s="1" customFormat="1" x14ac:dyDescent="0.55000000000000004"/>
    <row r="132" s="1" customFormat="1" x14ac:dyDescent="0.55000000000000004"/>
    <row r="133" s="1" customFormat="1" x14ac:dyDescent="0.55000000000000004"/>
    <row r="134" s="1" customFormat="1" x14ac:dyDescent="0.55000000000000004"/>
    <row r="135" s="1" customFormat="1" x14ac:dyDescent="0.55000000000000004"/>
    <row r="136" s="1" customFormat="1" x14ac:dyDescent="0.55000000000000004"/>
    <row r="137" s="1" customFormat="1" x14ac:dyDescent="0.55000000000000004"/>
    <row r="138" s="1" customFormat="1" x14ac:dyDescent="0.55000000000000004"/>
    <row r="139" s="1" customFormat="1" x14ac:dyDescent="0.55000000000000004"/>
    <row r="140" s="1" customFormat="1" x14ac:dyDescent="0.55000000000000004"/>
    <row r="141" s="1" customFormat="1" x14ac:dyDescent="0.55000000000000004"/>
    <row r="142" s="1" customFormat="1" x14ac:dyDescent="0.55000000000000004"/>
    <row r="143" s="1" customFormat="1" x14ac:dyDescent="0.55000000000000004"/>
    <row r="144" s="1" customFormat="1" x14ac:dyDescent="0.55000000000000004"/>
    <row r="145" s="1" customFormat="1" x14ac:dyDescent="0.55000000000000004"/>
    <row r="146" s="1" customFormat="1" x14ac:dyDescent="0.55000000000000004"/>
    <row r="147" s="1" customFormat="1" x14ac:dyDescent="0.55000000000000004"/>
    <row r="148" s="1" customFormat="1" x14ac:dyDescent="0.55000000000000004"/>
    <row r="149" s="1" customFormat="1" x14ac:dyDescent="0.55000000000000004"/>
    <row r="150" s="1" customFormat="1" x14ac:dyDescent="0.55000000000000004"/>
    <row r="151" s="1" customFormat="1" x14ac:dyDescent="0.55000000000000004"/>
    <row r="152" s="1" customFormat="1" x14ac:dyDescent="0.55000000000000004"/>
    <row r="153" s="1" customFormat="1" x14ac:dyDescent="0.55000000000000004"/>
    <row r="154" s="1" customFormat="1" x14ac:dyDescent="0.55000000000000004"/>
    <row r="155" s="1" customFormat="1" x14ac:dyDescent="0.55000000000000004"/>
    <row r="156" s="1" customFormat="1" x14ac:dyDescent="0.55000000000000004"/>
    <row r="157" s="1" customFormat="1" x14ac:dyDescent="0.55000000000000004"/>
    <row r="158" s="1" customFormat="1" x14ac:dyDescent="0.55000000000000004"/>
    <row r="159" s="1" customFormat="1" x14ac:dyDescent="0.55000000000000004"/>
    <row r="160" s="1" customFormat="1" x14ac:dyDescent="0.55000000000000004"/>
    <row r="161" s="1" customFormat="1" x14ac:dyDescent="0.55000000000000004"/>
    <row r="162" s="1" customFormat="1" x14ac:dyDescent="0.55000000000000004"/>
    <row r="163" s="1" customFormat="1" x14ac:dyDescent="0.55000000000000004"/>
    <row r="164" s="1" customFormat="1" x14ac:dyDescent="0.55000000000000004"/>
    <row r="165" s="1" customFormat="1" x14ac:dyDescent="0.55000000000000004"/>
    <row r="166" s="1" customFormat="1" x14ac:dyDescent="0.55000000000000004"/>
    <row r="167" s="1" customFormat="1" x14ac:dyDescent="0.55000000000000004"/>
    <row r="168" s="1" customFormat="1" x14ac:dyDescent="0.55000000000000004"/>
    <row r="169" s="1" customFormat="1" x14ac:dyDescent="0.55000000000000004"/>
    <row r="170" s="1" customFormat="1" x14ac:dyDescent="0.55000000000000004"/>
    <row r="171" s="1" customFormat="1" x14ac:dyDescent="0.55000000000000004"/>
    <row r="172" s="1" customFormat="1" x14ac:dyDescent="0.55000000000000004"/>
    <row r="173" s="1" customFormat="1" x14ac:dyDescent="0.55000000000000004"/>
    <row r="174" s="1" customFormat="1" x14ac:dyDescent="0.55000000000000004"/>
    <row r="175" s="1" customFormat="1" x14ac:dyDescent="0.55000000000000004"/>
    <row r="176" s="1" customFormat="1" x14ac:dyDescent="0.55000000000000004"/>
    <row r="177" s="1" customFormat="1" x14ac:dyDescent="0.55000000000000004"/>
    <row r="178" s="1" customFormat="1" x14ac:dyDescent="0.55000000000000004"/>
    <row r="179" s="1" customFormat="1" x14ac:dyDescent="0.55000000000000004"/>
    <row r="180" s="1" customFormat="1" x14ac:dyDescent="0.55000000000000004"/>
    <row r="181" s="1" customFormat="1" x14ac:dyDescent="0.55000000000000004"/>
    <row r="182" s="1" customFormat="1" x14ac:dyDescent="0.55000000000000004"/>
    <row r="183" s="1" customFormat="1" x14ac:dyDescent="0.55000000000000004"/>
    <row r="184" s="1" customFormat="1" x14ac:dyDescent="0.55000000000000004"/>
    <row r="185" s="1" customFormat="1" x14ac:dyDescent="0.55000000000000004"/>
    <row r="186" s="1" customFormat="1" x14ac:dyDescent="0.55000000000000004"/>
    <row r="187" s="1" customFormat="1" x14ac:dyDescent="0.55000000000000004"/>
    <row r="188" s="1" customFormat="1" x14ac:dyDescent="0.55000000000000004"/>
    <row r="189" s="1" customFormat="1" x14ac:dyDescent="0.55000000000000004"/>
    <row r="190" s="1" customFormat="1" x14ac:dyDescent="0.55000000000000004"/>
    <row r="191" s="1" customFormat="1" x14ac:dyDescent="0.55000000000000004"/>
    <row r="192" s="1" customFormat="1" x14ac:dyDescent="0.55000000000000004"/>
    <row r="193" s="1" customFormat="1" x14ac:dyDescent="0.55000000000000004"/>
    <row r="194" s="1" customFormat="1" x14ac:dyDescent="0.55000000000000004"/>
    <row r="195" s="1" customFormat="1" x14ac:dyDescent="0.55000000000000004"/>
    <row r="196" s="1" customFormat="1" x14ac:dyDescent="0.55000000000000004"/>
    <row r="197" s="1" customFormat="1" x14ac:dyDescent="0.55000000000000004"/>
    <row r="198" s="1" customFormat="1" x14ac:dyDescent="0.55000000000000004"/>
    <row r="199" s="1" customFormat="1" x14ac:dyDescent="0.55000000000000004"/>
    <row r="200" s="1" customFormat="1" x14ac:dyDescent="0.55000000000000004"/>
    <row r="201" s="1" customFormat="1" x14ac:dyDescent="0.55000000000000004"/>
    <row r="202" s="1" customFormat="1" x14ac:dyDescent="0.55000000000000004"/>
    <row r="203" s="1" customFormat="1" x14ac:dyDescent="0.55000000000000004"/>
    <row r="204" s="1" customFormat="1" x14ac:dyDescent="0.55000000000000004"/>
    <row r="205" s="1" customFormat="1" x14ac:dyDescent="0.55000000000000004"/>
    <row r="206" s="1" customFormat="1" x14ac:dyDescent="0.55000000000000004"/>
    <row r="207" s="1" customFormat="1" x14ac:dyDescent="0.55000000000000004"/>
    <row r="208" s="1" customFormat="1" x14ac:dyDescent="0.55000000000000004"/>
    <row r="209" s="1" customFormat="1" x14ac:dyDescent="0.55000000000000004"/>
    <row r="210" s="1" customFormat="1" x14ac:dyDescent="0.55000000000000004"/>
    <row r="211" s="1" customFormat="1" x14ac:dyDescent="0.55000000000000004"/>
    <row r="212" s="1" customFormat="1" x14ac:dyDescent="0.55000000000000004"/>
    <row r="213" s="1" customFormat="1" x14ac:dyDescent="0.55000000000000004"/>
    <row r="214" s="1" customFormat="1" x14ac:dyDescent="0.55000000000000004"/>
    <row r="215" s="1" customFormat="1" x14ac:dyDescent="0.55000000000000004"/>
    <row r="216" s="1" customFormat="1" x14ac:dyDescent="0.55000000000000004"/>
    <row r="217" s="1" customFormat="1" x14ac:dyDescent="0.55000000000000004"/>
    <row r="218" s="1" customFormat="1" x14ac:dyDescent="0.55000000000000004"/>
    <row r="219" s="1" customFormat="1" x14ac:dyDescent="0.55000000000000004"/>
    <row r="220" s="1" customFormat="1" x14ac:dyDescent="0.55000000000000004"/>
    <row r="221" s="1" customFormat="1" x14ac:dyDescent="0.55000000000000004"/>
    <row r="222" s="1" customFormat="1" x14ac:dyDescent="0.55000000000000004"/>
    <row r="223" s="1" customFormat="1" x14ac:dyDescent="0.55000000000000004"/>
    <row r="224" s="1" customFormat="1" x14ac:dyDescent="0.55000000000000004"/>
    <row r="225" s="1" customFormat="1" x14ac:dyDescent="0.55000000000000004"/>
    <row r="226" s="1" customFormat="1" x14ac:dyDescent="0.55000000000000004"/>
    <row r="227" s="1" customFormat="1" x14ac:dyDescent="0.55000000000000004"/>
    <row r="228" s="1" customFormat="1" x14ac:dyDescent="0.55000000000000004"/>
    <row r="229" s="1" customFormat="1" x14ac:dyDescent="0.55000000000000004"/>
    <row r="230" s="1" customFormat="1" x14ac:dyDescent="0.55000000000000004"/>
    <row r="231" s="1" customFormat="1" x14ac:dyDescent="0.55000000000000004"/>
    <row r="232" s="1" customFormat="1" x14ac:dyDescent="0.55000000000000004"/>
    <row r="233" s="1" customFormat="1" x14ac:dyDescent="0.55000000000000004"/>
    <row r="234" s="1" customFormat="1" x14ac:dyDescent="0.55000000000000004"/>
    <row r="235" s="1" customFormat="1" x14ac:dyDescent="0.55000000000000004"/>
    <row r="236" s="1" customFormat="1" x14ac:dyDescent="0.55000000000000004"/>
    <row r="237" s="1" customFormat="1" x14ac:dyDescent="0.55000000000000004"/>
    <row r="238" s="1" customFormat="1" x14ac:dyDescent="0.55000000000000004"/>
    <row r="239" s="1" customFormat="1" x14ac:dyDescent="0.55000000000000004"/>
    <row r="240" s="1" customFormat="1" x14ac:dyDescent="0.55000000000000004"/>
    <row r="241" s="1" customFormat="1" x14ac:dyDescent="0.55000000000000004"/>
    <row r="242" s="1" customFormat="1" x14ac:dyDescent="0.55000000000000004"/>
    <row r="243" s="1" customFormat="1" x14ac:dyDescent="0.55000000000000004"/>
    <row r="244" s="1" customFormat="1" x14ac:dyDescent="0.55000000000000004"/>
    <row r="245" s="1" customFormat="1" x14ac:dyDescent="0.55000000000000004"/>
    <row r="246" s="1" customFormat="1" x14ac:dyDescent="0.55000000000000004"/>
    <row r="247" s="1" customFormat="1" x14ac:dyDescent="0.55000000000000004"/>
    <row r="248" s="1" customFormat="1" x14ac:dyDescent="0.55000000000000004"/>
    <row r="249" s="1" customFormat="1" x14ac:dyDescent="0.55000000000000004"/>
    <row r="250" s="1" customFormat="1" x14ac:dyDescent="0.55000000000000004"/>
    <row r="251" s="1" customFormat="1" x14ac:dyDescent="0.55000000000000004"/>
    <row r="252" s="1" customFormat="1" x14ac:dyDescent="0.55000000000000004"/>
    <row r="253" s="1" customFormat="1" x14ac:dyDescent="0.55000000000000004"/>
    <row r="254" s="1" customFormat="1" x14ac:dyDescent="0.55000000000000004"/>
    <row r="255" s="1" customFormat="1" x14ac:dyDescent="0.55000000000000004"/>
    <row r="256" s="1" customFormat="1" x14ac:dyDescent="0.55000000000000004"/>
    <row r="257" s="1" customFormat="1" x14ac:dyDescent="0.55000000000000004"/>
    <row r="258" s="1" customFormat="1" x14ac:dyDescent="0.55000000000000004"/>
    <row r="259" s="1" customFormat="1" x14ac:dyDescent="0.55000000000000004"/>
    <row r="260" s="1" customFormat="1" x14ac:dyDescent="0.55000000000000004"/>
    <row r="261" s="1" customFormat="1" x14ac:dyDescent="0.55000000000000004"/>
    <row r="262" s="1" customFormat="1" x14ac:dyDescent="0.55000000000000004"/>
    <row r="263" s="1" customFormat="1" x14ac:dyDescent="0.55000000000000004"/>
    <row r="264" s="1" customFormat="1" x14ac:dyDescent="0.55000000000000004"/>
    <row r="265" s="1" customFormat="1" x14ac:dyDescent="0.55000000000000004"/>
    <row r="266" s="1" customFormat="1" x14ac:dyDescent="0.55000000000000004"/>
    <row r="267" s="1" customFormat="1" x14ac:dyDescent="0.55000000000000004"/>
    <row r="268" s="1" customFormat="1" x14ac:dyDescent="0.55000000000000004"/>
    <row r="269" s="1" customFormat="1" x14ac:dyDescent="0.55000000000000004"/>
    <row r="270" s="1" customFormat="1" x14ac:dyDescent="0.55000000000000004"/>
    <row r="271" s="1" customFormat="1" x14ac:dyDescent="0.55000000000000004"/>
    <row r="272" s="1" customFormat="1" x14ac:dyDescent="0.55000000000000004"/>
    <row r="273" s="1" customFormat="1" x14ac:dyDescent="0.55000000000000004"/>
    <row r="274" s="1" customFormat="1" x14ac:dyDescent="0.55000000000000004"/>
    <row r="275" s="1" customFormat="1" x14ac:dyDescent="0.55000000000000004"/>
    <row r="276" s="1" customFormat="1" x14ac:dyDescent="0.55000000000000004"/>
    <row r="277" s="1" customFormat="1" x14ac:dyDescent="0.55000000000000004"/>
    <row r="278" s="1" customFormat="1" x14ac:dyDescent="0.55000000000000004"/>
    <row r="279" s="1" customFormat="1" x14ac:dyDescent="0.55000000000000004"/>
    <row r="280" s="1" customFormat="1" x14ac:dyDescent="0.55000000000000004"/>
    <row r="281" s="1" customFormat="1" x14ac:dyDescent="0.55000000000000004"/>
    <row r="282" s="1" customFormat="1" x14ac:dyDescent="0.55000000000000004"/>
    <row r="283" s="1" customFormat="1" x14ac:dyDescent="0.55000000000000004"/>
    <row r="284" s="1" customFormat="1" x14ac:dyDescent="0.55000000000000004"/>
    <row r="285" s="1" customFormat="1" x14ac:dyDescent="0.55000000000000004"/>
    <row r="286" s="1" customFormat="1" x14ac:dyDescent="0.55000000000000004"/>
    <row r="287" s="1" customFormat="1" x14ac:dyDescent="0.55000000000000004"/>
    <row r="288" s="1" customFormat="1" x14ac:dyDescent="0.55000000000000004"/>
    <row r="289" s="1" customFormat="1" x14ac:dyDescent="0.55000000000000004"/>
    <row r="290" s="1" customFormat="1" x14ac:dyDescent="0.55000000000000004"/>
    <row r="291" s="1" customFormat="1" x14ac:dyDescent="0.55000000000000004"/>
    <row r="292" s="1" customFormat="1" x14ac:dyDescent="0.55000000000000004"/>
    <row r="293" s="1" customFormat="1" x14ac:dyDescent="0.55000000000000004"/>
    <row r="294" s="1" customFormat="1" x14ac:dyDescent="0.55000000000000004"/>
    <row r="295" s="1" customFormat="1" x14ac:dyDescent="0.55000000000000004"/>
    <row r="296" s="1" customFormat="1" x14ac:dyDescent="0.55000000000000004"/>
    <row r="297" s="1" customFormat="1" x14ac:dyDescent="0.55000000000000004"/>
    <row r="298" s="1" customFormat="1" x14ac:dyDescent="0.55000000000000004"/>
    <row r="299" s="1" customFormat="1" x14ac:dyDescent="0.55000000000000004"/>
    <row r="300" s="1" customFormat="1" x14ac:dyDescent="0.55000000000000004"/>
    <row r="301" s="1" customFormat="1" x14ac:dyDescent="0.55000000000000004"/>
    <row r="302" s="1" customFormat="1" x14ac:dyDescent="0.55000000000000004"/>
    <row r="303" s="1" customFormat="1" x14ac:dyDescent="0.55000000000000004"/>
    <row r="304" s="1" customFormat="1" x14ac:dyDescent="0.55000000000000004"/>
    <row r="305" s="1" customFormat="1" x14ac:dyDescent="0.55000000000000004"/>
    <row r="306" s="1" customFormat="1" x14ac:dyDescent="0.55000000000000004"/>
    <row r="307" s="1" customFormat="1" x14ac:dyDescent="0.55000000000000004"/>
    <row r="308" s="1" customFormat="1" x14ac:dyDescent="0.55000000000000004"/>
    <row r="309" s="1" customFormat="1" x14ac:dyDescent="0.55000000000000004"/>
    <row r="310" s="1" customFormat="1" x14ac:dyDescent="0.55000000000000004"/>
    <row r="311" s="1" customFormat="1" x14ac:dyDescent="0.55000000000000004"/>
    <row r="312" s="1" customFormat="1" x14ac:dyDescent="0.55000000000000004"/>
    <row r="313" s="1" customFormat="1" x14ac:dyDescent="0.55000000000000004"/>
    <row r="314" s="1" customFormat="1" x14ac:dyDescent="0.55000000000000004"/>
    <row r="315" s="1" customFormat="1" x14ac:dyDescent="0.55000000000000004"/>
    <row r="316" s="1" customFormat="1" x14ac:dyDescent="0.55000000000000004"/>
    <row r="317" s="1" customFormat="1" x14ac:dyDescent="0.55000000000000004"/>
    <row r="318" s="1" customFormat="1" x14ac:dyDescent="0.55000000000000004"/>
    <row r="319" s="1" customFormat="1" x14ac:dyDescent="0.55000000000000004"/>
    <row r="320" s="1" customFormat="1" x14ac:dyDescent="0.55000000000000004"/>
    <row r="321" s="1" customFormat="1" x14ac:dyDescent="0.55000000000000004"/>
    <row r="322" s="1" customFormat="1" x14ac:dyDescent="0.55000000000000004"/>
    <row r="323" s="1" customFormat="1" x14ac:dyDescent="0.55000000000000004"/>
    <row r="324" s="1" customFormat="1" x14ac:dyDescent="0.55000000000000004"/>
    <row r="325" s="1" customFormat="1" x14ac:dyDescent="0.55000000000000004"/>
    <row r="326" s="1" customFormat="1" x14ac:dyDescent="0.55000000000000004"/>
    <row r="327" s="1" customFormat="1" x14ac:dyDescent="0.55000000000000004"/>
    <row r="328" s="1" customFormat="1" x14ac:dyDescent="0.55000000000000004"/>
    <row r="329" s="1" customFormat="1" x14ac:dyDescent="0.55000000000000004"/>
    <row r="330" s="1" customFormat="1" x14ac:dyDescent="0.55000000000000004"/>
    <row r="331" s="1" customFormat="1" x14ac:dyDescent="0.55000000000000004"/>
    <row r="332" s="1" customFormat="1" x14ac:dyDescent="0.55000000000000004"/>
    <row r="333" s="1" customFormat="1" x14ac:dyDescent="0.55000000000000004"/>
    <row r="334" s="1" customFormat="1" x14ac:dyDescent="0.55000000000000004"/>
    <row r="335" s="1" customFormat="1" x14ac:dyDescent="0.55000000000000004"/>
    <row r="336" s="1" customFormat="1" x14ac:dyDescent="0.55000000000000004"/>
    <row r="337" s="1" customFormat="1" x14ac:dyDescent="0.55000000000000004"/>
    <row r="338" s="1" customFormat="1" x14ac:dyDescent="0.55000000000000004"/>
    <row r="339" s="1" customFormat="1" x14ac:dyDescent="0.55000000000000004"/>
    <row r="340" s="1" customFormat="1" x14ac:dyDescent="0.55000000000000004"/>
    <row r="341" s="1" customFormat="1" x14ac:dyDescent="0.55000000000000004"/>
    <row r="342" s="1" customFormat="1" x14ac:dyDescent="0.55000000000000004"/>
    <row r="343" s="1" customFormat="1" x14ac:dyDescent="0.55000000000000004"/>
    <row r="344" s="1" customFormat="1" x14ac:dyDescent="0.55000000000000004"/>
    <row r="345" s="1" customFormat="1" x14ac:dyDescent="0.55000000000000004"/>
    <row r="346" s="1" customFormat="1" x14ac:dyDescent="0.55000000000000004"/>
    <row r="347" s="1" customFormat="1" x14ac:dyDescent="0.55000000000000004"/>
    <row r="348" s="1" customFormat="1" x14ac:dyDescent="0.55000000000000004"/>
    <row r="349" s="1" customFormat="1" x14ac:dyDescent="0.55000000000000004"/>
    <row r="350" s="1" customFormat="1" x14ac:dyDescent="0.55000000000000004"/>
    <row r="351" s="1" customFormat="1" x14ac:dyDescent="0.55000000000000004"/>
    <row r="352" s="1" customFormat="1" x14ac:dyDescent="0.55000000000000004"/>
    <row r="353" s="1" customFormat="1" x14ac:dyDescent="0.55000000000000004"/>
    <row r="354" s="1" customFormat="1" x14ac:dyDescent="0.55000000000000004"/>
    <row r="355" s="1" customFormat="1" x14ac:dyDescent="0.55000000000000004"/>
    <row r="356" s="1" customFormat="1" x14ac:dyDescent="0.55000000000000004"/>
    <row r="357" s="1" customFormat="1" x14ac:dyDescent="0.55000000000000004"/>
    <row r="358" s="1" customFormat="1" x14ac:dyDescent="0.55000000000000004"/>
    <row r="359" s="1" customFormat="1" x14ac:dyDescent="0.55000000000000004"/>
    <row r="360" s="1" customFormat="1" x14ac:dyDescent="0.55000000000000004"/>
    <row r="361" s="1" customFormat="1" x14ac:dyDescent="0.55000000000000004"/>
    <row r="362" s="1" customFormat="1" x14ac:dyDescent="0.55000000000000004"/>
    <row r="363" s="1" customFormat="1" x14ac:dyDescent="0.55000000000000004"/>
    <row r="364" s="1" customFormat="1" x14ac:dyDescent="0.55000000000000004"/>
    <row r="365" s="1" customFormat="1" x14ac:dyDescent="0.55000000000000004"/>
    <row r="366" s="1" customFormat="1" x14ac:dyDescent="0.55000000000000004"/>
    <row r="367" s="1" customFormat="1" x14ac:dyDescent="0.55000000000000004"/>
    <row r="368" s="1" customFormat="1" x14ac:dyDescent="0.55000000000000004"/>
    <row r="369" s="1" customFormat="1" x14ac:dyDescent="0.55000000000000004"/>
    <row r="370" s="1" customFormat="1" x14ac:dyDescent="0.55000000000000004"/>
    <row r="371" s="1" customFormat="1" x14ac:dyDescent="0.55000000000000004"/>
    <row r="372" s="1" customFormat="1" x14ac:dyDescent="0.55000000000000004"/>
    <row r="373" s="1" customFormat="1" x14ac:dyDescent="0.55000000000000004"/>
    <row r="374" s="1" customFormat="1" x14ac:dyDescent="0.55000000000000004"/>
    <row r="375" s="1" customFormat="1" x14ac:dyDescent="0.55000000000000004"/>
    <row r="376" s="1" customFormat="1" x14ac:dyDescent="0.55000000000000004"/>
    <row r="377" s="1" customFormat="1" x14ac:dyDescent="0.55000000000000004"/>
    <row r="378" s="1" customFormat="1" x14ac:dyDescent="0.55000000000000004"/>
    <row r="379" s="1" customFormat="1" x14ac:dyDescent="0.55000000000000004"/>
    <row r="380" s="1" customFormat="1" x14ac:dyDescent="0.55000000000000004"/>
    <row r="381" s="1" customFormat="1" x14ac:dyDescent="0.55000000000000004"/>
    <row r="382" s="1" customFormat="1" x14ac:dyDescent="0.55000000000000004"/>
    <row r="383" s="1" customFormat="1" x14ac:dyDescent="0.55000000000000004"/>
    <row r="384" s="1" customFormat="1" x14ac:dyDescent="0.55000000000000004"/>
    <row r="385" s="1" customFormat="1" x14ac:dyDescent="0.55000000000000004"/>
    <row r="386" s="1" customFormat="1" x14ac:dyDescent="0.55000000000000004"/>
    <row r="387" s="1" customFormat="1" x14ac:dyDescent="0.55000000000000004"/>
    <row r="388" s="1" customFormat="1" x14ac:dyDescent="0.55000000000000004"/>
    <row r="389" s="1" customFormat="1" x14ac:dyDescent="0.55000000000000004"/>
    <row r="390" s="1" customFormat="1" x14ac:dyDescent="0.55000000000000004"/>
    <row r="391" s="1" customFormat="1" x14ac:dyDescent="0.55000000000000004"/>
    <row r="392" s="1" customFormat="1" x14ac:dyDescent="0.55000000000000004"/>
    <row r="393" s="1" customFormat="1" x14ac:dyDescent="0.55000000000000004"/>
    <row r="394" s="1" customFormat="1" x14ac:dyDescent="0.55000000000000004"/>
    <row r="395" s="1" customFormat="1" x14ac:dyDescent="0.55000000000000004"/>
    <row r="396" s="1" customFormat="1" x14ac:dyDescent="0.55000000000000004"/>
    <row r="397" s="1" customFormat="1" x14ac:dyDescent="0.55000000000000004"/>
    <row r="398" s="1" customFormat="1" x14ac:dyDescent="0.55000000000000004"/>
    <row r="399" s="1" customFormat="1" x14ac:dyDescent="0.55000000000000004"/>
    <row r="400" s="1" customFormat="1" x14ac:dyDescent="0.55000000000000004"/>
    <row r="401" s="1" customFormat="1" x14ac:dyDescent="0.55000000000000004"/>
    <row r="402" s="1" customFormat="1" x14ac:dyDescent="0.55000000000000004"/>
    <row r="403" s="1" customFormat="1" x14ac:dyDescent="0.55000000000000004"/>
    <row r="404" s="1" customFormat="1" x14ac:dyDescent="0.55000000000000004"/>
    <row r="405" s="1" customFormat="1" x14ac:dyDescent="0.55000000000000004"/>
    <row r="406" s="1" customFormat="1" x14ac:dyDescent="0.55000000000000004"/>
    <row r="407" s="1" customFormat="1" x14ac:dyDescent="0.55000000000000004"/>
    <row r="408" s="1" customFormat="1" x14ac:dyDescent="0.55000000000000004"/>
    <row r="409" s="1" customFormat="1" x14ac:dyDescent="0.55000000000000004"/>
    <row r="410" s="1" customFormat="1" x14ac:dyDescent="0.55000000000000004"/>
    <row r="411" s="1" customFormat="1" x14ac:dyDescent="0.55000000000000004"/>
    <row r="412" s="1" customFormat="1" x14ac:dyDescent="0.55000000000000004"/>
    <row r="413" s="1" customFormat="1" x14ac:dyDescent="0.55000000000000004"/>
    <row r="414" s="1" customFormat="1" x14ac:dyDescent="0.55000000000000004"/>
    <row r="415" s="1" customFormat="1" x14ac:dyDescent="0.55000000000000004"/>
    <row r="416" s="1" customFormat="1" x14ac:dyDescent="0.55000000000000004"/>
    <row r="417" s="1" customFormat="1" x14ac:dyDescent="0.55000000000000004"/>
    <row r="418" s="1" customFormat="1" x14ac:dyDescent="0.55000000000000004"/>
    <row r="419" s="1" customFormat="1" x14ac:dyDescent="0.55000000000000004"/>
    <row r="420" s="1" customFormat="1" x14ac:dyDescent="0.55000000000000004"/>
    <row r="421" s="1" customFormat="1" x14ac:dyDescent="0.55000000000000004"/>
    <row r="422" s="1" customFormat="1" x14ac:dyDescent="0.55000000000000004"/>
    <row r="423" s="1" customFormat="1" x14ac:dyDescent="0.55000000000000004"/>
    <row r="424" s="1" customFormat="1" x14ac:dyDescent="0.55000000000000004"/>
    <row r="425" s="1" customFormat="1" x14ac:dyDescent="0.55000000000000004"/>
    <row r="426" s="1" customFormat="1" x14ac:dyDescent="0.55000000000000004"/>
    <row r="427" s="1" customFormat="1" x14ac:dyDescent="0.55000000000000004"/>
    <row r="428" s="1" customFormat="1" x14ac:dyDescent="0.55000000000000004"/>
    <row r="429" s="1" customFormat="1" x14ac:dyDescent="0.55000000000000004"/>
    <row r="430" s="1" customFormat="1" x14ac:dyDescent="0.55000000000000004"/>
    <row r="431" s="1" customFormat="1" x14ac:dyDescent="0.55000000000000004"/>
    <row r="432" s="1" customFormat="1" x14ac:dyDescent="0.55000000000000004"/>
    <row r="433" s="1" customFormat="1" x14ac:dyDescent="0.55000000000000004"/>
    <row r="434" s="1" customFormat="1" x14ac:dyDescent="0.55000000000000004"/>
    <row r="435" s="1" customFormat="1" x14ac:dyDescent="0.55000000000000004"/>
    <row r="436" s="1" customFormat="1" x14ac:dyDescent="0.55000000000000004"/>
    <row r="437" s="1" customFormat="1" x14ac:dyDescent="0.55000000000000004"/>
    <row r="438" s="1" customFormat="1" x14ac:dyDescent="0.55000000000000004"/>
    <row r="439" s="1" customFormat="1" x14ac:dyDescent="0.55000000000000004"/>
    <row r="440" s="1" customFormat="1" x14ac:dyDescent="0.55000000000000004"/>
    <row r="441" s="1" customFormat="1" x14ac:dyDescent="0.55000000000000004"/>
    <row r="442" s="1" customFormat="1" x14ac:dyDescent="0.55000000000000004"/>
    <row r="443" s="1" customFormat="1" x14ac:dyDescent="0.55000000000000004"/>
    <row r="444" s="1" customFormat="1" x14ac:dyDescent="0.55000000000000004"/>
    <row r="445" s="1" customFormat="1" x14ac:dyDescent="0.55000000000000004"/>
    <row r="446" s="1" customFormat="1" x14ac:dyDescent="0.55000000000000004"/>
    <row r="447" s="1" customFormat="1" x14ac:dyDescent="0.55000000000000004"/>
    <row r="448" s="1" customFormat="1" x14ac:dyDescent="0.55000000000000004"/>
    <row r="449" s="1" customFormat="1" x14ac:dyDescent="0.55000000000000004"/>
    <row r="450" s="1" customFormat="1" x14ac:dyDescent="0.55000000000000004"/>
    <row r="451" s="1" customFormat="1" x14ac:dyDescent="0.55000000000000004"/>
    <row r="452" s="1" customFormat="1" x14ac:dyDescent="0.55000000000000004"/>
    <row r="453" s="1" customFormat="1" x14ac:dyDescent="0.55000000000000004"/>
    <row r="454" s="1" customFormat="1" x14ac:dyDescent="0.55000000000000004"/>
    <row r="455" s="1" customFormat="1" x14ac:dyDescent="0.55000000000000004"/>
    <row r="456" s="1" customFormat="1" x14ac:dyDescent="0.55000000000000004"/>
    <row r="457" s="1" customFormat="1" x14ac:dyDescent="0.55000000000000004"/>
    <row r="458" s="1" customFormat="1" x14ac:dyDescent="0.55000000000000004"/>
    <row r="459" s="1" customFormat="1" x14ac:dyDescent="0.55000000000000004"/>
    <row r="460" s="1" customFormat="1" x14ac:dyDescent="0.55000000000000004"/>
    <row r="461" s="1" customFormat="1" x14ac:dyDescent="0.55000000000000004"/>
    <row r="462" s="1" customFormat="1" x14ac:dyDescent="0.55000000000000004"/>
    <row r="463" s="1" customFormat="1" x14ac:dyDescent="0.55000000000000004"/>
    <row r="464" s="1" customFormat="1" x14ac:dyDescent="0.55000000000000004"/>
    <row r="465" s="1" customFormat="1" x14ac:dyDescent="0.55000000000000004"/>
    <row r="466" s="1" customFormat="1" x14ac:dyDescent="0.55000000000000004"/>
    <row r="467" s="1" customFormat="1" x14ac:dyDescent="0.55000000000000004"/>
    <row r="468" s="1" customFormat="1" x14ac:dyDescent="0.55000000000000004"/>
    <row r="469" s="1" customFormat="1" x14ac:dyDescent="0.55000000000000004"/>
    <row r="470" s="1" customFormat="1" x14ac:dyDescent="0.55000000000000004"/>
    <row r="471" s="1" customFormat="1" x14ac:dyDescent="0.55000000000000004"/>
    <row r="472" s="1" customFormat="1" x14ac:dyDescent="0.55000000000000004"/>
    <row r="473" s="1" customFormat="1" x14ac:dyDescent="0.55000000000000004"/>
    <row r="474" s="1" customFormat="1" x14ac:dyDescent="0.55000000000000004"/>
    <row r="475" s="1" customFormat="1" x14ac:dyDescent="0.55000000000000004"/>
    <row r="476" s="1" customFormat="1" x14ac:dyDescent="0.55000000000000004"/>
    <row r="477" s="1" customFormat="1" x14ac:dyDescent="0.55000000000000004"/>
    <row r="478" s="1" customFormat="1" x14ac:dyDescent="0.55000000000000004"/>
    <row r="479" s="1" customFormat="1" x14ac:dyDescent="0.55000000000000004"/>
    <row r="480" s="1" customFormat="1" x14ac:dyDescent="0.55000000000000004"/>
    <row r="481" spans="2:3" s="1" customFormat="1" x14ac:dyDescent="0.55000000000000004"/>
    <row r="482" spans="2:3" s="1" customFormat="1" x14ac:dyDescent="0.55000000000000004"/>
    <row r="483" spans="2:3" s="1" customFormat="1" x14ac:dyDescent="0.55000000000000004"/>
    <row r="484" spans="2:3" s="1" customFormat="1" x14ac:dyDescent="0.55000000000000004"/>
    <row r="485" spans="2:3" s="1" customFormat="1" x14ac:dyDescent="0.55000000000000004">
      <c r="B485"/>
      <c r="C485"/>
    </row>
    <row r="486" spans="2:3" s="1" customFormat="1" x14ac:dyDescent="0.55000000000000004">
      <c r="B486"/>
      <c r="C486"/>
    </row>
    <row r="487" spans="2:3" s="1" customFormat="1" x14ac:dyDescent="0.55000000000000004">
      <c r="B487"/>
      <c r="C487"/>
    </row>
    <row r="488" spans="2:3" s="1" customFormat="1" x14ac:dyDescent="0.55000000000000004">
      <c r="B488"/>
      <c r="C488"/>
    </row>
    <row r="489" spans="2:3" s="1" customFormat="1" x14ac:dyDescent="0.55000000000000004">
      <c r="B489"/>
      <c r="C489"/>
    </row>
    <row r="490" spans="2:3" s="1" customFormat="1" x14ac:dyDescent="0.55000000000000004">
      <c r="B490"/>
      <c r="C490"/>
    </row>
    <row r="491" spans="2:3" s="1" customFormat="1" x14ac:dyDescent="0.55000000000000004">
      <c r="B491"/>
      <c r="C491"/>
    </row>
    <row r="492" spans="2:3" s="1" customFormat="1" x14ac:dyDescent="0.55000000000000004">
      <c r="B492"/>
      <c r="C492"/>
    </row>
    <row r="493" spans="2:3" s="1" customFormat="1" x14ac:dyDescent="0.55000000000000004">
      <c r="B493"/>
      <c r="C493"/>
    </row>
    <row r="494" spans="2:3" s="1" customFormat="1" x14ac:dyDescent="0.55000000000000004">
      <c r="B494"/>
      <c r="C494"/>
    </row>
    <row r="495" spans="2:3" s="1" customFormat="1" x14ac:dyDescent="0.55000000000000004">
      <c r="B495"/>
      <c r="C495"/>
    </row>
    <row r="496" spans="2:3" s="1" customFormat="1" x14ac:dyDescent="0.55000000000000004">
      <c r="B496"/>
      <c r="C496"/>
    </row>
    <row r="497" spans="2:3" s="1" customFormat="1" x14ac:dyDescent="0.55000000000000004">
      <c r="B497"/>
      <c r="C497"/>
    </row>
    <row r="498" spans="2:3" s="1" customFormat="1" x14ac:dyDescent="0.55000000000000004">
      <c r="B498"/>
      <c r="C498"/>
    </row>
    <row r="499" spans="2:3" s="1" customFormat="1" x14ac:dyDescent="0.55000000000000004">
      <c r="B499"/>
      <c r="C499"/>
    </row>
    <row r="500" spans="2:3" s="1" customFormat="1" x14ac:dyDescent="0.55000000000000004">
      <c r="B500"/>
      <c r="C500"/>
    </row>
  </sheetData>
  <mergeCells count="16">
    <mergeCell ref="B50:F50"/>
    <mergeCell ref="B5:G5"/>
    <mergeCell ref="B4:H4"/>
    <mergeCell ref="B1:D3"/>
    <mergeCell ref="V16:Y16"/>
    <mergeCell ref="J6:N6"/>
    <mergeCell ref="J5:N5"/>
    <mergeCell ref="J8:L8"/>
    <mergeCell ref="J9:L9"/>
    <mergeCell ref="J10:L10"/>
    <mergeCell ref="J11:L11"/>
    <mergeCell ref="Z16:AC16"/>
    <mergeCell ref="O16:Q16"/>
    <mergeCell ref="R16:U16"/>
    <mergeCell ref="K16:N16"/>
    <mergeCell ref="I16:J16"/>
  </mergeCells>
  <pageMargins left="0.7" right="0.7" top="0.75" bottom="0.75" header="0.3" footer="0.3"/>
  <pageSetup paperSize="9" orientation="landscape" horizontalDpi="30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7E2D-5D78-4030-82F5-A493746978A5}">
  <dimension ref="B2:AI47"/>
  <sheetViews>
    <sheetView zoomScale="40" zoomScaleNormal="40" workbookViewId="0">
      <selection activeCell="L35" sqref="L35"/>
    </sheetView>
  </sheetViews>
  <sheetFormatPr defaultRowHeight="14.4" x14ac:dyDescent="0.55000000000000004"/>
  <cols>
    <col min="2" max="2" width="12.62890625" customWidth="1"/>
    <col min="3" max="3" width="23.20703125" customWidth="1"/>
    <col min="4" max="4" width="18.47265625" customWidth="1"/>
    <col min="5" max="5" width="20.62890625" customWidth="1"/>
    <col min="6" max="6" width="16.26171875" customWidth="1"/>
    <col min="7" max="7" width="25.3671875" customWidth="1"/>
    <col min="8" max="8" width="36.734375" customWidth="1"/>
    <col min="9" max="9" width="21.68359375" customWidth="1"/>
    <col min="10" max="10" width="15.15625" customWidth="1"/>
    <col min="11" max="11" width="15.83984375" customWidth="1"/>
    <col min="12" max="12" width="18.578125" customWidth="1"/>
    <col min="13" max="13" width="14.83984375" customWidth="1"/>
    <col min="14" max="14" width="17.3125" customWidth="1"/>
    <col min="15" max="15" width="15.3671875" customWidth="1"/>
    <col min="16" max="16" width="14.47265625" customWidth="1"/>
    <col min="17" max="18" width="8.89453125" bestFit="1" customWidth="1"/>
    <col min="19" max="19" width="10.05078125" bestFit="1" customWidth="1"/>
    <col min="22" max="22" width="15.26171875" customWidth="1"/>
    <col min="23" max="23" width="11.05078125" customWidth="1"/>
    <col min="24" max="29" width="8.89453125" bestFit="1" customWidth="1"/>
    <col min="30" max="30" width="8.89453125" customWidth="1"/>
    <col min="31" max="31" width="8.89453125" bestFit="1" customWidth="1"/>
  </cols>
  <sheetData>
    <row r="2" spans="2:35" ht="18.3" x14ac:dyDescent="0.7">
      <c r="B2" s="128" t="s">
        <v>21</v>
      </c>
      <c r="C2" s="128"/>
      <c r="D2" s="128"/>
      <c r="E2" s="20"/>
      <c r="F2" s="21"/>
      <c r="J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2:35" ht="18.3" x14ac:dyDescent="0.7">
      <c r="B3" s="128"/>
      <c r="C3" s="128"/>
      <c r="D3" s="128"/>
      <c r="E3" s="20"/>
      <c r="F3" s="21"/>
      <c r="J3" s="1"/>
      <c r="Q3" s="25"/>
      <c r="R3" s="53"/>
      <c r="S3" s="53"/>
      <c r="T3" s="5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2:35" ht="18.3" x14ac:dyDescent="0.7">
      <c r="B4" s="141"/>
      <c r="C4" s="141"/>
      <c r="D4" s="141"/>
      <c r="E4" s="20"/>
      <c r="F4" s="21"/>
      <c r="J4" s="1"/>
      <c r="Q4" s="25"/>
      <c r="R4" s="54"/>
      <c r="S4" s="53"/>
      <c r="T4" s="53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2:35" ht="15.6" x14ac:dyDescent="0.6">
      <c r="B5" s="142" t="s">
        <v>49</v>
      </c>
      <c r="C5" s="142"/>
      <c r="D5" s="142"/>
      <c r="E5" s="142"/>
      <c r="F5" s="142"/>
      <c r="G5" s="142"/>
      <c r="H5" s="142"/>
      <c r="I5" s="81"/>
      <c r="J5" s="1"/>
      <c r="K5" s="58"/>
      <c r="L5" s="58"/>
      <c r="M5" s="58"/>
      <c r="N5" s="58"/>
      <c r="O5" s="58"/>
      <c r="P5" s="58"/>
      <c r="Q5" s="94"/>
      <c r="R5" s="54"/>
      <c r="S5" s="53"/>
      <c r="T5" s="53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2:35" ht="45.9" customHeight="1" x14ac:dyDescent="0.6">
      <c r="B6" s="143" t="s">
        <v>47</v>
      </c>
      <c r="C6" s="143"/>
      <c r="D6" s="143"/>
      <c r="E6" s="143"/>
      <c r="F6" s="143"/>
      <c r="G6" s="143"/>
      <c r="H6" s="82" t="s">
        <v>50</v>
      </c>
      <c r="I6" s="42"/>
      <c r="J6" s="1"/>
      <c r="K6" s="130" t="s">
        <v>56</v>
      </c>
      <c r="L6" s="131"/>
      <c r="M6" s="131"/>
      <c r="N6" s="131"/>
      <c r="O6" s="132"/>
      <c r="P6" s="93"/>
      <c r="Q6" s="93"/>
      <c r="R6" s="54"/>
      <c r="S6" s="53"/>
      <c r="T6" s="5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2:35" ht="35.1" customHeight="1" x14ac:dyDescent="0.6">
      <c r="B7" s="82" t="s">
        <v>46</v>
      </c>
      <c r="C7" s="60" t="s">
        <v>45</v>
      </c>
      <c r="D7" s="60" t="s">
        <v>44</v>
      </c>
      <c r="E7" s="60" t="s">
        <v>43</v>
      </c>
      <c r="F7" s="60" t="s">
        <v>42</v>
      </c>
      <c r="G7" s="60" t="s">
        <v>41</v>
      </c>
      <c r="H7" s="82" t="s">
        <v>40</v>
      </c>
      <c r="I7" s="42"/>
      <c r="J7" s="1"/>
      <c r="K7" s="130" t="s">
        <v>58</v>
      </c>
      <c r="L7" s="131"/>
      <c r="M7" s="131"/>
      <c r="N7" s="131"/>
      <c r="O7" s="132"/>
      <c r="P7" s="89"/>
      <c r="Q7" s="89"/>
      <c r="R7" s="54"/>
      <c r="S7" s="53"/>
      <c r="T7" s="53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2:35" ht="15.6" x14ac:dyDescent="0.6">
      <c r="B8" s="83" t="s">
        <v>4</v>
      </c>
      <c r="C8" s="65">
        <v>165.93199999999999</v>
      </c>
      <c r="D8" s="65">
        <v>61.750999999999998</v>
      </c>
      <c r="E8" s="107">
        <v>148.6</v>
      </c>
      <c r="F8" s="65">
        <v>59.3</v>
      </c>
      <c r="G8" s="61" t="s">
        <v>39</v>
      </c>
      <c r="H8" s="61" t="s">
        <v>32</v>
      </c>
      <c r="I8" s="57"/>
      <c r="J8" s="1"/>
      <c r="K8" s="90" t="s">
        <v>51</v>
      </c>
      <c r="L8" s="91"/>
      <c r="M8" s="92"/>
      <c r="N8" s="61"/>
      <c r="O8" s="61"/>
      <c r="P8" s="57"/>
      <c r="Q8" s="57"/>
      <c r="R8" s="54"/>
      <c r="S8" s="53"/>
      <c r="T8" s="53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2:35" ht="15.6" x14ac:dyDescent="0.6">
      <c r="B9" s="83" t="s">
        <v>29</v>
      </c>
      <c r="C9" s="65">
        <v>165.46</v>
      </c>
      <c r="D9" s="65">
        <v>56.377000000000002</v>
      </c>
      <c r="E9" s="107">
        <v>149.1</v>
      </c>
      <c r="F9" s="65">
        <v>53.9</v>
      </c>
      <c r="G9" s="61" t="s">
        <v>38</v>
      </c>
      <c r="H9" s="61" t="s">
        <v>32</v>
      </c>
      <c r="I9" s="57"/>
      <c r="J9" s="1"/>
      <c r="K9" s="133" t="s">
        <v>52</v>
      </c>
      <c r="L9" s="134"/>
      <c r="M9" s="135"/>
      <c r="N9" s="61"/>
      <c r="O9" s="61"/>
      <c r="P9" s="57"/>
      <c r="Q9" s="57"/>
      <c r="R9" s="54"/>
      <c r="S9" s="53"/>
      <c r="T9" s="53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2:35" ht="15.6" x14ac:dyDescent="0.6">
      <c r="B10" s="83" t="s">
        <v>37</v>
      </c>
      <c r="C10" s="65"/>
      <c r="D10" s="65"/>
      <c r="E10" s="107"/>
      <c r="F10" s="65"/>
      <c r="G10" s="61"/>
      <c r="H10" s="61"/>
      <c r="I10" s="57"/>
      <c r="J10" s="1"/>
      <c r="K10" s="133" t="s">
        <v>53</v>
      </c>
      <c r="L10" s="134"/>
      <c r="M10" s="135"/>
      <c r="N10" s="61"/>
      <c r="O10" s="61"/>
      <c r="P10" s="57"/>
      <c r="Q10" s="57"/>
      <c r="R10" s="54"/>
      <c r="S10" s="53"/>
      <c r="T10" s="53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2:35" ht="15.6" x14ac:dyDescent="0.6">
      <c r="B11" s="83" t="s">
        <v>28</v>
      </c>
      <c r="C11" s="65">
        <v>183.857</v>
      </c>
      <c r="D11" s="65">
        <v>57.031999999999996</v>
      </c>
      <c r="E11" s="107">
        <v>169.8</v>
      </c>
      <c r="F11" s="65">
        <v>53.3</v>
      </c>
      <c r="G11" s="61" t="s">
        <v>36</v>
      </c>
      <c r="H11" s="61" t="s">
        <v>32</v>
      </c>
      <c r="I11" s="57"/>
      <c r="J11" s="1"/>
      <c r="K11" s="133" t="s">
        <v>54</v>
      </c>
      <c r="L11" s="134"/>
      <c r="M11" s="135"/>
      <c r="N11" s="61"/>
      <c r="O11" s="61"/>
      <c r="P11" s="57"/>
      <c r="Q11" s="57"/>
      <c r="R11" s="53"/>
      <c r="S11" s="53"/>
      <c r="T11" s="53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2:35" x14ac:dyDescent="0.55000000000000004">
      <c r="B12" s="83" t="s">
        <v>27</v>
      </c>
      <c r="C12" s="65">
        <v>193.50700000000001</v>
      </c>
      <c r="D12" s="65">
        <v>55.96</v>
      </c>
      <c r="E12" s="107">
        <v>338.8</v>
      </c>
      <c r="F12" s="65">
        <v>54.2</v>
      </c>
      <c r="G12" s="61" t="s">
        <v>35</v>
      </c>
      <c r="H12" s="61" t="s">
        <v>32</v>
      </c>
      <c r="I12" s="57"/>
      <c r="J12" s="1"/>
      <c r="K12" s="136"/>
      <c r="L12" s="137"/>
      <c r="M12" s="138"/>
      <c r="N12" s="61"/>
      <c r="O12" s="61"/>
      <c r="P12" s="58"/>
      <c r="Q12" s="58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2:35" x14ac:dyDescent="0.55000000000000004">
      <c r="B13" s="83" t="s">
        <v>26</v>
      </c>
      <c r="C13" s="65">
        <v>200.98099999999999</v>
      </c>
      <c r="D13" s="65">
        <v>54.924999999999997</v>
      </c>
      <c r="E13" s="107">
        <v>346.7</v>
      </c>
      <c r="F13" s="65">
        <v>52.9</v>
      </c>
      <c r="G13" s="61" t="s">
        <v>34</v>
      </c>
      <c r="H13" s="61" t="s">
        <v>32</v>
      </c>
      <c r="I13" s="57"/>
      <c r="J13" s="1"/>
      <c r="Q13" s="1"/>
      <c r="R13" s="1"/>
      <c r="S13" s="1"/>
      <c r="T13" s="1"/>
      <c r="U13" s="1"/>
      <c r="V13" s="1"/>
      <c r="W13" s="1"/>
      <c r="X13" s="1"/>
      <c r="Y13" s="1"/>
      <c r="Z13" s="1"/>
      <c r="AF13" s="1"/>
      <c r="AG13" s="1"/>
      <c r="AH13" s="1"/>
      <c r="AI13" s="1"/>
    </row>
    <row r="14" spans="2:35" x14ac:dyDescent="0.55000000000000004">
      <c r="B14" s="83" t="s">
        <v>25</v>
      </c>
      <c r="C14" s="65">
        <v>206.88499999999999</v>
      </c>
      <c r="D14" s="65">
        <v>49.313000000000002</v>
      </c>
      <c r="E14" s="107">
        <v>353.2</v>
      </c>
      <c r="F14" s="65">
        <v>46.6</v>
      </c>
      <c r="G14" s="61" t="s">
        <v>33</v>
      </c>
      <c r="H14" s="61" t="s">
        <v>32</v>
      </c>
      <c r="I14" s="57"/>
      <c r="J14" s="1"/>
      <c r="Q14" s="1"/>
      <c r="R14" s="1"/>
      <c r="S14" s="1"/>
      <c r="T14" s="1"/>
      <c r="U14" s="1"/>
      <c r="V14" s="1"/>
      <c r="W14" s="1"/>
      <c r="X14" s="1"/>
      <c r="Y14" s="1"/>
      <c r="Z14" s="1"/>
      <c r="AF14" s="1"/>
      <c r="AG14" s="1"/>
      <c r="AH14" s="1"/>
      <c r="AI14" s="1"/>
    </row>
    <row r="15" spans="2:35" x14ac:dyDescent="0.55000000000000004">
      <c r="B15" s="83" t="s">
        <v>3</v>
      </c>
      <c r="C15" s="65">
        <v>48.938000000000002</v>
      </c>
      <c r="D15" s="65">
        <v>16.920000000000002</v>
      </c>
      <c r="E15" s="107">
        <v>66.5</v>
      </c>
      <c r="F15" s="65">
        <v>1.2</v>
      </c>
      <c r="G15" s="84" t="s">
        <v>31</v>
      </c>
      <c r="H15" s="61" t="s">
        <v>30</v>
      </c>
      <c r="I15" s="57"/>
      <c r="J15" s="1"/>
      <c r="K15" s="95" t="s">
        <v>24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F15" s="1"/>
      <c r="AG15" s="1"/>
      <c r="AH15" s="1"/>
      <c r="AI15" s="1"/>
    </row>
    <row r="16" spans="2:35" ht="14.4" customHeight="1" x14ac:dyDescent="0.55000000000000004">
      <c r="F16" s="1"/>
      <c r="G16" s="38"/>
      <c r="H16" s="50"/>
      <c r="I16" s="50"/>
      <c r="J16" s="1"/>
      <c r="K16" s="2"/>
      <c r="L16" s="2"/>
      <c r="M16" s="120" t="s">
        <v>6</v>
      </c>
      <c r="N16" s="120"/>
      <c r="O16" s="120"/>
      <c r="P16" s="120"/>
      <c r="Q16" s="139" t="s">
        <v>7</v>
      </c>
      <c r="R16" s="139"/>
      <c r="S16" s="139"/>
      <c r="T16" s="139" t="s">
        <v>8</v>
      </c>
      <c r="U16" s="139"/>
      <c r="V16" s="139"/>
      <c r="W16" s="139"/>
      <c r="X16" s="140" t="s">
        <v>9</v>
      </c>
      <c r="Y16" s="140"/>
      <c r="Z16" s="140"/>
      <c r="AA16" s="140"/>
      <c r="AB16" s="140" t="s">
        <v>10</v>
      </c>
      <c r="AC16" s="140"/>
      <c r="AD16" s="140"/>
      <c r="AE16" s="140"/>
      <c r="AF16" s="1"/>
      <c r="AG16" s="1"/>
      <c r="AH16" s="1"/>
      <c r="AI16" s="1"/>
    </row>
    <row r="17" spans="2:35" x14ac:dyDescent="0.55000000000000004">
      <c r="B17" s="95" t="s">
        <v>48</v>
      </c>
      <c r="F17" s="1"/>
      <c r="G17" s="1"/>
      <c r="H17" s="49"/>
      <c r="I17" s="49"/>
      <c r="J17" s="67"/>
      <c r="K17" s="120"/>
      <c r="L17" s="120" t="s">
        <v>55</v>
      </c>
      <c r="M17" s="120" t="s">
        <v>11</v>
      </c>
      <c r="N17" s="120" t="s">
        <v>12</v>
      </c>
      <c r="O17" s="120" t="s">
        <v>13</v>
      </c>
      <c r="P17" s="120" t="s">
        <v>14</v>
      </c>
      <c r="Q17" s="120" t="s">
        <v>15</v>
      </c>
      <c r="R17" s="120" t="s">
        <v>16</v>
      </c>
      <c r="S17" s="120" t="s">
        <v>17</v>
      </c>
      <c r="T17" s="120" t="s">
        <v>15</v>
      </c>
      <c r="U17" s="120" t="s">
        <v>16</v>
      </c>
      <c r="V17" s="120" t="s">
        <v>17</v>
      </c>
      <c r="W17" s="120" t="s">
        <v>18</v>
      </c>
      <c r="X17" s="120"/>
      <c r="Y17" s="120"/>
      <c r="Z17" s="120"/>
      <c r="AA17" s="120" t="s">
        <v>19</v>
      </c>
      <c r="AB17" s="145"/>
      <c r="AC17" s="145"/>
      <c r="AD17" s="102"/>
      <c r="AE17" s="102" t="s">
        <v>20</v>
      </c>
      <c r="AF17" s="1"/>
      <c r="AG17" s="1"/>
      <c r="AH17" s="1"/>
      <c r="AI17" s="1"/>
    </row>
    <row r="18" spans="2:35" ht="28.8" x14ac:dyDescent="0.55000000000000004">
      <c r="B18" s="59" t="s">
        <v>23</v>
      </c>
      <c r="C18" s="146" t="s">
        <v>57</v>
      </c>
      <c r="D18" s="146"/>
      <c r="E18" s="65" t="s">
        <v>0</v>
      </c>
      <c r="F18" s="66" t="s">
        <v>1</v>
      </c>
      <c r="G18" s="86" t="s">
        <v>2</v>
      </c>
      <c r="H18" s="86" t="s">
        <v>5</v>
      </c>
      <c r="I18" s="59" t="s">
        <v>18</v>
      </c>
      <c r="J18" s="67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45"/>
      <c r="AC18" s="145"/>
      <c r="AD18" s="102"/>
      <c r="AE18" s="103"/>
      <c r="AF18" s="1"/>
      <c r="AG18" s="1"/>
      <c r="AH18" s="1"/>
      <c r="AI18" s="1"/>
    </row>
    <row r="19" spans="2:35" x14ac:dyDescent="0.55000000000000004">
      <c r="B19" s="59">
        <v>1</v>
      </c>
      <c r="C19" s="147">
        <v>2</v>
      </c>
      <c r="D19" s="147"/>
      <c r="E19" s="77">
        <v>3</v>
      </c>
      <c r="F19" s="77">
        <v>4</v>
      </c>
      <c r="G19" s="59">
        <v>5</v>
      </c>
      <c r="H19" s="77">
        <v>6</v>
      </c>
      <c r="I19" s="85">
        <v>7</v>
      </c>
      <c r="J19" s="67"/>
      <c r="K19" s="104">
        <v>1</v>
      </c>
      <c r="L19" s="104">
        <v>2</v>
      </c>
      <c r="M19" s="104">
        <v>3</v>
      </c>
      <c r="N19" s="104">
        <v>4</v>
      </c>
      <c r="O19" s="104">
        <v>5</v>
      </c>
      <c r="P19" s="104">
        <v>6</v>
      </c>
      <c r="Q19" s="104">
        <v>7</v>
      </c>
      <c r="R19" s="104">
        <v>8</v>
      </c>
      <c r="S19" s="104">
        <v>9</v>
      </c>
      <c r="T19" s="104">
        <v>10</v>
      </c>
      <c r="U19" s="104">
        <v>11</v>
      </c>
      <c r="V19" s="104">
        <v>12</v>
      </c>
      <c r="W19" s="104">
        <v>13</v>
      </c>
      <c r="X19" s="104">
        <v>14</v>
      </c>
      <c r="Y19" s="104">
        <v>15</v>
      </c>
      <c r="Z19" s="104">
        <v>16</v>
      </c>
      <c r="AA19" s="104">
        <v>17</v>
      </c>
      <c r="AB19" s="104">
        <v>18</v>
      </c>
      <c r="AC19" s="104">
        <v>19</v>
      </c>
      <c r="AD19" s="104">
        <v>20</v>
      </c>
      <c r="AE19" s="104">
        <v>21</v>
      </c>
      <c r="AF19" s="1"/>
      <c r="AG19" s="1"/>
      <c r="AH19" s="1"/>
      <c r="AI19" s="1"/>
    </row>
    <row r="20" spans="2:35" x14ac:dyDescent="0.55000000000000004">
      <c r="B20" s="65" t="s">
        <v>4</v>
      </c>
      <c r="C20" s="146">
        <f t="shared" ref="C20:C25" si="0">S20</f>
        <v>2.1490026290683386</v>
      </c>
      <c r="D20" s="146"/>
      <c r="E20" s="78">
        <f t="shared" ref="E20:E25" si="1">IF(2*C20&lt; 5,340.5,IF(AND(2*C20&gt;= 5, 2*C20 &lt; 7),340.5 - 70.5 * (7 - 2*C20)/2,IF(AND(2*C20 &gt;= 7, 2*C20 &lt; 8),340.5 - 128 * (2*C20 - 7),IF(AND(2*C20 &gt;= 8, 2*C20 &lt; 8.28),212.5 - 5.357 * (2*C20 - 8),IF(2*C20 = 8.28,211,IF(AND(2*C20 &gt; 8.28, 2*C20 &lt; 20),180,IF(2*C20 &gt;= 20,6 + 174 * EXP(-3.5 * (2*C20 - 20)),"Ошибка")))))))</f>
        <v>340.5</v>
      </c>
      <c r="F20" s="59" t="str">
        <f t="shared" ref="F20:F25" si="2">IF(2*C20 &lt; 5,"Сингулярность",IF(AND(2*C20 &gt;= 5, 2*C20 &lt; 7),"Предбифуркация",IF(AND(2*C20 &gt;= 7, 2*C20&lt;= 8.28),"Бифуркация", IF(AND(2*C20&gt; 8.28, 2*C20 &lt; 20),"Стабилизация", IF(2*C20 &gt;= 20,"Распад", "Н/Д")))))</f>
        <v>Сингулярность</v>
      </c>
      <c r="G20" s="59" t="str">
        <f t="shared" ref="G20:G25" si="3">IF(AND(2*C20 &gt;= 8.28, 2*C20 &lt; 20),31 * EXP(-0.15 * (2*C20 - 8.28)),"")</f>
        <v/>
      </c>
      <c r="H20" s="79">
        <f>180+31 * EXP(-0.15 * (C20- 8.28))</f>
        <v>257.76075038549868</v>
      </c>
      <c r="I20" s="74">
        <f>(L20^1.5)*(0.000000000000386-13/137)*(2*PI())</f>
        <v>-1080.0176865984051</v>
      </c>
      <c r="J20" s="38"/>
      <c r="K20" s="97" t="s">
        <v>4</v>
      </c>
      <c r="L20" s="108">
        <f>E8</f>
        <v>148.6</v>
      </c>
      <c r="M20" s="98">
        <f>PI()</f>
        <v>3.1415926535897931</v>
      </c>
      <c r="N20" s="98">
        <f>MAX(L20:L25)</f>
        <v>353.2</v>
      </c>
      <c r="O20" s="98">
        <v>6.2831849999999996</v>
      </c>
      <c r="P20" s="99">
        <f>O20*L20/N20</f>
        <v>2.6434917638731594</v>
      </c>
      <c r="Q20" s="99">
        <f>LN(1 + P20) * COS(P20)</f>
        <v>-1.1358389434198912</v>
      </c>
      <c r="R20" s="99">
        <f t="shared" ref="R20:R25" si="4">LN(1 + P20) * SIN(P20)</f>
        <v>0.6177136851169075</v>
      </c>
      <c r="S20" s="100">
        <f t="shared" ref="S20:S25" si="5">0.5 * (P20^(3/2))</f>
        <v>2.1490026290683386</v>
      </c>
      <c r="T20" s="100">
        <f>(LN(1 + L20)*COS(L20))*0.000000000000386</f>
        <v>-1.1320570004136471E-12</v>
      </c>
      <c r="U20" s="100">
        <f xml:space="preserve"> (LN(1 + L20)*SIN(L20))*0.000000000000386</f>
        <v>-1.566915450658177E-12</v>
      </c>
      <c r="V20" s="100">
        <f xml:space="preserve"> (L20^1.5)*0.00000000000243</f>
        <v>4.4018423834519993E-9</v>
      </c>
      <c r="W20" s="100">
        <f>(L20^1.5)*(0.000000000000386-13/137)*(2*PI())</f>
        <v>-1080.0176865984051</v>
      </c>
      <c r="X20" s="101">
        <f t="shared" ref="X20:X25" si="6">DEGREES(((COS(M20)/(1+M20) - LN(1+M20)*SIN(M20))^2 +((SIN(M20))/((1+M20)+LN(1+M20)*COS(M20)))^2))</f>
        <v>3.34031842560639</v>
      </c>
      <c r="Y20" s="101">
        <f t="shared" ref="Y20:Y25" si="7">0.75*DEGREES((M20)^2)/(1 + 1/(1+M20))^2</f>
        <v>275.18393190030014</v>
      </c>
      <c r="Z20" s="101">
        <f t="shared" ref="Z20:Z25" si="8">0.75*DEGREES(M20)^1.5</f>
        <v>1811.2150617748298</v>
      </c>
      <c r="AA20" s="98">
        <f t="shared" ref="AA20:AA25" si="9">X20+Y20+Z20</f>
        <v>2089.7393121007362</v>
      </c>
      <c r="AB20" s="32">
        <f>(((1.5/(2*DEGREES(M20)))*((SIN(M20)/(1+M20))+LN(1+M20)*COS(M20)))-((COS(M20)/(1+M20)^2-SIN(M20)/(1+M20)-LN(1+M20)*SIN(M20))))</f>
        <v>5.2378386205221998E-2</v>
      </c>
      <c r="AC20" s="32">
        <f>((1.5*DEGREES(M20)))</f>
        <v>270</v>
      </c>
      <c r="AD20" s="32">
        <f>(S20^2 * ((1/(1+M20))^2) + (LN(1+M20)^2) + (1.5*(DEGREES(M20)^2 )))</f>
        <v>48602.288709259716</v>
      </c>
      <c r="AE20" s="36">
        <f>AB20*AC20/AD20</f>
        <v>2.9097733154108792E-4</v>
      </c>
      <c r="AF20" s="1"/>
      <c r="AG20" s="1"/>
      <c r="AH20" s="1"/>
      <c r="AI20" s="1"/>
    </row>
    <row r="21" spans="2:35" x14ac:dyDescent="0.55000000000000004">
      <c r="B21" s="65" t="s">
        <v>29</v>
      </c>
      <c r="C21" s="146">
        <f t="shared" si="0"/>
        <v>2.1598579924132024</v>
      </c>
      <c r="D21" s="146"/>
      <c r="E21" s="78">
        <f t="shared" si="1"/>
        <v>340.5</v>
      </c>
      <c r="F21" s="59" t="str">
        <f t="shared" si="2"/>
        <v>Сингулярность</v>
      </c>
      <c r="G21" s="59" t="str">
        <f t="shared" si="3"/>
        <v/>
      </c>
      <c r="H21" s="79">
        <f t="shared" ref="H21:H25" si="10">180+31 * EXP(-0.15 * (C21- 8.28))</f>
        <v>257.63423523613494</v>
      </c>
      <c r="I21" s="74">
        <f t="shared" ref="I21:I25" si="11">(L21^1.5)*(0.000000000000386-13/137)*(2*PI())</f>
        <v>-1085.4732333940779</v>
      </c>
      <c r="J21" s="38"/>
      <c r="K21" s="65" t="s">
        <v>29</v>
      </c>
      <c r="L21" s="109">
        <f>E9</f>
        <v>149.1</v>
      </c>
      <c r="M21" s="61">
        <f>PI()</f>
        <v>3.1415926535897931</v>
      </c>
      <c r="N21" s="61">
        <f t="shared" ref="N21:N23" si="12">MAX(L22:L50)</f>
        <v>353.2</v>
      </c>
      <c r="O21" s="61">
        <v>6.2831849999999996</v>
      </c>
      <c r="P21" s="72">
        <f t="shared" ref="P21:P23" si="13">O21*L21/N21</f>
        <v>2.6523864198754246</v>
      </c>
      <c r="Q21" s="72">
        <f t="shared" ref="Q21:Q25" si="14">LN(1 + P21) * COS(P21)</f>
        <v>-1.1434405670192369</v>
      </c>
      <c r="R21" s="72">
        <f t="shared" si="4"/>
        <v>0.60873229157305941</v>
      </c>
      <c r="S21" s="73">
        <f t="shared" si="5"/>
        <v>2.1598579924132024</v>
      </c>
      <c r="T21" s="73">
        <f t="shared" ref="T21:T25" si="15">(LN(1 + L21)*COS(L21))*0.000000000000386</f>
        <v>-2.4241560623926859E-13</v>
      </c>
      <c r="U21" s="73">
        <f t="shared" ref="U21:U25" si="16" xml:space="preserve"> (LN(1 + L21)*SIN(L21))*0.000000000000386</f>
        <v>-1.9191125145517287E-12</v>
      </c>
      <c r="V21" s="73">
        <f t="shared" ref="V21:V25" si="17" xml:space="preserve"> (L21^1.5)*0.00000000000243</f>
        <v>4.4240776277522408E-9</v>
      </c>
      <c r="W21" s="73">
        <f t="shared" ref="W21:W25" si="18">(L21^1.5)*(0.000000000000386-13/137)*(2*PI())</f>
        <v>-1085.4732333940779</v>
      </c>
      <c r="X21" s="2">
        <f t="shared" si="6"/>
        <v>3.34031842560639</v>
      </c>
      <c r="Y21" s="2">
        <f t="shared" si="7"/>
        <v>275.18393190030014</v>
      </c>
      <c r="Z21" s="2">
        <f t="shared" si="8"/>
        <v>1811.2150617748298</v>
      </c>
      <c r="AA21" s="61">
        <f t="shared" si="9"/>
        <v>2089.7393121007362</v>
      </c>
      <c r="AB21" s="32">
        <f t="shared" ref="AB21:AB25" si="19">(((1.5/(2*DEGREES(M21)))*((SIN(M21)/(1+M21))+LN(1+M21)*COS(M21)))-((COS(M21)/(1+M21)^2-SIN(M21)/(1+M21)-LN(1+M21)*SIN(M21))))</f>
        <v>5.2378386205221998E-2</v>
      </c>
      <c r="AC21" s="32">
        <f t="shared" ref="AC21:AC25" si="20">((1.5*DEGREES(M21)))</f>
        <v>270</v>
      </c>
      <c r="AD21" s="32">
        <f t="shared" ref="AD21:AD25" si="21">(S21^2 * ((1/(1+M21))^2) + (LN(1+M21)^2) + (1.5*(DEGREES(M21)^2 )))</f>
        <v>48602.291436177518</v>
      </c>
      <c r="AE21" s="36">
        <f t="shared" ref="AE21:AE25" si="22">AB21*AC21/AD21</f>
        <v>2.9097731521528843E-4</v>
      </c>
      <c r="AF21" s="1"/>
      <c r="AG21" s="1"/>
      <c r="AH21" s="1"/>
      <c r="AI21" s="1"/>
    </row>
    <row r="22" spans="2:35" x14ac:dyDescent="0.55000000000000004">
      <c r="B22" s="65" t="s">
        <v>28</v>
      </c>
      <c r="C22" s="146">
        <f t="shared" si="0"/>
        <v>2.6249151020424644</v>
      </c>
      <c r="D22" s="146"/>
      <c r="E22" s="78">
        <f t="shared" si="1"/>
        <v>278.80651469399373</v>
      </c>
      <c r="F22" s="59" t="str">
        <f t="shared" si="2"/>
        <v>Предбифуркация</v>
      </c>
      <c r="G22" s="59" t="str">
        <f t="shared" si="3"/>
        <v/>
      </c>
      <c r="H22" s="79">
        <f t="shared" si="10"/>
        <v>252.40315958952786</v>
      </c>
      <c r="I22" s="74">
        <f t="shared" si="11"/>
        <v>-1319.1955643414758</v>
      </c>
      <c r="J22" s="38"/>
      <c r="K22" s="65" t="s">
        <v>28</v>
      </c>
      <c r="L22" s="109">
        <f>E11</f>
        <v>169.8</v>
      </c>
      <c r="M22" s="61">
        <f>PI()</f>
        <v>3.1415926535897931</v>
      </c>
      <c r="N22" s="61">
        <f t="shared" si="12"/>
        <v>353.2</v>
      </c>
      <c r="O22" s="61">
        <v>6.2831849999999996</v>
      </c>
      <c r="P22" s="72">
        <f t="shared" si="13"/>
        <v>3.0206251783691958</v>
      </c>
      <c r="Q22" s="72">
        <f>LN(1 + P22) * COS(P22)</f>
        <v>-1.3812692736477723</v>
      </c>
      <c r="R22" s="72">
        <f t="shared" si="4"/>
        <v>0.16790846553039249</v>
      </c>
      <c r="S22" s="73">
        <f t="shared" si="5"/>
        <v>2.6249151020424644</v>
      </c>
      <c r="T22" s="73">
        <f t="shared" si="15"/>
        <v>1.9607488693733675E-12</v>
      </c>
      <c r="U22" s="73">
        <f t="shared" si="16"/>
        <v>3.0435863342161769E-13</v>
      </c>
      <c r="V22" s="73">
        <f t="shared" si="17"/>
        <v>5.376662826207426E-9</v>
      </c>
      <c r="W22" s="73">
        <f t="shared" si="18"/>
        <v>-1319.1955643414758</v>
      </c>
      <c r="X22" s="2">
        <f t="shared" si="6"/>
        <v>3.34031842560639</v>
      </c>
      <c r="Y22" s="2">
        <f t="shared" si="7"/>
        <v>275.18393190030014</v>
      </c>
      <c r="Z22" s="2">
        <f t="shared" si="8"/>
        <v>1811.2150617748298</v>
      </c>
      <c r="AA22" s="61">
        <f t="shared" si="9"/>
        <v>2089.7393121007362</v>
      </c>
      <c r="AB22" s="32">
        <f t="shared" si="19"/>
        <v>5.2378386205221998E-2</v>
      </c>
      <c r="AC22" s="32">
        <f t="shared" si="20"/>
        <v>270</v>
      </c>
      <c r="AD22" s="32">
        <f t="shared" si="21"/>
        <v>48602.421163923464</v>
      </c>
      <c r="AE22" s="36">
        <f t="shared" si="22"/>
        <v>2.9097653854963433E-4</v>
      </c>
      <c r="AF22" s="1"/>
      <c r="AG22" s="1"/>
      <c r="AH22" s="1"/>
      <c r="AI22" s="1"/>
    </row>
    <row r="23" spans="2:35" x14ac:dyDescent="0.55000000000000004">
      <c r="B23" s="65" t="s">
        <v>27</v>
      </c>
      <c r="C23" s="146">
        <f t="shared" si="0"/>
        <v>7.3981619690147262</v>
      </c>
      <c r="D23" s="146"/>
      <c r="E23" s="78">
        <f t="shared" si="1"/>
        <v>180</v>
      </c>
      <c r="F23" s="59" t="str">
        <f t="shared" si="2"/>
        <v>Стабилизация</v>
      </c>
      <c r="G23" s="59">
        <f t="shared" si="3"/>
        <v>11.664366704596558</v>
      </c>
      <c r="H23" s="79">
        <f t="shared" si="10"/>
        <v>215.38411211674924</v>
      </c>
      <c r="I23" s="74">
        <f t="shared" si="11"/>
        <v>-3718.0716611405801</v>
      </c>
      <c r="J23" s="38"/>
      <c r="K23" s="65" t="s">
        <v>27</v>
      </c>
      <c r="L23" s="109">
        <f>E12</f>
        <v>338.8</v>
      </c>
      <c r="M23" s="61">
        <f>PI()</f>
        <v>3.1415926535897931</v>
      </c>
      <c r="N23" s="61">
        <f t="shared" si="12"/>
        <v>353.2</v>
      </c>
      <c r="O23" s="61">
        <v>6.2831849999999996</v>
      </c>
      <c r="P23" s="72">
        <f t="shared" si="13"/>
        <v>6.0270189071347682</v>
      </c>
      <c r="Q23" s="72">
        <f t="shared" si="14"/>
        <v>1.8861387267782457</v>
      </c>
      <c r="R23" s="72">
        <f t="shared" si="4"/>
        <v>-0.49401898225575841</v>
      </c>
      <c r="S23" s="73">
        <f t="shared" si="5"/>
        <v>7.3981619690147262</v>
      </c>
      <c r="T23" s="73">
        <f t="shared" si="15"/>
        <v>1.9828961687801569E-12</v>
      </c>
      <c r="U23" s="73">
        <f t="shared" si="16"/>
        <v>-1.0627696461880433E-12</v>
      </c>
      <c r="V23" s="73">
        <f t="shared" si="17"/>
        <v>1.5153793892271757E-8</v>
      </c>
      <c r="W23" s="73">
        <f t="shared" si="18"/>
        <v>-3718.0716611405801</v>
      </c>
      <c r="X23" s="2">
        <f t="shared" si="6"/>
        <v>3.34031842560639</v>
      </c>
      <c r="Y23" s="2">
        <f t="shared" si="7"/>
        <v>275.18393190030014</v>
      </c>
      <c r="Z23" s="2">
        <f t="shared" si="8"/>
        <v>1811.2150617748298</v>
      </c>
      <c r="AA23" s="61">
        <f t="shared" si="9"/>
        <v>2089.7393121007362</v>
      </c>
      <c r="AB23" s="32">
        <f t="shared" si="19"/>
        <v>5.2378386205221998E-2</v>
      </c>
      <c r="AC23" s="32">
        <f t="shared" si="20"/>
        <v>270</v>
      </c>
      <c r="AD23" s="32">
        <f t="shared" si="21"/>
        <v>48605.210367431493</v>
      </c>
      <c r="AE23" s="36">
        <f t="shared" si="22"/>
        <v>2.9095984089981569E-4</v>
      </c>
      <c r="AF23" s="1"/>
      <c r="AG23" s="1"/>
      <c r="AH23" s="1"/>
      <c r="AI23" s="1"/>
    </row>
    <row r="24" spans="2:35" x14ac:dyDescent="0.55000000000000004">
      <c r="B24" s="65" t="s">
        <v>26</v>
      </c>
      <c r="C24" s="146">
        <f t="shared" si="0"/>
        <v>7.6584255562161028</v>
      </c>
      <c r="D24" s="146"/>
      <c r="E24" s="78">
        <f t="shared" si="1"/>
        <v>180</v>
      </c>
      <c r="F24" s="59" t="str">
        <f t="shared" si="2"/>
        <v>Стабилизация</v>
      </c>
      <c r="G24" s="59">
        <f t="shared" si="3"/>
        <v>10.788271131121537</v>
      </c>
      <c r="H24" s="79">
        <f t="shared" si="10"/>
        <v>214.02934943905191</v>
      </c>
      <c r="I24" s="74">
        <f t="shared" si="11"/>
        <v>-3848.8715371169455</v>
      </c>
      <c r="J24" s="38"/>
      <c r="K24" s="65" t="s">
        <v>26</v>
      </c>
      <c r="L24" s="109">
        <f>E13</f>
        <v>346.7</v>
      </c>
      <c r="M24" s="61">
        <f>PI()</f>
        <v>3.1415926535897931</v>
      </c>
      <c r="N24" s="75">
        <f>MAX(L20:L25)</f>
        <v>353.2</v>
      </c>
      <c r="O24" s="61">
        <v>6.2831849999999996</v>
      </c>
      <c r="P24" s="72">
        <f>O24*L24/N24</f>
        <v>6.1675544719705542</v>
      </c>
      <c r="Q24" s="72">
        <f t="shared" si="14"/>
        <v>1.9564121614594454</v>
      </c>
      <c r="R24" s="72">
        <f t="shared" si="4"/>
        <v>-0.22723522489478698</v>
      </c>
      <c r="S24" s="73">
        <f t="shared" si="5"/>
        <v>7.6584255562161028</v>
      </c>
      <c r="T24" s="73">
        <f t="shared" si="15"/>
        <v>9.7425376107173471E-13</v>
      </c>
      <c r="U24" s="73">
        <f t="shared" si="16"/>
        <v>2.0376902399259157E-12</v>
      </c>
      <c r="V24" s="73">
        <f t="shared" si="17"/>
        <v>1.5686896678427446E-8</v>
      </c>
      <c r="W24" s="73">
        <f t="shared" si="18"/>
        <v>-3848.8715371169455</v>
      </c>
      <c r="X24" s="2">
        <f t="shared" si="6"/>
        <v>3.34031842560639</v>
      </c>
      <c r="Y24" s="2">
        <f t="shared" si="7"/>
        <v>275.18393190030014</v>
      </c>
      <c r="Z24" s="2">
        <f t="shared" si="8"/>
        <v>1811.2150617748298</v>
      </c>
      <c r="AA24" s="61">
        <f t="shared" si="9"/>
        <v>2089.7393121007362</v>
      </c>
      <c r="AB24" s="32">
        <f t="shared" si="19"/>
        <v>5.2378386205221998E-2</v>
      </c>
      <c r="AC24" s="32">
        <f t="shared" si="20"/>
        <v>270</v>
      </c>
      <c r="AD24" s="32">
        <f t="shared" si="21"/>
        <v>48605.438824816389</v>
      </c>
      <c r="AE24" s="36">
        <f t="shared" si="22"/>
        <v>2.9095847331779258E-4</v>
      </c>
      <c r="AF24" s="1"/>
      <c r="AG24" s="1"/>
      <c r="AH24" s="1"/>
      <c r="AI24" s="1"/>
    </row>
    <row r="25" spans="2:35" x14ac:dyDescent="0.55000000000000004">
      <c r="B25" s="65" t="s">
        <v>25</v>
      </c>
      <c r="C25" s="146">
        <f t="shared" si="0"/>
        <v>7.8748043953724371</v>
      </c>
      <c r="D25" s="146"/>
      <c r="E25" s="78">
        <f t="shared" si="1"/>
        <v>180</v>
      </c>
      <c r="F25" s="59" t="str">
        <f t="shared" si="2"/>
        <v>Стабилизация</v>
      </c>
      <c r="G25" s="59">
        <f t="shared" si="3"/>
        <v>10.110210824420999</v>
      </c>
      <c r="H25" s="79">
        <f t="shared" si="10"/>
        <v>212.94259644728237</v>
      </c>
      <c r="I25" s="74">
        <f t="shared" si="11"/>
        <v>-3957.6163893258004</v>
      </c>
      <c r="J25" s="38"/>
      <c r="K25" s="65" t="s">
        <v>25</v>
      </c>
      <c r="L25" s="109">
        <f>E14</f>
        <v>353.2</v>
      </c>
      <c r="M25" s="61">
        <f>PI()</f>
        <v>3.1415926535897931</v>
      </c>
      <c r="N25" s="75">
        <f>MAX(L20:L25)</f>
        <v>353.2</v>
      </c>
      <c r="O25" s="61">
        <v>6.2831849999999996</v>
      </c>
      <c r="P25" s="72">
        <f>O25*L25/N25</f>
        <v>6.2831849999999996</v>
      </c>
      <c r="Q25" s="72">
        <f t="shared" si="14"/>
        <v>1.9855682665332801</v>
      </c>
      <c r="R25" s="72">
        <f t="shared" si="4"/>
        <v>-6.0992603987760077E-7</v>
      </c>
      <c r="S25" s="73">
        <f t="shared" si="5"/>
        <v>7.8748043953724371</v>
      </c>
      <c r="T25" s="73">
        <f t="shared" si="15"/>
        <v>5.1472040941436104E-13</v>
      </c>
      <c r="U25" s="73">
        <f t="shared" si="16"/>
        <v>2.2065269777544082E-12</v>
      </c>
      <c r="V25" s="73">
        <f t="shared" si="17"/>
        <v>1.6130109512230927E-8</v>
      </c>
      <c r="W25" s="73">
        <f t="shared" si="18"/>
        <v>-3957.6163893258004</v>
      </c>
      <c r="X25" s="2">
        <f t="shared" si="6"/>
        <v>3.34031842560639</v>
      </c>
      <c r="Y25" s="2">
        <f t="shared" si="7"/>
        <v>275.18393190030014</v>
      </c>
      <c r="Z25" s="2">
        <f t="shared" si="8"/>
        <v>1811.2150617748298</v>
      </c>
      <c r="AA25" s="61">
        <f t="shared" si="9"/>
        <v>2089.7393121007362</v>
      </c>
      <c r="AB25" s="32">
        <f t="shared" si="19"/>
        <v>5.2378386205221998E-2</v>
      </c>
      <c r="AC25" s="32">
        <f t="shared" si="20"/>
        <v>270</v>
      </c>
      <c r="AD25" s="32">
        <f t="shared" si="21"/>
        <v>48605.634773249411</v>
      </c>
      <c r="AE25" s="36">
        <f t="shared" si="22"/>
        <v>2.9095730034973678E-4</v>
      </c>
      <c r="AF25" s="1"/>
      <c r="AG25" s="1"/>
      <c r="AH25" s="1"/>
      <c r="AI25" s="1"/>
    </row>
    <row r="26" spans="2:35" s="1" customFormat="1" x14ac:dyDescent="0.55000000000000004">
      <c r="B26" s="8"/>
      <c r="C26" s="8"/>
      <c r="D26" s="44"/>
      <c r="E26" s="64"/>
      <c r="F26" s="64"/>
      <c r="G26" s="76"/>
      <c r="J26" s="38"/>
      <c r="K26" s="8"/>
      <c r="L26" s="58"/>
      <c r="M26" s="58"/>
      <c r="N26" s="58"/>
      <c r="O26" s="58"/>
      <c r="P26" s="69"/>
      <c r="Q26" s="69"/>
      <c r="R26" s="69"/>
      <c r="S26" s="70"/>
      <c r="T26" s="71"/>
      <c r="U26" s="71"/>
      <c r="V26" s="71"/>
      <c r="W26" s="71"/>
      <c r="X26" s="58"/>
      <c r="Y26" s="58"/>
      <c r="Z26" s="58"/>
      <c r="AA26" s="58"/>
      <c r="AB26" s="69"/>
      <c r="AC26" s="69"/>
      <c r="AD26" s="69"/>
      <c r="AE26" s="69"/>
    </row>
    <row r="27" spans="2:35" x14ac:dyDescent="0.55000000000000004">
      <c r="F27" s="1"/>
      <c r="G27" s="1"/>
      <c r="H27" s="1"/>
      <c r="I27" s="1"/>
      <c r="J27" s="38"/>
      <c r="K27" s="49"/>
      <c r="L27" s="58"/>
      <c r="M27" s="58"/>
      <c r="N27" s="58"/>
      <c r="O27" s="58"/>
      <c r="P27" s="69"/>
      <c r="Q27" s="69"/>
      <c r="R27" s="69"/>
      <c r="S27" s="70"/>
      <c r="T27" s="71"/>
      <c r="U27" s="71"/>
      <c r="V27" s="71"/>
      <c r="W27" s="71"/>
      <c r="X27" s="58"/>
      <c r="Y27" s="58"/>
      <c r="Z27" s="58"/>
      <c r="AA27" s="58"/>
      <c r="AB27" s="69"/>
      <c r="AC27" s="69"/>
      <c r="AD27" s="69"/>
      <c r="AE27" s="69"/>
      <c r="AF27" s="1"/>
      <c r="AG27" s="1"/>
      <c r="AH27" s="1"/>
      <c r="AI27" s="1"/>
    </row>
    <row r="28" spans="2:35" x14ac:dyDescent="0.55000000000000004">
      <c r="K28" s="58"/>
      <c r="L28" s="58"/>
      <c r="M28" s="58"/>
      <c r="N28" s="58"/>
      <c r="O28" s="58"/>
      <c r="P28" s="69"/>
      <c r="Q28" s="69"/>
      <c r="R28" s="69"/>
      <c r="S28" s="70"/>
      <c r="T28" s="71"/>
      <c r="U28" s="71"/>
      <c r="V28" s="71"/>
      <c r="W28" s="71"/>
      <c r="X28" s="58"/>
      <c r="Y28" s="58"/>
      <c r="Z28" s="58"/>
      <c r="AA28" s="58"/>
      <c r="AB28" s="69"/>
      <c r="AC28" s="69"/>
      <c r="AD28" s="69"/>
      <c r="AE28" s="69"/>
    </row>
    <row r="29" spans="2:35" x14ac:dyDescent="0.55000000000000004">
      <c r="K29" s="58"/>
      <c r="L29" s="58"/>
      <c r="M29" s="58"/>
      <c r="N29" s="58"/>
      <c r="O29" s="58"/>
      <c r="P29" s="69"/>
      <c r="Q29" s="69"/>
      <c r="R29" s="69"/>
      <c r="S29" s="70"/>
      <c r="T29" s="71"/>
      <c r="U29" s="71"/>
      <c r="V29" s="71"/>
      <c r="W29" s="71"/>
      <c r="X29" s="58"/>
      <c r="Y29" s="58"/>
      <c r="Z29" s="58"/>
      <c r="AA29" s="58"/>
      <c r="AB29" s="68"/>
      <c r="AC29" s="69"/>
      <c r="AD29" s="69"/>
      <c r="AE29" s="69"/>
    </row>
    <row r="30" spans="2:35" s="1" customFormat="1" x14ac:dyDescent="0.55000000000000004">
      <c r="B30" s="64"/>
      <c r="C30" s="64"/>
      <c r="D30" s="64"/>
      <c r="E30" s="63"/>
      <c r="F30" s="8"/>
      <c r="G30" s="9"/>
      <c r="H30" s="121"/>
      <c r="I30" s="121"/>
      <c r="J30" s="121"/>
      <c r="K30" s="58"/>
      <c r="L30" s="58"/>
      <c r="M30" s="58"/>
      <c r="N30" s="58"/>
      <c r="O30" s="58"/>
      <c r="P30" s="69"/>
      <c r="Q30" s="69"/>
      <c r="R30" s="69"/>
      <c r="S30" s="70"/>
      <c r="T30" s="71"/>
      <c r="U30" s="71"/>
      <c r="V30" s="71"/>
      <c r="W30" s="71"/>
      <c r="X30" s="58"/>
      <c r="Y30" s="58"/>
      <c r="Z30" s="58"/>
      <c r="AA30" s="58"/>
      <c r="AB30" s="69"/>
      <c r="AC30" s="69"/>
      <c r="AD30" s="69"/>
      <c r="AE30" s="69"/>
    </row>
    <row r="31" spans="2:35" s="1" customFormat="1" x14ac:dyDescent="0.55000000000000004">
      <c r="B31" s="57"/>
      <c r="C31" s="80"/>
      <c r="D31" s="80"/>
      <c r="E31" s="80"/>
      <c r="F31" s="76"/>
      <c r="G31" s="76"/>
      <c r="H31" s="144"/>
      <c r="I31" s="144"/>
      <c r="J31" s="144"/>
      <c r="K31" s="58"/>
      <c r="L31" s="58"/>
      <c r="M31" s="58"/>
      <c r="N31" s="58"/>
      <c r="O31" s="58"/>
      <c r="P31" s="69"/>
      <c r="Q31" s="69"/>
      <c r="R31" s="69"/>
      <c r="S31" s="70"/>
      <c r="T31" s="71"/>
      <c r="U31" s="71"/>
      <c r="V31" s="71"/>
      <c r="W31" s="71"/>
      <c r="X31" s="58"/>
      <c r="Y31" s="58"/>
      <c r="Z31" s="58"/>
      <c r="AA31" s="58"/>
      <c r="AB31" s="69"/>
      <c r="AC31" s="69"/>
      <c r="AD31" s="69"/>
      <c r="AE31" s="69"/>
    </row>
    <row r="32" spans="2:35" s="1" customFormat="1" x14ac:dyDescent="0.55000000000000004">
      <c r="B32" s="57"/>
      <c r="C32" s="80"/>
      <c r="D32" s="80"/>
      <c r="E32" s="80"/>
      <c r="F32" s="76"/>
      <c r="G32" s="76"/>
      <c r="H32" s="144"/>
      <c r="I32" s="144"/>
      <c r="J32" s="144"/>
      <c r="K32" s="58"/>
      <c r="L32" s="58"/>
      <c r="M32" s="58"/>
      <c r="N32" s="58"/>
      <c r="O32" s="58"/>
      <c r="P32" s="69"/>
      <c r="Q32" s="69"/>
      <c r="R32" s="69"/>
      <c r="S32" s="70"/>
      <c r="T32" s="71"/>
      <c r="U32" s="71"/>
      <c r="V32" s="71"/>
      <c r="W32" s="71"/>
      <c r="X32" s="58"/>
      <c r="Y32" s="58"/>
      <c r="Z32" s="58"/>
      <c r="AA32" s="58"/>
      <c r="AB32" s="69"/>
      <c r="AC32" s="69"/>
      <c r="AD32" s="69"/>
      <c r="AE32" s="69"/>
    </row>
    <row r="33" spans="2:31" s="1" customFormat="1" x14ac:dyDescent="0.55000000000000004">
      <c r="B33" s="57"/>
      <c r="C33" s="80"/>
      <c r="D33" s="80"/>
      <c r="E33" s="80"/>
      <c r="F33" s="76"/>
      <c r="G33" s="76"/>
      <c r="H33" s="144"/>
      <c r="I33" s="144"/>
      <c r="J33" s="144"/>
      <c r="K33" s="58"/>
      <c r="L33" s="58"/>
      <c r="M33" s="58"/>
      <c r="N33" s="58"/>
      <c r="O33" s="58"/>
      <c r="P33" s="69"/>
      <c r="Q33" s="69"/>
      <c r="R33" s="69"/>
      <c r="S33" s="70"/>
      <c r="T33" s="71"/>
      <c r="U33" s="71"/>
      <c r="V33" s="71"/>
      <c r="W33" s="71"/>
      <c r="X33" s="58"/>
      <c r="Y33" s="58"/>
      <c r="Z33" s="58"/>
      <c r="AA33" s="58"/>
      <c r="AB33" s="69"/>
      <c r="AC33" s="69"/>
      <c r="AD33" s="69"/>
      <c r="AE33" s="69"/>
    </row>
    <row r="34" spans="2:31" s="1" customFormat="1" x14ac:dyDescent="0.55000000000000004">
      <c r="B34" s="57"/>
      <c r="C34" s="80"/>
      <c r="D34" s="80"/>
      <c r="E34" s="80"/>
      <c r="F34" s="76"/>
      <c r="G34" s="76"/>
      <c r="H34" s="144"/>
      <c r="I34" s="144"/>
      <c r="J34" s="144"/>
      <c r="K34" s="58"/>
      <c r="L34" s="58"/>
      <c r="M34" s="58"/>
      <c r="N34" s="58"/>
      <c r="O34" s="58"/>
      <c r="P34" s="69"/>
      <c r="Q34" s="69"/>
      <c r="R34" s="69"/>
      <c r="S34" s="70"/>
      <c r="T34" s="71"/>
      <c r="U34" s="71"/>
      <c r="V34" s="71"/>
      <c r="W34" s="71"/>
      <c r="X34" s="58"/>
      <c r="Y34" s="58"/>
      <c r="Z34" s="58"/>
      <c r="AA34" s="58"/>
      <c r="AB34" s="69"/>
      <c r="AC34" s="69"/>
      <c r="AD34" s="69"/>
      <c r="AE34" s="69"/>
    </row>
    <row r="35" spans="2:31" s="1" customFormat="1" x14ac:dyDescent="0.55000000000000004">
      <c r="K35" s="58"/>
      <c r="L35" s="58"/>
      <c r="M35" s="58"/>
      <c r="N35" s="58"/>
      <c r="O35" s="58"/>
      <c r="P35" s="69"/>
      <c r="Q35" s="69"/>
      <c r="R35" s="69"/>
      <c r="S35" s="70"/>
      <c r="T35" s="71"/>
      <c r="U35" s="71"/>
      <c r="V35" s="71"/>
      <c r="W35" s="71"/>
      <c r="X35" s="58"/>
      <c r="Y35" s="58"/>
      <c r="Z35" s="58"/>
      <c r="AA35" s="58"/>
      <c r="AB35" s="69"/>
      <c r="AC35" s="69"/>
      <c r="AD35" s="69"/>
      <c r="AE35" s="69"/>
    </row>
    <row r="36" spans="2:31" x14ac:dyDescent="0.55000000000000004">
      <c r="K36" s="58"/>
      <c r="L36" s="58"/>
      <c r="M36" s="58"/>
      <c r="N36" s="58"/>
      <c r="O36" s="58"/>
      <c r="P36" s="69"/>
      <c r="Q36" s="69"/>
      <c r="R36" s="69"/>
      <c r="S36" s="70"/>
      <c r="T36" s="71"/>
      <c r="U36" s="71"/>
      <c r="V36" s="71"/>
      <c r="W36" s="71"/>
      <c r="X36" s="58"/>
      <c r="Y36" s="58"/>
      <c r="Z36" s="58"/>
      <c r="AA36" s="58"/>
      <c r="AB36" s="69"/>
      <c r="AC36" s="69"/>
      <c r="AD36" s="69"/>
      <c r="AE36" s="69"/>
    </row>
    <row r="37" spans="2:31" x14ac:dyDescent="0.55000000000000004">
      <c r="K37" s="58"/>
      <c r="L37" s="58"/>
      <c r="M37" s="58"/>
      <c r="N37" s="58"/>
      <c r="O37" s="58"/>
      <c r="P37" s="69"/>
      <c r="Q37" s="69"/>
      <c r="R37" s="69"/>
      <c r="S37" s="70"/>
      <c r="T37" s="71"/>
      <c r="U37" s="71"/>
      <c r="V37" s="71"/>
      <c r="W37" s="71"/>
      <c r="X37" s="58"/>
      <c r="Y37" s="58"/>
      <c r="Z37" s="58"/>
      <c r="AA37" s="58"/>
      <c r="AB37" s="69"/>
      <c r="AC37" s="69"/>
      <c r="AD37" s="69"/>
      <c r="AE37" s="69"/>
    </row>
    <row r="38" spans="2:31" x14ac:dyDescent="0.55000000000000004">
      <c r="K38" s="58"/>
      <c r="L38" s="58"/>
      <c r="M38" s="58"/>
      <c r="N38" s="58"/>
      <c r="O38" s="58"/>
      <c r="P38" s="69"/>
      <c r="Q38" s="69"/>
      <c r="R38" s="69"/>
      <c r="S38" s="70"/>
      <c r="T38" s="71"/>
      <c r="U38" s="71"/>
      <c r="V38" s="71"/>
      <c r="W38" s="71"/>
      <c r="X38" s="58"/>
      <c r="Y38" s="58"/>
      <c r="Z38" s="58"/>
      <c r="AA38" s="58"/>
      <c r="AB38" s="69"/>
      <c r="AC38" s="69"/>
      <c r="AD38" s="69"/>
      <c r="AE38" s="69"/>
    </row>
    <row r="39" spans="2:31" x14ac:dyDescent="0.55000000000000004">
      <c r="K39" s="58"/>
      <c r="L39" s="58"/>
      <c r="M39" s="58"/>
      <c r="N39" s="58"/>
      <c r="O39" s="58"/>
      <c r="P39" s="69"/>
      <c r="Q39" s="69"/>
      <c r="R39" s="69"/>
      <c r="S39" s="70"/>
      <c r="T39" s="71"/>
      <c r="U39" s="71"/>
      <c r="V39" s="71"/>
      <c r="W39" s="71"/>
      <c r="X39" s="58"/>
      <c r="Y39" s="58"/>
      <c r="Z39" s="58"/>
      <c r="AA39" s="58"/>
      <c r="AB39" s="69"/>
      <c r="AC39" s="69"/>
      <c r="AD39" s="69"/>
      <c r="AE39" s="69"/>
    </row>
    <row r="40" spans="2:31" x14ac:dyDescent="0.55000000000000004">
      <c r="K40" s="58"/>
      <c r="L40" s="58"/>
      <c r="M40" s="58"/>
      <c r="N40" s="58"/>
      <c r="O40" s="58"/>
      <c r="P40" s="69"/>
      <c r="Q40" s="69"/>
      <c r="R40" s="69"/>
      <c r="S40" s="70"/>
      <c r="T40" s="71"/>
      <c r="U40" s="71"/>
      <c r="V40" s="71"/>
      <c r="W40" s="71"/>
      <c r="X40" s="58"/>
      <c r="Y40" s="58"/>
      <c r="Z40" s="58"/>
      <c r="AA40" s="58"/>
      <c r="AB40" s="69"/>
      <c r="AC40" s="69"/>
      <c r="AD40" s="69"/>
      <c r="AE40" s="69"/>
    </row>
    <row r="41" spans="2:31" x14ac:dyDescent="0.55000000000000004">
      <c r="K41" s="58"/>
      <c r="L41" s="58"/>
      <c r="M41" s="58"/>
      <c r="N41" s="58"/>
      <c r="O41" s="58"/>
      <c r="P41" s="69"/>
      <c r="Q41" s="69"/>
      <c r="R41" s="69"/>
      <c r="S41" s="70"/>
      <c r="T41" s="71"/>
      <c r="U41" s="71"/>
      <c r="V41" s="71"/>
      <c r="W41" s="71"/>
      <c r="X41" s="58"/>
      <c r="Y41" s="58"/>
      <c r="Z41" s="58"/>
      <c r="AA41" s="58"/>
      <c r="AB41" s="69"/>
      <c r="AC41" s="69"/>
      <c r="AD41" s="69"/>
      <c r="AE41" s="69"/>
    </row>
    <row r="42" spans="2:31" x14ac:dyDescent="0.55000000000000004">
      <c r="K42" s="58"/>
      <c r="L42" s="58"/>
      <c r="M42" s="58"/>
      <c r="N42" s="58"/>
      <c r="O42" s="58"/>
      <c r="P42" s="69"/>
      <c r="Q42" s="69"/>
      <c r="R42" s="69"/>
      <c r="S42" s="70"/>
      <c r="T42" s="71"/>
      <c r="U42" s="71"/>
      <c r="V42" s="71"/>
      <c r="W42" s="71"/>
      <c r="X42" s="58"/>
      <c r="Y42" s="58"/>
      <c r="Z42" s="58"/>
      <c r="AA42" s="58"/>
      <c r="AB42" s="69"/>
      <c r="AC42" s="69"/>
      <c r="AD42" s="69"/>
      <c r="AE42" s="69"/>
    </row>
    <row r="43" spans="2:31" x14ac:dyDescent="0.55000000000000004">
      <c r="K43" s="58"/>
      <c r="L43" s="58"/>
      <c r="M43" s="58"/>
      <c r="N43" s="58"/>
      <c r="O43" s="58"/>
      <c r="P43" s="69"/>
      <c r="Q43" s="69"/>
      <c r="R43" s="69"/>
      <c r="S43" s="70"/>
      <c r="T43" s="71"/>
      <c r="U43" s="71"/>
      <c r="V43" s="71"/>
      <c r="W43" s="71"/>
      <c r="X43" s="58"/>
      <c r="Y43" s="58"/>
      <c r="Z43" s="58"/>
      <c r="AA43" s="58"/>
      <c r="AB43" s="69"/>
      <c r="AC43" s="69"/>
      <c r="AD43" s="69"/>
      <c r="AE43" s="69"/>
    </row>
    <row r="44" spans="2:31" x14ac:dyDescent="0.55000000000000004">
      <c r="K44" s="58"/>
      <c r="L44" s="58"/>
      <c r="M44" s="58"/>
      <c r="N44" s="58"/>
      <c r="O44" s="58"/>
      <c r="P44" s="69"/>
      <c r="Q44" s="69"/>
      <c r="R44" s="69"/>
      <c r="S44" s="70"/>
      <c r="T44" s="71"/>
      <c r="U44" s="71"/>
      <c r="V44" s="71"/>
      <c r="W44" s="71"/>
      <c r="X44" s="58"/>
      <c r="Y44" s="58"/>
      <c r="Z44" s="58"/>
      <c r="AA44" s="58"/>
      <c r="AB44" s="69"/>
      <c r="AC44" s="69"/>
      <c r="AD44" s="69"/>
      <c r="AE44" s="69"/>
    </row>
    <row r="45" spans="2:31" x14ac:dyDescent="0.55000000000000004">
      <c r="K45" s="58"/>
      <c r="L45" s="58"/>
      <c r="M45" s="58"/>
      <c r="N45" s="58"/>
      <c r="O45" s="58"/>
      <c r="P45" s="69"/>
      <c r="Q45" s="69"/>
      <c r="R45" s="69"/>
      <c r="S45" s="70"/>
      <c r="T45" s="71"/>
      <c r="U45" s="71"/>
      <c r="V45" s="71"/>
      <c r="W45" s="71"/>
      <c r="X45" s="58"/>
      <c r="Y45" s="58"/>
      <c r="Z45" s="58"/>
      <c r="AA45" s="58"/>
      <c r="AB45" s="69"/>
      <c r="AC45" s="69"/>
      <c r="AD45" s="69"/>
      <c r="AE45" s="69"/>
    </row>
    <row r="46" spans="2:31" x14ac:dyDescent="0.55000000000000004">
      <c r="K46" s="58"/>
      <c r="L46" s="58"/>
      <c r="M46" s="58"/>
      <c r="N46" s="58"/>
      <c r="O46" s="58"/>
      <c r="P46" s="69"/>
      <c r="Q46" s="69"/>
      <c r="R46" s="69"/>
      <c r="S46" s="70"/>
      <c r="T46" s="71"/>
      <c r="U46" s="71"/>
      <c r="V46" s="71"/>
      <c r="W46" s="71"/>
      <c r="X46" s="58"/>
      <c r="Y46" s="58"/>
      <c r="Z46" s="58"/>
      <c r="AA46" s="58"/>
      <c r="AB46" s="69"/>
      <c r="AC46" s="69"/>
      <c r="AD46" s="69"/>
      <c r="AE46" s="69"/>
    </row>
    <row r="47" spans="2:31" x14ac:dyDescent="0.55000000000000004">
      <c r="K47" s="58"/>
      <c r="L47" s="58"/>
      <c r="M47" s="58"/>
      <c r="N47" s="58"/>
      <c r="O47" s="58"/>
      <c r="P47" s="69"/>
      <c r="Q47" s="69"/>
      <c r="R47" s="69"/>
      <c r="S47" s="70"/>
      <c r="T47" s="71"/>
      <c r="U47" s="71"/>
      <c r="V47" s="71"/>
      <c r="W47" s="71"/>
      <c r="X47" s="58"/>
      <c r="Y47" s="58"/>
      <c r="Z47" s="58"/>
      <c r="AA47" s="58"/>
      <c r="AB47" s="69"/>
      <c r="AC47" s="69"/>
      <c r="AD47" s="69"/>
      <c r="AE47" s="69"/>
    </row>
  </sheetData>
  <mergeCells count="46">
    <mergeCell ref="C24:D24"/>
    <mergeCell ref="C25:D25"/>
    <mergeCell ref="C19:D19"/>
    <mergeCell ref="C18:D18"/>
    <mergeCell ref="C20:D20"/>
    <mergeCell ref="C21:D21"/>
    <mergeCell ref="C22:D22"/>
    <mergeCell ref="C23:D23"/>
    <mergeCell ref="H33:J33"/>
    <mergeCell ref="H34:J34"/>
    <mergeCell ref="AA17:AA18"/>
    <mergeCell ref="AB17:AB18"/>
    <mergeCell ref="AC17:AC18"/>
    <mergeCell ref="H30:J30"/>
    <mergeCell ref="H31:J31"/>
    <mergeCell ref="H32:J32"/>
    <mergeCell ref="K17:K18"/>
    <mergeCell ref="L17:L18"/>
    <mergeCell ref="M17:M18"/>
    <mergeCell ref="N17:N18"/>
    <mergeCell ref="O17:O18"/>
    <mergeCell ref="P17:P18"/>
    <mergeCell ref="Q17:Q18"/>
    <mergeCell ref="R17:R18"/>
    <mergeCell ref="B2:D4"/>
    <mergeCell ref="B5:H5"/>
    <mergeCell ref="B6:G6"/>
    <mergeCell ref="M16:P16"/>
    <mergeCell ref="Q16:S16"/>
    <mergeCell ref="K6:O6"/>
    <mergeCell ref="K9:M9"/>
    <mergeCell ref="K10:M10"/>
    <mergeCell ref="K11:M11"/>
    <mergeCell ref="K7:O7"/>
    <mergeCell ref="K12:M12"/>
    <mergeCell ref="T16:W16"/>
    <mergeCell ref="X16:AA16"/>
    <mergeCell ref="AB16:AE16"/>
    <mergeCell ref="S17:S18"/>
    <mergeCell ref="T17:T18"/>
    <mergeCell ref="U17:U18"/>
    <mergeCell ref="V17:V18"/>
    <mergeCell ref="W17:W18"/>
    <mergeCell ref="X17:X18"/>
    <mergeCell ref="Y17:Y18"/>
    <mergeCell ref="Z17:Z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Звезда (большие)</vt:lpstr>
      <vt:lpstr>Звезда (малые)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2025-08-01T18:39:00Z</dcterms:modified>
</cp:coreProperties>
</file>