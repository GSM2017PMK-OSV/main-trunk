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</sheets>
  <definedNames>
    <definedName name="_xlnm._FilterDatabase" localSheetId="1" hidden="1">Лист2!$E$1:$E$295</definedName>
    <definedName name="_xlnm.Print_Titles" localSheetId="1">Лист2!$4:$4</definedName>
  </definedNames>
  <calcPr calcId="152511"/>
</workbook>
</file>

<file path=xl/calcChain.xml><?xml version="1.0" encoding="utf-8"?>
<calcChain xmlns="http://schemas.openxmlformats.org/spreadsheetml/2006/main">
  <c r="T11" i="1" l="1"/>
  <c r="R11" i="1" l="1"/>
  <c r="U11" i="1" s="1"/>
  <c r="Q11" i="1"/>
  <c r="O11" i="1"/>
  <c r="M11" i="1"/>
  <c r="K11" i="1"/>
  <c r="I11" i="1"/>
  <c r="T16" i="1"/>
  <c r="R16" i="1"/>
  <c r="U16" i="1" s="1"/>
  <c r="Q16" i="1"/>
  <c r="O16" i="1"/>
  <c r="M16" i="1"/>
  <c r="K16" i="1"/>
  <c r="I16" i="1"/>
  <c r="D30" i="1" l="1"/>
  <c r="M29" i="1"/>
  <c r="E29" i="1"/>
  <c r="T13" i="1" l="1"/>
  <c r="R13" i="1"/>
  <c r="U13" i="1" s="1"/>
  <c r="Q13" i="1"/>
  <c r="O13" i="1"/>
  <c r="M13" i="1"/>
  <c r="K13" i="1"/>
  <c r="I13" i="1"/>
  <c r="T10" i="1"/>
  <c r="R10" i="1"/>
  <c r="U10" i="1" s="1"/>
  <c r="Q10" i="1"/>
  <c r="O10" i="1"/>
  <c r="M10" i="1"/>
  <c r="K10" i="1"/>
  <c r="I10" i="1"/>
  <c r="T9" i="1"/>
  <c r="R9" i="1"/>
  <c r="U9" i="1" s="1"/>
  <c r="Q9" i="1"/>
  <c r="O9" i="1"/>
  <c r="M9" i="1"/>
  <c r="K9" i="1"/>
  <c r="I9" i="1"/>
  <c r="M12" i="1" l="1"/>
  <c r="R6" i="1"/>
  <c r="M5" i="1"/>
  <c r="R5" i="1"/>
  <c r="Q18" i="1" l="1"/>
  <c r="Q8" i="1"/>
  <c r="O14" i="1" l="1"/>
  <c r="O6" i="1" l="1"/>
  <c r="O7" i="1"/>
  <c r="O8" i="1"/>
  <c r="O12" i="1"/>
  <c r="O15" i="1"/>
  <c r="O17" i="1"/>
  <c r="O18" i="1"/>
  <c r="O19" i="1"/>
  <c r="K6" i="1" l="1"/>
  <c r="K7" i="1"/>
  <c r="K8" i="1"/>
  <c r="K12" i="1"/>
  <c r="K14" i="1"/>
  <c r="K15" i="1"/>
  <c r="K17" i="1"/>
  <c r="K18" i="1"/>
  <c r="K19" i="1"/>
  <c r="K5" i="1"/>
  <c r="K346" i="2" l="1"/>
  <c r="K384" i="2" l="1"/>
  <c r="K374" i="2"/>
  <c r="K366" i="2"/>
  <c r="K320" i="2"/>
  <c r="K313" i="2"/>
  <c r="K301" i="2"/>
  <c r="K293" i="2"/>
  <c r="K272" i="2"/>
  <c r="K254" i="2"/>
  <c r="K221" i="2"/>
  <c r="K200" i="2"/>
  <c r="K180" i="2"/>
  <c r="K165" i="2"/>
  <c r="K135" i="2"/>
  <c r="K116" i="2"/>
  <c r="K102" i="2"/>
  <c r="K82" i="2"/>
  <c r="K56" i="2"/>
  <c r="K32" i="2"/>
  <c r="E351" i="2"/>
  <c r="E315" i="2" l="1"/>
  <c r="E295" i="2"/>
  <c r="E271" i="2"/>
  <c r="E263" i="2"/>
  <c r="E230" i="2"/>
  <c r="E210" i="2"/>
  <c r="E184" i="2"/>
  <c r="E170" i="2"/>
  <c r="E163" i="2"/>
  <c r="E135" i="2"/>
  <c r="E115" i="2"/>
  <c r="E97" i="2" l="1"/>
  <c r="E69" i="2"/>
  <c r="E77" i="2"/>
  <c r="E49" i="2"/>
  <c r="E19" i="2"/>
  <c r="U6" i="1" l="1"/>
  <c r="R7" i="1"/>
  <c r="U7" i="1" s="1"/>
  <c r="R8" i="1"/>
  <c r="U8" i="1" s="1"/>
  <c r="R12" i="1"/>
  <c r="U12" i="1" s="1"/>
  <c r="R14" i="1"/>
  <c r="U14" i="1" s="1"/>
  <c r="R15" i="1"/>
  <c r="U15" i="1" s="1"/>
  <c r="R17" i="1"/>
  <c r="U17" i="1" s="1"/>
  <c r="R18" i="1"/>
  <c r="U18" i="1" s="1"/>
  <c r="R19" i="1"/>
  <c r="U19" i="1" s="1"/>
  <c r="M6" i="1"/>
  <c r="M7" i="1"/>
  <c r="M8" i="1"/>
  <c r="M14" i="1"/>
  <c r="M15" i="1"/>
  <c r="M17" i="1"/>
  <c r="M18" i="1"/>
  <c r="M19" i="1"/>
  <c r="T6" i="1" l="1"/>
  <c r="T7" i="1"/>
  <c r="T8" i="1"/>
  <c r="T12" i="1"/>
  <c r="T14" i="1"/>
  <c r="T15" i="1"/>
  <c r="T17" i="1"/>
  <c r="T18" i="1"/>
  <c r="T19" i="1"/>
  <c r="T5" i="1"/>
  <c r="U5" i="1"/>
  <c r="Q6" i="1"/>
  <c r="Q7" i="1"/>
  <c r="Q12" i="1"/>
  <c r="Q14" i="1"/>
  <c r="Q15" i="1"/>
  <c r="Q17" i="1"/>
  <c r="Q19" i="1"/>
  <c r="I6" i="1"/>
  <c r="I7" i="1"/>
  <c r="I8" i="1"/>
  <c r="I12" i="1"/>
  <c r="I14" i="1"/>
  <c r="I15" i="1"/>
  <c r="I17" i="1"/>
  <c r="I18" i="1"/>
  <c r="I19" i="1"/>
  <c r="I5" i="1"/>
  <c r="Q5" i="1" l="1"/>
  <c r="O5" i="1"/>
</calcChain>
</file>

<file path=xl/sharedStrings.xml><?xml version="1.0" encoding="utf-8"?>
<sst xmlns="http://schemas.openxmlformats.org/spreadsheetml/2006/main" count="1599" uniqueCount="419">
  <si>
    <t>№ п/п</t>
  </si>
  <si>
    <t>Преподаватель</t>
  </si>
  <si>
    <t>Воинское звание</t>
  </si>
  <si>
    <t>Фамилия и инициалы</t>
  </si>
  <si>
    <t>Должность</t>
  </si>
  <si>
    <t>Размер занимаемой ставки</t>
  </si>
  <si>
    <t>Годовой бюджет рабочего (служебного) времени</t>
  </si>
  <si>
    <t>Исходные данные</t>
  </si>
  <si>
    <t>Проверка</t>
  </si>
  <si>
    <t>Объем годовой:</t>
  </si>
  <si>
    <t>учебной нагрузки</t>
  </si>
  <si>
    <t>в т.ч. проведение аудиторных занятий</t>
  </si>
  <si>
    <t xml:space="preserve">методической работы </t>
  </si>
  <si>
    <t>научной (научно-исследовательской) работы</t>
  </si>
  <si>
    <t>воспитательной работы</t>
  </si>
  <si>
    <t>Общий объем  учебной, методической, научной и воспитательной работы</t>
  </si>
  <si>
    <t>Объем других видов деятельности</t>
  </si>
  <si>
    <t>Суммарный объем всех видов деятельности</t>
  </si>
  <si>
    <t>количество дней отпуска (без выходных)</t>
  </si>
  <si>
    <t>количество рабочих дней в неделю</t>
  </si>
  <si>
    <t>продолжительность рабочей недели</t>
  </si>
  <si>
    <t>количество часов в году (сокращенный рабочий день)</t>
  </si>
  <si>
    <t>количество календарных дней в учебном году</t>
  </si>
  <si>
    <t>количество праздничных и выходных дней в учебном году</t>
  </si>
  <si>
    <t>Примечание:</t>
  </si>
  <si>
    <t>1.Вручную заполняются ячейки, выделенные синим цветом, в остальных ячейках записаны формулы</t>
  </si>
  <si>
    <r>
      <rPr>
        <sz val="11"/>
        <color rgb="FFFF0000"/>
        <rFont val="Calibri"/>
        <family val="2"/>
        <charset val="204"/>
        <scheme val="minor"/>
      </rPr>
      <t>красный цвет</t>
    </r>
    <r>
      <rPr>
        <sz val="11"/>
        <color theme="1"/>
        <rFont val="Calibri"/>
        <family val="2"/>
        <scheme val="minor"/>
      </rPr>
      <t xml:space="preserve"> - не соответствует "Примерным нормам"</t>
    </r>
  </si>
  <si>
    <r>
      <rPr>
        <sz val="11"/>
        <color rgb="FFFFC000"/>
        <rFont val="Calibri"/>
        <family val="2"/>
        <charset val="204"/>
        <scheme val="minor"/>
      </rPr>
      <t>оранжевый цвет</t>
    </r>
    <r>
      <rPr>
        <sz val="11"/>
        <color theme="1"/>
        <rFont val="Calibri"/>
        <family val="2"/>
        <scheme val="minor"/>
      </rPr>
      <t xml:space="preserve"> - требуется уточнение по различию в категориях преподавательского состава (гражданский персонал ВС или офицер; высшее и дополнительное профессиональное образование или среднее профессиональное образование) см. Таблица 1 "Примерных норм"</t>
    </r>
  </si>
  <si>
    <t>подполковник</t>
  </si>
  <si>
    <t>Старший преподаватель</t>
  </si>
  <si>
    <t>2.Количество дней отпуска записывается с учетом всех льгот, для военнослужащих также с учетом предоставляемых суток на "дорогу"</t>
  </si>
  <si>
    <t>1.Вручную заполняются ячейки, выделенные синим цветом, остальные данные соответсвуют данному периоду обучения либо рассчитываются по формуле</t>
  </si>
  <si>
    <t>Кол-во аудиторных занятий</t>
  </si>
  <si>
    <t>ФИО</t>
  </si>
  <si>
    <t>Кольцов А.А.</t>
  </si>
  <si>
    <t>Доцент</t>
  </si>
  <si>
    <t>Подгорный А.А</t>
  </si>
  <si>
    <t>полковник</t>
  </si>
  <si>
    <t>Григорьев С.А.</t>
  </si>
  <si>
    <t>Ковика А.В.</t>
  </si>
  <si>
    <t>полковнк</t>
  </si>
  <si>
    <t>Начальник кафедры</t>
  </si>
  <si>
    <t>Низов А.С.</t>
  </si>
  <si>
    <t>Фатюшин Ю.В.</t>
  </si>
  <si>
    <t>Федоров А.Ю.</t>
  </si>
  <si>
    <t>Пак О.И.</t>
  </si>
  <si>
    <t>Профессор</t>
  </si>
  <si>
    <t>Попов Д.И.</t>
  </si>
  <si>
    <t>Доронин С.В.</t>
  </si>
  <si>
    <t>Ситников С.В.</t>
  </si>
  <si>
    <t>Морозов А.Г.</t>
  </si>
  <si>
    <t>Астахов А.В.</t>
  </si>
  <si>
    <t>Афанасьев О.Б.</t>
  </si>
  <si>
    <t>Среднее значение</t>
  </si>
  <si>
    <t>Михайлов А.Г.</t>
  </si>
  <si>
    <t>Захаров М.Ю.</t>
  </si>
  <si>
    <t>Гараев Р.Х.</t>
  </si>
  <si>
    <t>Гришанов М.Д.</t>
  </si>
  <si>
    <t>Лысенко И.В.</t>
  </si>
  <si>
    <t>Бондаренко Р.Н.</t>
  </si>
  <si>
    <t>Зеленский С.П.</t>
  </si>
  <si>
    <t>Безродный И.Г.</t>
  </si>
  <si>
    <t>Алексеенко И.М.</t>
  </si>
  <si>
    <t>Пыдер А.Р.</t>
  </si>
  <si>
    <t>Заместитель начальника кафедры</t>
  </si>
  <si>
    <t>Корниенко И.П.</t>
  </si>
  <si>
    <t>Корсунь Е.В.</t>
  </si>
  <si>
    <t>Горобец С.В.</t>
  </si>
  <si>
    <t>Пенин А.М.</t>
  </si>
  <si>
    <t>8 кафедра (20)</t>
  </si>
  <si>
    <t>7 кафедра (29)</t>
  </si>
  <si>
    <t>Бондарь М.С.</t>
  </si>
  <si>
    <t>Сосновский Е.Г.</t>
  </si>
  <si>
    <t>Третьяков Л.В.</t>
  </si>
  <si>
    <t>Мисюра Д.А.</t>
  </si>
  <si>
    <t>Малышко О.О.</t>
  </si>
  <si>
    <t>Бирюков В.Л.</t>
  </si>
  <si>
    <t>Баланда Ю.П.</t>
  </si>
  <si>
    <t>майор</t>
  </si>
  <si>
    <t>Курбанов Т.Х.</t>
  </si>
  <si>
    <t>Ростовцев С.О.</t>
  </si>
  <si>
    <t>Вашунин Е.А.</t>
  </si>
  <si>
    <t>Багреев Р.В.</t>
  </si>
  <si>
    <t>Аболончиков В.В.</t>
  </si>
  <si>
    <t>4 кафедра (23)</t>
  </si>
  <si>
    <t>Авраменко С.А.</t>
  </si>
  <si>
    <t>Лошин В.П.</t>
  </si>
  <si>
    <t>Холоденко Д.А.</t>
  </si>
  <si>
    <t>Шангала С.В.</t>
  </si>
  <si>
    <t>Кузнецов Д.В.</t>
  </si>
  <si>
    <t>Стативка В.С.</t>
  </si>
  <si>
    <t>Вишняков М.С.</t>
  </si>
  <si>
    <t>Григорьев А.С.</t>
  </si>
  <si>
    <t>Степанов Ю.А.</t>
  </si>
  <si>
    <t>Беспоместных А.А.</t>
  </si>
  <si>
    <t>Сапронов А.В.</t>
  </si>
  <si>
    <t>Приступа В.В.</t>
  </si>
  <si>
    <t>Овсянников И.В.</t>
  </si>
  <si>
    <t>Путинцев М.В.</t>
  </si>
  <si>
    <t>Гусев А.В.</t>
  </si>
  <si>
    <t>Дубинин С.Г.</t>
  </si>
  <si>
    <t>Иванов Д.А.</t>
  </si>
  <si>
    <t>Шпаков С.В.</t>
  </si>
  <si>
    <t>14 кафедра (10)</t>
  </si>
  <si>
    <t>Долгодрова</t>
  </si>
  <si>
    <t>Дернова С.Н.</t>
  </si>
  <si>
    <t>Исакова Е.И.</t>
  </si>
  <si>
    <t>Остякова Г.А.</t>
  </si>
  <si>
    <t>Попова С.А.</t>
  </si>
  <si>
    <t>Раева Н.В.</t>
  </si>
  <si>
    <t>Орлов С.А.</t>
  </si>
  <si>
    <t>Строкин С.И.</t>
  </si>
  <si>
    <t>Лесной А.П.</t>
  </si>
  <si>
    <t>Квитко А.В.</t>
  </si>
  <si>
    <t>Вороной В.А.</t>
  </si>
  <si>
    <t>Белый А.А.</t>
  </si>
  <si>
    <t>Бирюков О.Р.</t>
  </si>
  <si>
    <t>Озорнин А.А.</t>
  </si>
  <si>
    <t>Нитецкий И.В.</t>
  </si>
  <si>
    <t>Аникин М.Н.</t>
  </si>
  <si>
    <t>Максаков В.Е.</t>
  </si>
  <si>
    <t>Костюнин А.А.</t>
  </si>
  <si>
    <t>9 кафедра (20)</t>
  </si>
  <si>
    <t>Летин Е.В.</t>
  </si>
  <si>
    <t>Вуколов С.А.</t>
  </si>
  <si>
    <t>Недоварков С.А.</t>
  </si>
  <si>
    <t>Андрушко С.Б.</t>
  </si>
  <si>
    <t>Золотарев А.В.</t>
  </si>
  <si>
    <t>Крашеницын Д.В.</t>
  </si>
  <si>
    <t>12 кафедра (17)</t>
  </si>
  <si>
    <t>Молоков И.Е.</t>
  </si>
  <si>
    <t>Киселева В.П.</t>
  </si>
  <si>
    <t>Петров А.Н.</t>
  </si>
  <si>
    <t>Никоноров А.Н.</t>
  </si>
  <si>
    <t>Сергеенков В.Е.</t>
  </si>
  <si>
    <t>Волков М.Н.</t>
  </si>
  <si>
    <t>Кальницкий В.С.</t>
  </si>
  <si>
    <t>Гусев Т.А.</t>
  </si>
  <si>
    <t>Хрипун В.К.</t>
  </si>
  <si>
    <t>Мартенс О.В.</t>
  </si>
  <si>
    <t>Слесарь О.Н.</t>
  </si>
  <si>
    <t>Богаринова А.Н.</t>
  </si>
  <si>
    <t>Устинов Б.А.</t>
  </si>
  <si>
    <t>Сапрыкин В.П.</t>
  </si>
  <si>
    <t>Деркач Д.А.</t>
  </si>
  <si>
    <t>Скичко Д.В.</t>
  </si>
  <si>
    <t>Симонов Д.Л.</t>
  </si>
  <si>
    <t>Гибало Н.И.</t>
  </si>
  <si>
    <t>Шувалов О.А.</t>
  </si>
  <si>
    <t>Эскрива А.М.</t>
  </si>
  <si>
    <t>Якуша И.А.</t>
  </si>
  <si>
    <t>Лукьянов В.С.</t>
  </si>
  <si>
    <t>Сысоев О.И.</t>
  </si>
  <si>
    <t>Змеев А.Т.</t>
  </si>
  <si>
    <t>10 кафедра (24)</t>
  </si>
  <si>
    <t>Михалев Ю.В.</t>
  </si>
  <si>
    <t>Бабенков А.В.</t>
  </si>
  <si>
    <t>Крыль О.Б.</t>
  </si>
  <si>
    <t>Земляков С.Н.</t>
  </si>
  <si>
    <t>Ашуркин Б.Г.</t>
  </si>
  <si>
    <t>Ермошин Н.А.</t>
  </si>
  <si>
    <t>Лунев В.Г.</t>
  </si>
  <si>
    <t>Егошин А.М.</t>
  </si>
  <si>
    <t>Алексеев С.В.</t>
  </si>
  <si>
    <t>Гайдашов Ю.А.</t>
  </si>
  <si>
    <t>Толстиков А.Н.</t>
  </si>
  <si>
    <t>Гусаров И.Е.</t>
  </si>
  <si>
    <t>Царев И.В.</t>
  </si>
  <si>
    <t>Слинько С.А.</t>
  </si>
  <si>
    <t>Жуков А.И.</t>
  </si>
  <si>
    <t>Ерофеев М.В.</t>
  </si>
  <si>
    <t>1 кафедра (34)</t>
  </si>
  <si>
    <t>Цыпрынюк И.В.</t>
  </si>
  <si>
    <t>Бартенев С.В.</t>
  </si>
  <si>
    <t>Новиков А.Ю.</t>
  </si>
  <si>
    <t>Боравкова О.В.</t>
  </si>
  <si>
    <t>Кузнецов А.В.</t>
  </si>
  <si>
    <t>Рытенков Ю.К.</t>
  </si>
  <si>
    <t>Кочкин А.А.</t>
  </si>
  <si>
    <t>Лаптиев С.В.</t>
  </si>
  <si>
    <t>Веселов А.С.</t>
  </si>
  <si>
    <t>Киянчук В.В.</t>
  </si>
  <si>
    <t>Шемяков В.А.</t>
  </si>
  <si>
    <t>Демков В.В.</t>
  </si>
  <si>
    <t>Ловкачев П.И.</t>
  </si>
  <si>
    <t>Карпов И.И.</t>
  </si>
  <si>
    <t>Авдеев С.Н.</t>
  </si>
  <si>
    <t>Лукьянов Ю.А.</t>
  </si>
  <si>
    <t>Путюнин В.В.</t>
  </si>
  <si>
    <t>Докторов С.Л.</t>
  </si>
  <si>
    <t>Булавин В.Н.</t>
  </si>
  <si>
    <t>Пляхотко И.С.</t>
  </si>
  <si>
    <t>Павличенко С.В.</t>
  </si>
  <si>
    <t>Платонов В.Е.</t>
  </si>
  <si>
    <t>Попко И.Н.</t>
  </si>
  <si>
    <t>Скворцов В.И.</t>
  </si>
  <si>
    <t>Долгополик В.Р.</t>
  </si>
  <si>
    <t>16 кафедра (5)</t>
  </si>
  <si>
    <t>Новоселов В.М.</t>
  </si>
  <si>
    <t>капитан 1 ранга</t>
  </si>
  <si>
    <t>Кондачков А.С.</t>
  </si>
  <si>
    <t>Солодко А.В.</t>
  </si>
  <si>
    <t>Пимахов В.В.</t>
  </si>
  <si>
    <t>Шубин А.Г.</t>
  </si>
  <si>
    <t>Бровков С.А.</t>
  </si>
  <si>
    <t>Ершов В.И.</t>
  </si>
  <si>
    <t>5 кафедра (12)</t>
  </si>
  <si>
    <t>Ярошенко А.С.</t>
  </si>
  <si>
    <t>Мазманов А.Я.</t>
  </si>
  <si>
    <t>Лапин Н.Н.</t>
  </si>
  <si>
    <t>Дикарев В.И.</t>
  </si>
  <si>
    <t>Шолубко И.М.</t>
  </si>
  <si>
    <t>3 кафедра (30)</t>
  </si>
  <si>
    <t>Клюкин Е.В.</t>
  </si>
  <si>
    <t>Дуничев В.А.</t>
  </si>
  <si>
    <t>Лучкин С.В.</t>
  </si>
  <si>
    <t>Рудаков Л.Н.</t>
  </si>
  <si>
    <t>Абрамов А.К.</t>
  </si>
  <si>
    <t>Остапович К.К.</t>
  </si>
  <si>
    <t>Серов В.А.</t>
  </si>
  <si>
    <t>Иванов А.Ю.</t>
  </si>
  <si>
    <t>Пахомов В.И.</t>
  </si>
  <si>
    <t>Насонов С.В.</t>
  </si>
  <si>
    <t>Болдырев О.А.</t>
  </si>
  <si>
    <t>Фатыхов Н.А.</t>
  </si>
  <si>
    <t>Ларин И.А.</t>
  </si>
  <si>
    <t>Юрченко Е.Ю.</t>
  </si>
  <si>
    <t>Башев</t>
  </si>
  <si>
    <t>Коледов М.В.</t>
  </si>
  <si>
    <t>Овчинников С.В.</t>
  </si>
  <si>
    <t>Сарыгине А.В.</t>
  </si>
  <si>
    <t>Пензин А.Г.</t>
  </si>
  <si>
    <t>Козулев Ю.А.</t>
  </si>
  <si>
    <t>Торгашев Д.В.</t>
  </si>
  <si>
    <t>6 кафедра (18)</t>
  </si>
  <si>
    <t>Алымов В.М.</t>
  </si>
  <si>
    <t>Кожевников В.В.</t>
  </si>
  <si>
    <t>Шерстнев Б.А.</t>
  </si>
  <si>
    <t>Кошелев В.В.</t>
  </si>
  <si>
    <t>Федоров А.В.</t>
  </si>
  <si>
    <t>Шведов А.В.</t>
  </si>
  <si>
    <t>Щабельский В.Н.</t>
  </si>
  <si>
    <t>Осипов Ю.Г.</t>
  </si>
  <si>
    <t>Чистилин И.И.</t>
  </si>
  <si>
    <t>Махонько В.П.</t>
  </si>
  <si>
    <t>Елисеев А.Ю.</t>
  </si>
  <si>
    <t>Сорокин А.Е.</t>
  </si>
  <si>
    <t>Ахремчик О.А.</t>
  </si>
  <si>
    <t>Елисеев Ю.П.</t>
  </si>
  <si>
    <t>Климов Д.А.</t>
  </si>
  <si>
    <t>11 кафедра (34)</t>
  </si>
  <si>
    <t>Чиханова Е.В.</t>
  </si>
  <si>
    <t>Спирин А.П.</t>
  </si>
  <si>
    <t>Спирина Т.П.</t>
  </si>
  <si>
    <t>Кудряшова С.В.</t>
  </si>
  <si>
    <t>Сергиевская Г.Е.</t>
  </si>
  <si>
    <t>Капшитар В.Г.</t>
  </si>
  <si>
    <t>Подлатов Ю.Г.</t>
  </si>
  <si>
    <t>Борзенков Н.И.</t>
  </si>
  <si>
    <t>Высоцкий В.В.</t>
  </si>
  <si>
    <t>Тарасенко Л.В.</t>
  </si>
  <si>
    <t>Юркевич Е.И.</t>
  </si>
  <si>
    <t>Верняева Т.А.</t>
  </si>
  <si>
    <t>Поправко Е.А.</t>
  </si>
  <si>
    <t>Романова И.К.</t>
  </si>
  <si>
    <t>Ищенко В.В.</t>
  </si>
  <si>
    <t>Сизов Д.С.</t>
  </si>
  <si>
    <t>Лимонов Ю.А.</t>
  </si>
  <si>
    <t>Сорокин В.А.</t>
  </si>
  <si>
    <t>Лагодзинский Т.И.</t>
  </si>
  <si>
    <t>19 кафедра (8)</t>
  </si>
  <si>
    <t>Саяпин М.В.</t>
  </si>
  <si>
    <t>Наумов В.В.</t>
  </si>
  <si>
    <t>Брославец В.Н.</t>
  </si>
  <si>
    <t>генерал-майор</t>
  </si>
  <si>
    <t>Войтенко Е.В.</t>
  </si>
  <si>
    <t>Морозов Р.М.</t>
  </si>
  <si>
    <t>Григорян В.С.</t>
  </si>
  <si>
    <t>Нагорный Е.А.</t>
  </si>
  <si>
    <t>2 кафедра (24)</t>
  </si>
  <si>
    <t>Романенко В.В.</t>
  </si>
  <si>
    <t>Шайдаров О.В.</t>
  </si>
  <si>
    <t>Спирин С.В.</t>
  </si>
  <si>
    <t>Крекотнев Р.Н.</t>
  </si>
  <si>
    <t>Рубан А.С.</t>
  </si>
  <si>
    <t>Верихов В.В.</t>
  </si>
  <si>
    <t>Бубнов Н.А.</t>
  </si>
  <si>
    <t>Пасхин С.М.</t>
  </si>
  <si>
    <t>Переведенцев А.А.</t>
  </si>
  <si>
    <t>Перевозник Ю.Я.</t>
  </si>
  <si>
    <t>Буланов Г.Д.</t>
  </si>
  <si>
    <t>Крылов В.И.</t>
  </si>
  <si>
    <t>Залюбовский А.Ф.</t>
  </si>
  <si>
    <t>Островарь С.И.</t>
  </si>
  <si>
    <t>Филиппов</t>
  </si>
  <si>
    <t>Бугаев С.В.</t>
  </si>
  <si>
    <t>Ворончихин Н.В.</t>
  </si>
  <si>
    <t>Ковалев А.В.</t>
  </si>
  <si>
    <t>Иванов Р.А.</t>
  </si>
  <si>
    <t>Вылегжанин Р.С.</t>
  </si>
  <si>
    <t>Дрозд Р.С.</t>
  </si>
  <si>
    <t>Максимчук М.В.</t>
  </si>
  <si>
    <t>Антипов Е.В.</t>
  </si>
  <si>
    <t>Долгомиров Р.В.</t>
  </si>
  <si>
    <t>Ковалев В.В.</t>
  </si>
  <si>
    <t>Щербаков Б.П.</t>
  </si>
  <si>
    <t>Коровин Э.В.</t>
  </si>
  <si>
    <t>Стачук А.А.</t>
  </si>
  <si>
    <t>Гайворонский А.В.</t>
  </si>
  <si>
    <t>Аникин А.А.</t>
  </si>
  <si>
    <t>18 кафедра (22)</t>
  </si>
  <si>
    <t>Черненко А.Н.</t>
  </si>
  <si>
    <t>Поправко Д.П.</t>
  </si>
  <si>
    <t>Селюк Д.В.</t>
  </si>
  <si>
    <t>Сятчихин В.В.</t>
  </si>
  <si>
    <t>Никорчук В.И.</t>
  </si>
  <si>
    <t>Волков В.В.</t>
  </si>
  <si>
    <t>Адылов З.К.</t>
  </si>
  <si>
    <t>Сафонов Д.А.</t>
  </si>
  <si>
    <t>Ладатко А.Ф.</t>
  </si>
  <si>
    <t>Зайцев К.М.</t>
  </si>
  <si>
    <t>Беляев В.Ю.</t>
  </si>
  <si>
    <t>Борщевский И.Е.</t>
  </si>
  <si>
    <t>Ахметьянов Р.В.</t>
  </si>
  <si>
    <t>Соколов В.Д.</t>
  </si>
  <si>
    <t>Труш Е.В.</t>
  </si>
  <si>
    <t>Курбанов А.Х.</t>
  </si>
  <si>
    <t>Нагаев И.Н.</t>
  </si>
  <si>
    <t>Соколов В.В.</t>
  </si>
  <si>
    <t>Безруков А.Е.</t>
  </si>
  <si>
    <t>20 кафедра (11)</t>
  </si>
  <si>
    <t>Краев С.А.</t>
  </si>
  <si>
    <t>Авраменко В.И.</t>
  </si>
  <si>
    <t>Ващенко К.В.</t>
  </si>
  <si>
    <t>Катаев И.В.</t>
  </si>
  <si>
    <t>Лулаков Ф.В.</t>
  </si>
  <si>
    <t>Красовский М.В.</t>
  </si>
  <si>
    <t>Зюкин А.А.</t>
  </si>
  <si>
    <t>Бородин З.В.</t>
  </si>
  <si>
    <t>Щербаков А.Н.</t>
  </si>
  <si>
    <t>Леснов А.А.</t>
  </si>
  <si>
    <t>Коврижин Д.Б.</t>
  </si>
  <si>
    <t>Переходко Ф.Г.</t>
  </si>
  <si>
    <t>Поцыпун А.А.</t>
  </si>
  <si>
    <t>Крутой А.Н.</t>
  </si>
  <si>
    <t>Князев В.М.</t>
  </si>
  <si>
    <t xml:space="preserve">13 кафедра (19) </t>
  </si>
  <si>
    <t>Хасаншин Р.Р.</t>
  </si>
  <si>
    <t>Лузик Н.П.</t>
  </si>
  <si>
    <t>Богомолов И.В.</t>
  </si>
  <si>
    <t>Дальский Д.Д.</t>
  </si>
  <si>
    <t>15 кафедра (11)</t>
  </si>
  <si>
    <t>Сыромятников И.В.</t>
  </si>
  <si>
    <t>Сафонов А.С.</t>
  </si>
  <si>
    <t>Ульященков С.Н.</t>
  </si>
  <si>
    <t>Лашков Н.Г.</t>
  </si>
  <si>
    <t>Котий А.А.</t>
  </si>
  <si>
    <t>Подопригора А.В.</t>
  </si>
  <si>
    <t>Тельпиш В.А.</t>
  </si>
  <si>
    <t>Лоскутов И.В.</t>
  </si>
  <si>
    <t>Шаргородский Н.Л.</t>
  </si>
  <si>
    <t>Синькевич Ю.О.</t>
  </si>
  <si>
    <t>Филиппов Д.А.</t>
  </si>
  <si>
    <t>Никитин Ю.А.</t>
  </si>
  <si>
    <t>Михайлов А.Л.</t>
  </si>
  <si>
    <t>Серба В.Я.</t>
  </si>
  <si>
    <t>Давыдов А.А.</t>
  </si>
  <si>
    <t>Михальченко С.Н.</t>
  </si>
  <si>
    <t>Шевелев Е.В.</t>
  </si>
  <si>
    <t>Демина С.П.</t>
  </si>
  <si>
    <t>Кутепов В.М.</t>
  </si>
  <si>
    <t>Совцов В.И.</t>
  </si>
  <si>
    <t>Волков А.А.</t>
  </si>
  <si>
    <t>Абравитова Ю.И.</t>
  </si>
  <si>
    <t>Васильев Н.И.</t>
  </si>
  <si>
    <t>Корнев С.А.</t>
  </si>
  <si>
    <t>Юхневич К.П.</t>
  </si>
  <si>
    <t>Кровш С.Ф.</t>
  </si>
  <si>
    <t>Хайрусов Д.С.</t>
  </si>
  <si>
    <t>Бугорская Н.В.</t>
  </si>
  <si>
    <t>Проничева О.Ю.</t>
  </si>
  <si>
    <t>Евдокимова Е.А.</t>
  </si>
  <si>
    <t>Неверова Н.Н.</t>
  </si>
  <si>
    <t>Панченко Н.В.</t>
  </si>
  <si>
    <t>Панкова И.М.</t>
  </si>
  <si>
    <t>Боровик М.Г.</t>
  </si>
  <si>
    <t>Степанова Е.М.</t>
  </si>
  <si>
    <t>Дудина Г.О.</t>
  </si>
  <si>
    <t>Ворона О.Н.</t>
  </si>
  <si>
    <t>Байчорова Х.С.</t>
  </si>
  <si>
    <t>Вепрева М.И.</t>
  </si>
  <si>
    <t>Ильинская Т.Б.</t>
  </si>
  <si>
    <t>Антонова Н.А.</t>
  </si>
  <si>
    <t>Хохлова Г.А.</t>
  </si>
  <si>
    <t>Малыгина Э.В.</t>
  </si>
  <si>
    <t>Таргонская Е.П.</t>
  </si>
  <si>
    <t>Кузнецова О.Л.</t>
  </si>
  <si>
    <t>Маронова О.А.</t>
  </si>
  <si>
    <t>Кузнецова Г.Н.</t>
  </si>
  <si>
    <t>Сорвина А.Р.</t>
  </si>
  <si>
    <t>Кознова Н.Н.</t>
  </si>
  <si>
    <t>Супронова А.Н.</t>
  </si>
  <si>
    <t>Верба И.П.</t>
  </si>
  <si>
    <t>17 кафедра (18)</t>
  </si>
  <si>
    <t>Количество суток отпуска, накладывающихся на выходные (суббота и воскресенье) и праздничные дни</t>
  </si>
  <si>
    <r>
      <t xml:space="preserve">2.Столбцы "Проверка": </t>
    </r>
    <r>
      <rPr>
        <sz val="11"/>
        <color rgb="FF92D050"/>
        <rFont val="Calibri"/>
        <family val="2"/>
        <charset val="204"/>
        <scheme val="minor"/>
      </rPr>
      <t>зеленый цвет</t>
    </r>
    <r>
      <rPr>
        <sz val="11"/>
        <color theme="1"/>
        <rFont val="Calibri"/>
        <family val="2"/>
        <scheme val="minor"/>
      </rPr>
      <t xml:space="preserve"> - соответствует "Примерным нормам" как для гражданского персонала так и для офицеров высшего, дополнительного профессионального и среднего профессионального образования</t>
    </r>
  </si>
  <si>
    <r>
      <t xml:space="preserve">темно зеленый цвет </t>
    </r>
    <r>
      <rPr>
        <sz val="11"/>
        <rFont val="Calibri"/>
        <family val="2"/>
        <charset val="204"/>
        <scheme val="minor"/>
      </rPr>
      <t xml:space="preserve">- применяется только в графе "Проверка" Объема других видов деятельности и соответсвует "Примерным нормам" для </t>
    </r>
    <r>
      <rPr>
        <u/>
        <sz val="11"/>
        <rFont val="Calibri"/>
        <family val="2"/>
        <charset val="204"/>
        <scheme val="minor"/>
      </rPr>
      <t>офицеров высшего, дополнительного и среднего профессионального образования</t>
    </r>
  </si>
  <si>
    <t>начальник кафедры</t>
  </si>
  <si>
    <t>старший преподаватель</t>
  </si>
  <si>
    <t xml:space="preserve"> преподаватель</t>
  </si>
  <si>
    <t>доцент кафедры</t>
  </si>
  <si>
    <t>преподаватель</t>
  </si>
  <si>
    <r>
      <t xml:space="preserve">Годовой бюджет рабочего времени в часах преподавательского состава из числа 
</t>
    </r>
    <r>
      <rPr>
        <b/>
        <u/>
        <sz val="12"/>
        <color theme="1"/>
        <rFont val="Times New Roman"/>
        <family val="1"/>
        <charset val="204"/>
      </rPr>
      <t>гражданского персонала кафедры</t>
    </r>
    <r>
      <rPr>
        <b/>
        <sz val="12"/>
        <color theme="1"/>
        <rFont val="Times New Roman"/>
        <family val="1"/>
        <charset val="204"/>
      </rPr>
      <t xml:space="preserve"> (2023/2024 учебный год)</t>
    </r>
  </si>
  <si>
    <r>
      <t xml:space="preserve">Годовой бюджет рабочего времени в часах преподавательского состава из числа
</t>
    </r>
    <r>
      <rPr>
        <b/>
        <u/>
        <sz val="12"/>
        <color theme="1"/>
        <rFont val="Times New Roman"/>
        <family val="1"/>
        <charset val="204"/>
      </rPr>
      <t>офицеров кафедры</t>
    </r>
    <r>
      <rPr>
        <b/>
        <sz val="12"/>
        <color theme="1"/>
        <rFont val="Times New Roman"/>
        <family val="1"/>
        <charset val="204"/>
      </rPr>
      <t xml:space="preserve"> (2023/2024 учебный год)</t>
    </r>
  </si>
  <si>
    <t>зам. начальника кафедры</t>
  </si>
  <si>
    <t>профессоркафедры</t>
  </si>
  <si>
    <t>Количество суток отпуска, накладывающихся на выходные (воскресенье) и праздничные дни</t>
  </si>
  <si>
    <t>не ветераны БД: дней отпуска без выходных-33, выходных 12 итого 45 суток</t>
  </si>
  <si>
    <t>для ветеранов БД: дней отпуска без выходных-44, выходных 14 итого 60 суток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</si>
</sst>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7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1"/>
      <color rgb="FFFFC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0B05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Border="1"/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2" fillId="0" borderId="0" xfId="0" applyFont="1" applyBorder="1" applyAlignment="1">
      <alignment wrapText="1"/>
    </xf>
    <xf numFmtId="0" fontId="1" fillId="0" borderId="0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15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20" xfId="0" applyFont="1" applyBorder="1"/>
    <xf numFmtId="0" fontId="2" fillId="0" borderId="20" xfId="0" applyFont="1" applyBorder="1" applyAlignment="1">
      <alignment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2" fontId="10" fillId="0" borderId="27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0" fillId="0" borderId="27" xfId="0" applyFont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2" fontId="10" fillId="0" borderId="27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0" fillId="0" borderId="21" xfId="0" applyNumberFormat="1" applyFont="1" applyBorder="1" applyAlignment="1">
      <alignment horizontal="center" vertical="center" wrapText="1"/>
    </xf>
    <xf numFmtId="2" fontId="10" fillId="0" borderId="21" xfId="0" applyNumberFormat="1" applyFont="1" applyBorder="1" applyAlignment="1">
      <alignment horizontal="center" vertical="center"/>
    </xf>
    <xf numFmtId="2" fontId="10" fillId="0" borderId="27" xfId="0" applyNumberFormat="1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14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30" xfId="0" applyFont="1" applyBorder="1" applyAlignment="1">
      <alignment horizontal="center"/>
    </xf>
  </cellXfs>
  <cellStyles count="1">
    <cellStyle name="Обычный" xfId="0" builtinId="0"/>
  </cellStyles>
  <dxfs count="18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rgb="FF92D050"/>
        </patternFill>
      </fill>
    </dxf>
    <dxf>
      <font>
        <color theme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8"/>
  <sheetViews>
    <sheetView showZeros="0" tabSelected="1" zoomScale="60" zoomScaleNormal="60" workbookViewId="0">
      <selection activeCell="C5" sqref="C5:C19"/>
    </sheetView>
  </sheetViews>
  <sheetFormatPr defaultRowHeight="15" x14ac:dyDescent="0.25"/>
  <cols>
    <col min="1" max="1" width="5" customWidth="1"/>
    <col min="2" max="2" width="15.140625" bestFit="1" customWidth="1"/>
    <col min="3" max="3" width="26.42578125" bestFit="1" customWidth="1"/>
    <col min="4" max="4" width="25.140625" bestFit="1" customWidth="1"/>
    <col min="5" max="5" width="18.7109375" customWidth="1"/>
    <col min="6" max="6" width="14.7109375" customWidth="1"/>
    <col min="7" max="7" width="14.7109375" hidden="1" customWidth="1"/>
    <col min="8" max="10" width="14.7109375" customWidth="1"/>
    <col min="11" max="11" width="14.7109375" hidden="1" customWidth="1"/>
    <col min="12" max="21" width="14.7109375" customWidth="1"/>
  </cols>
  <sheetData>
    <row r="1" spans="1:22" ht="18.75" customHeight="1" x14ac:dyDescent="0.25">
      <c r="A1" s="77" t="s">
        <v>0</v>
      </c>
      <c r="B1" s="80" t="s">
        <v>1</v>
      </c>
      <c r="C1" s="80"/>
      <c r="D1" s="80"/>
      <c r="E1" s="80"/>
      <c r="F1" s="67" t="s">
        <v>6</v>
      </c>
      <c r="G1" s="82"/>
      <c r="H1" s="66" t="s">
        <v>9</v>
      </c>
      <c r="I1" s="66"/>
      <c r="J1" s="66"/>
      <c r="K1" s="66"/>
      <c r="L1" s="66"/>
      <c r="M1" s="66"/>
      <c r="N1" s="66"/>
      <c r="O1" s="66"/>
      <c r="P1" s="66"/>
      <c r="Q1" s="66"/>
      <c r="R1" s="67" t="s">
        <v>15</v>
      </c>
      <c r="S1" s="66" t="s">
        <v>16</v>
      </c>
      <c r="T1" s="66"/>
      <c r="U1" s="63" t="s">
        <v>17</v>
      </c>
    </row>
    <row r="2" spans="1:22" ht="63" customHeight="1" x14ac:dyDescent="0.25">
      <c r="A2" s="78"/>
      <c r="B2" s="81"/>
      <c r="C2" s="81"/>
      <c r="D2" s="81"/>
      <c r="E2" s="81"/>
      <c r="F2" s="68"/>
      <c r="G2" s="83"/>
      <c r="H2" s="59"/>
      <c r="I2" s="59"/>
      <c r="J2" s="59"/>
      <c r="K2" s="59"/>
      <c r="L2" s="59"/>
      <c r="M2" s="59"/>
      <c r="N2" s="59"/>
      <c r="O2" s="59"/>
      <c r="P2" s="59"/>
      <c r="Q2" s="59"/>
      <c r="R2" s="68"/>
      <c r="S2" s="59"/>
      <c r="T2" s="59"/>
      <c r="U2" s="64"/>
    </row>
    <row r="3" spans="1:22" ht="63" customHeight="1" x14ac:dyDescent="0.25">
      <c r="A3" s="78"/>
      <c r="B3" s="81"/>
      <c r="C3" s="81"/>
      <c r="D3" s="81"/>
      <c r="E3" s="81"/>
      <c r="F3" s="69"/>
      <c r="G3" s="84"/>
      <c r="H3" s="59" t="s">
        <v>10</v>
      </c>
      <c r="I3" s="59"/>
      <c r="J3" s="59" t="s">
        <v>11</v>
      </c>
      <c r="K3" s="59"/>
      <c r="L3" s="59" t="s">
        <v>12</v>
      </c>
      <c r="M3" s="59"/>
      <c r="N3" s="59" t="s">
        <v>13</v>
      </c>
      <c r="O3" s="59"/>
      <c r="P3" s="59" t="s">
        <v>14</v>
      </c>
      <c r="Q3" s="59"/>
      <c r="R3" s="68"/>
      <c r="S3" s="59"/>
      <c r="T3" s="59"/>
      <c r="U3" s="64"/>
    </row>
    <row r="4" spans="1:22" ht="47.25" x14ac:dyDescent="0.25">
      <c r="A4" s="79"/>
      <c r="B4" s="2" t="s">
        <v>2</v>
      </c>
      <c r="C4" s="2" t="s">
        <v>3</v>
      </c>
      <c r="D4" s="2" t="s">
        <v>4</v>
      </c>
      <c r="E4" s="2" t="s">
        <v>5</v>
      </c>
      <c r="F4" s="2" t="s">
        <v>7</v>
      </c>
      <c r="G4" s="2" t="s">
        <v>8</v>
      </c>
      <c r="H4" s="2" t="s">
        <v>7</v>
      </c>
      <c r="I4" s="2" t="s">
        <v>8</v>
      </c>
      <c r="J4" s="2" t="s">
        <v>7</v>
      </c>
      <c r="K4" s="2" t="s">
        <v>8</v>
      </c>
      <c r="L4" s="2" t="s">
        <v>7</v>
      </c>
      <c r="M4" s="2" t="s">
        <v>8</v>
      </c>
      <c r="N4" s="2" t="s">
        <v>7</v>
      </c>
      <c r="O4" s="2" t="s">
        <v>8</v>
      </c>
      <c r="P4" s="2" t="s">
        <v>7</v>
      </c>
      <c r="Q4" s="2" t="s">
        <v>8</v>
      </c>
      <c r="R4" s="69"/>
      <c r="S4" s="2" t="s">
        <v>7</v>
      </c>
      <c r="T4" s="2" t="s">
        <v>8</v>
      </c>
      <c r="U4" s="65"/>
    </row>
    <row r="5" spans="1:22" ht="15.75" customHeight="1" x14ac:dyDescent="0.25">
      <c r="A5" s="10">
        <v>1</v>
      </c>
      <c r="B5" s="7"/>
      <c r="C5" s="7"/>
      <c r="D5" s="7" t="s">
        <v>407</v>
      </c>
      <c r="E5" s="9">
        <v>1</v>
      </c>
      <c r="F5" s="3">
        <v>1626</v>
      </c>
      <c r="G5" s="4"/>
      <c r="H5" s="5">
        <v>646</v>
      </c>
      <c r="I5" s="19">
        <f>H5*100/F5</f>
        <v>39.729397293972937</v>
      </c>
      <c r="J5" s="7">
        <v>203</v>
      </c>
      <c r="K5" s="6">
        <f>J5*100/H5</f>
        <v>31.424148606811144</v>
      </c>
      <c r="L5" s="5">
        <v>482</v>
      </c>
      <c r="M5" s="19">
        <f>L5*100/F5</f>
        <v>29.64329643296433</v>
      </c>
      <c r="N5" s="5">
        <v>162</v>
      </c>
      <c r="O5" s="19">
        <f>N5*100/F5</f>
        <v>9.9630996309963091</v>
      </c>
      <c r="P5" s="5">
        <v>108</v>
      </c>
      <c r="Q5" s="19">
        <f>P5*100/F5</f>
        <v>6.6420664206642064</v>
      </c>
      <c r="R5" s="8">
        <f>H5+L5+N5+P5</f>
        <v>1398</v>
      </c>
      <c r="S5" s="7">
        <v>228</v>
      </c>
      <c r="T5" s="19">
        <f t="shared" ref="T5:T19" si="0">S5*100/F5</f>
        <v>14.022140221402214</v>
      </c>
      <c r="U5" s="18">
        <f>R5+S5</f>
        <v>1626</v>
      </c>
      <c r="V5" s="1"/>
    </row>
    <row r="6" spans="1:22" ht="15.75" customHeight="1" x14ac:dyDescent="0.25">
      <c r="A6" s="10">
        <v>2</v>
      </c>
      <c r="B6" s="7"/>
      <c r="C6" s="7"/>
      <c r="D6" s="7" t="s">
        <v>414</v>
      </c>
      <c r="E6" s="9">
        <v>1</v>
      </c>
      <c r="F6" s="3"/>
      <c r="G6" s="4"/>
      <c r="H6" s="5"/>
      <c r="I6" s="19" t="e">
        <f t="shared" ref="I6:I19" si="1">H6*100/F6</f>
        <v>#DIV/0!</v>
      </c>
      <c r="J6" s="7"/>
      <c r="K6" s="51" t="e">
        <f t="shared" ref="K6:K19" si="2">J6*100/H6</f>
        <v>#DIV/0!</v>
      </c>
      <c r="L6" s="5"/>
      <c r="M6" s="19" t="e">
        <f t="shared" ref="M6:M19" si="3">L6*100/F6</f>
        <v>#DIV/0!</v>
      </c>
      <c r="N6" s="5"/>
      <c r="O6" s="19" t="e">
        <f t="shared" ref="O6:O19" si="4">N6*100/F6</f>
        <v>#DIV/0!</v>
      </c>
      <c r="P6" s="5"/>
      <c r="Q6" s="19" t="e">
        <f t="shared" ref="Q6:Q19" si="5">P6*100/F6</f>
        <v>#DIV/0!</v>
      </c>
      <c r="R6" s="8">
        <f>H6+L6+N6+P6</f>
        <v>0</v>
      </c>
      <c r="S6" s="7"/>
      <c r="T6" s="19" t="e">
        <f t="shared" si="0"/>
        <v>#DIV/0!</v>
      </c>
      <c r="U6" s="18">
        <f t="shared" ref="U6:U19" si="6">R6+S6</f>
        <v>0</v>
      </c>
      <c r="V6" s="1"/>
    </row>
    <row r="7" spans="1:22" ht="15.75" customHeight="1" x14ac:dyDescent="0.25">
      <c r="A7" s="10">
        <v>41</v>
      </c>
      <c r="B7" s="7"/>
      <c r="C7" s="7"/>
      <c r="D7" s="7" t="s">
        <v>410</v>
      </c>
      <c r="E7" s="9">
        <v>1</v>
      </c>
      <c r="F7" s="3">
        <v>1626</v>
      </c>
      <c r="G7" s="4"/>
      <c r="H7" s="5">
        <v>747</v>
      </c>
      <c r="I7" s="19">
        <f t="shared" si="1"/>
        <v>45.940959409594093</v>
      </c>
      <c r="J7" s="7">
        <v>519</v>
      </c>
      <c r="K7" s="51">
        <f t="shared" si="2"/>
        <v>69.47791164658635</v>
      </c>
      <c r="L7" s="5">
        <v>460</v>
      </c>
      <c r="M7" s="19">
        <f t="shared" si="3"/>
        <v>28.290282902829027</v>
      </c>
      <c r="N7" s="5">
        <v>160</v>
      </c>
      <c r="O7" s="19">
        <f t="shared" si="4"/>
        <v>9.8400984009840098</v>
      </c>
      <c r="P7" s="5">
        <v>100</v>
      </c>
      <c r="Q7" s="19">
        <f t="shared" si="5"/>
        <v>6.1500615006150063</v>
      </c>
      <c r="R7" s="8">
        <f t="shared" ref="R7:R19" si="7">H7+L7+N7+P7</f>
        <v>1467</v>
      </c>
      <c r="S7" s="7">
        <v>159</v>
      </c>
      <c r="T7" s="19">
        <f t="shared" si="0"/>
        <v>9.7785977859778601</v>
      </c>
      <c r="U7" s="18">
        <f t="shared" si="6"/>
        <v>1626</v>
      </c>
      <c r="V7" s="1"/>
    </row>
    <row r="8" spans="1:22" ht="15.75" customHeight="1" x14ac:dyDescent="0.25">
      <c r="A8" s="10">
        <v>4</v>
      </c>
      <c r="B8" s="7"/>
      <c r="C8" s="7"/>
      <c r="D8" s="7" t="s">
        <v>408</v>
      </c>
      <c r="E8" s="9">
        <v>1</v>
      </c>
      <c r="F8" s="3">
        <v>1626</v>
      </c>
      <c r="G8" s="4"/>
      <c r="H8" s="5">
        <v>697</v>
      </c>
      <c r="I8" s="19">
        <f t="shared" si="1"/>
        <v>42.865928659286595</v>
      </c>
      <c r="J8" s="7">
        <v>359</v>
      </c>
      <c r="K8" s="51">
        <f t="shared" si="2"/>
        <v>51.506456241033</v>
      </c>
      <c r="L8" s="5">
        <v>438</v>
      </c>
      <c r="M8" s="19">
        <f t="shared" si="3"/>
        <v>26.937269372693727</v>
      </c>
      <c r="N8" s="5">
        <v>158</v>
      </c>
      <c r="O8" s="19">
        <f t="shared" si="4"/>
        <v>9.7170971709717104</v>
      </c>
      <c r="P8" s="5">
        <v>128</v>
      </c>
      <c r="Q8" s="19">
        <f>P8*100/F8</f>
        <v>7.8720787207872078</v>
      </c>
      <c r="R8" s="8">
        <f t="shared" si="7"/>
        <v>1421</v>
      </c>
      <c r="S8" s="7">
        <v>205</v>
      </c>
      <c r="T8" s="19">
        <f t="shared" si="0"/>
        <v>12.607626076260763</v>
      </c>
      <c r="U8" s="18">
        <f t="shared" si="6"/>
        <v>1626</v>
      </c>
      <c r="V8" s="1"/>
    </row>
    <row r="9" spans="1:22" ht="15.75" customHeight="1" x14ac:dyDescent="0.25">
      <c r="A9" s="10">
        <v>5</v>
      </c>
      <c r="B9" s="7"/>
      <c r="C9" s="7"/>
      <c r="D9" s="7" t="s">
        <v>409</v>
      </c>
      <c r="E9" s="9">
        <v>1</v>
      </c>
      <c r="F9" s="3">
        <v>1626</v>
      </c>
      <c r="G9" s="4"/>
      <c r="H9" s="5">
        <v>714</v>
      </c>
      <c r="I9" s="19">
        <f t="shared" ref="I9:I11" si="8">H9*100/F9</f>
        <v>43.911439114391143</v>
      </c>
      <c r="J9" s="7">
        <v>445</v>
      </c>
      <c r="K9" s="55">
        <f t="shared" ref="K9:K11" si="9">J9*100/H9</f>
        <v>62.324929971988794</v>
      </c>
      <c r="L9" s="5">
        <v>463</v>
      </c>
      <c r="M9" s="19">
        <f>L9*100/F9</f>
        <v>28.47478474784748</v>
      </c>
      <c r="N9" s="5">
        <v>155</v>
      </c>
      <c r="O9" s="19">
        <f t="shared" ref="O9:O11" si="10">N9*100/F9</f>
        <v>9.5325953259532596</v>
      </c>
      <c r="P9" s="5">
        <v>126</v>
      </c>
      <c r="Q9" s="19">
        <f t="shared" ref="Q9:Q11" si="11">P9*100/F9</f>
        <v>7.7490774907749076</v>
      </c>
      <c r="R9" s="8">
        <f t="shared" ref="R9:R11" si="12">H9+L9+N9+P9</f>
        <v>1458</v>
      </c>
      <c r="S9" s="7">
        <v>168</v>
      </c>
      <c r="T9" s="19">
        <f t="shared" ref="T9:T10" si="13">S9*100/F9</f>
        <v>10.332103321033211</v>
      </c>
      <c r="U9" s="18">
        <f t="shared" ref="U9:U11" si="14">R9+S9</f>
        <v>1626</v>
      </c>
      <c r="V9" s="1"/>
    </row>
    <row r="10" spans="1:22" ht="15.75" customHeight="1" x14ac:dyDescent="0.25">
      <c r="A10" s="10">
        <v>6</v>
      </c>
      <c r="B10" s="7"/>
      <c r="C10" s="7"/>
      <c r="D10" s="7" t="s">
        <v>409</v>
      </c>
      <c r="E10" s="9">
        <v>1</v>
      </c>
      <c r="F10" s="3">
        <v>1626</v>
      </c>
      <c r="G10" s="4"/>
      <c r="H10" s="5">
        <v>684</v>
      </c>
      <c r="I10" s="19">
        <f t="shared" si="8"/>
        <v>42.066420664206639</v>
      </c>
      <c r="J10" s="7">
        <v>323</v>
      </c>
      <c r="K10" s="55">
        <f t="shared" si="9"/>
        <v>47.222222222222221</v>
      </c>
      <c r="L10" s="5">
        <v>444</v>
      </c>
      <c r="M10" s="19">
        <f>L10*100/F10</f>
        <v>27.306273062730629</v>
      </c>
      <c r="N10" s="5">
        <v>158</v>
      </c>
      <c r="O10" s="19">
        <f t="shared" si="10"/>
        <v>9.7170971709717104</v>
      </c>
      <c r="P10" s="5">
        <v>140</v>
      </c>
      <c r="Q10" s="19">
        <f t="shared" si="11"/>
        <v>8.6100861008610092</v>
      </c>
      <c r="R10" s="8">
        <f t="shared" si="12"/>
        <v>1426</v>
      </c>
      <c r="S10" s="7">
        <v>200</v>
      </c>
      <c r="T10" s="19">
        <f t="shared" si="13"/>
        <v>12.300123001230013</v>
      </c>
      <c r="U10" s="18">
        <f t="shared" si="14"/>
        <v>1626</v>
      </c>
      <c r="V10" s="1"/>
    </row>
    <row r="11" spans="1:22" ht="15.75" customHeight="1" x14ac:dyDescent="0.25">
      <c r="A11" s="10">
        <v>7</v>
      </c>
      <c r="B11" s="7"/>
      <c r="C11" s="7"/>
      <c r="D11" s="7" t="s">
        <v>409</v>
      </c>
      <c r="E11" s="9">
        <v>1</v>
      </c>
      <c r="F11" s="3">
        <v>1626</v>
      </c>
      <c r="G11" s="4"/>
      <c r="H11" s="5">
        <v>684</v>
      </c>
      <c r="I11" s="19">
        <f t="shared" si="8"/>
        <v>42.066420664206639</v>
      </c>
      <c r="J11" s="7">
        <v>335</v>
      </c>
      <c r="K11" s="57">
        <f t="shared" si="9"/>
        <v>48.976608187134502</v>
      </c>
      <c r="L11" s="5">
        <v>465</v>
      </c>
      <c r="M11" s="19">
        <f>L11*100/F11</f>
        <v>28.597785977859779</v>
      </c>
      <c r="N11" s="5">
        <v>161</v>
      </c>
      <c r="O11" s="19">
        <f t="shared" si="10"/>
        <v>9.9015990159901595</v>
      </c>
      <c r="P11" s="5">
        <v>124</v>
      </c>
      <c r="Q11" s="19">
        <f t="shared" si="11"/>
        <v>7.6260762607626074</v>
      </c>
      <c r="R11" s="8">
        <f t="shared" si="12"/>
        <v>1434</v>
      </c>
      <c r="S11" s="7">
        <v>192</v>
      </c>
      <c r="T11" s="19">
        <f>S11*100/F11</f>
        <v>11.808118081180812</v>
      </c>
      <c r="U11" s="18">
        <f t="shared" si="14"/>
        <v>1626</v>
      </c>
      <c r="V11" s="1"/>
    </row>
    <row r="12" spans="1:22" ht="15.75" customHeight="1" x14ac:dyDescent="0.25">
      <c r="A12" s="10">
        <v>7</v>
      </c>
      <c r="B12" s="7"/>
      <c r="C12" s="7"/>
      <c r="D12" s="7" t="s">
        <v>409</v>
      </c>
      <c r="E12" s="9">
        <v>1</v>
      </c>
      <c r="F12" s="3">
        <v>1626</v>
      </c>
      <c r="G12" s="4"/>
      <c r="H12" s="5">
        <v>680</v>
      </c>
      <c r="I12" s="19">
        <f t="shared" si="1"/>
        <v>41.82041820418204</v>
      </c>
      <c r="J12" s="7">
        <v>387</v>
      </c>
      <c r="K12" s="51">
        <f t="shared" si="2"/>
        <v>56.911764705882355</v>
      </c>
      <c r="L12" s="5">
        <v>446</v>
      </c>
      <c r="M12" s="19">
        <f>L12*100/F12</f>
        <v>27.429274292742928</v>
      </c>
      <c r="N12" s="5">
        <v>156</v>
      </c>
      <c r="O12" s="19">
        <f t="shared" si="4"/>
        <v>9.5940959409594093</v>
      </c>
      <c r="P12" s="5">
        <v>132</v>
      </c>
      <c r="Q12" s="19">
        <f t="shared" si="5"/>
        <v>8.1180811808118083</v>
      </c>
      <c r="R12" s="8">
        <f t="shared" si="7"/>
        <v>1414</v>
      </c>
      <c r="S12" s="7">
        <v>212</v>
      </c>
      <c r="T12" s="19">
        <f t="shared" si="0"/>
        <v>13.038130381303812</v>
      </c>
      <c r="U12" s="18">
        <f t="shared" si="6"/>
        <v>1626</v>
      </c>
      <c r="V12" s="1"/>
    </row>
    <row r="13" spans="1:22" ht="32.25" customHeight="1" x14ac:dyDescent="0.25">
      <c r="A13" s="10">
        <v>8</v>
      </c>
      <c r="B13" s="7"/>
      <c r="C13" s="7"/>
      <c r="D13" s="7" t="s">
        <v>415</v>
      </c>
      <c r="E13" s="9">
        <v>1</v>
      </c>
      <c r="F13" s="3">
        <v>1494</v>
      </c>
      <c r="G13" s="4"/>
      <c r="H13" s="5">
        <v>722</v>
      </c>
      <c r="I13" s="19">
        <f t="shared" ref="I13" si="15">H13*100/F13</f>
        <v>48.32663989290495</v>
      </c>
      <c r="J13" s="7">
        <v>261</v>
      </c>
      <c r="K13" s="55">
        <f t="shared" ref="K13" si="16">J13*100/H13</f>
        <v>36.149584487534625</v>
      </c>
      <c r="L13" s="5">
        <v>432</v>
      </c>
      <c r="M13" s="19">
        <f t="shared" ref="M13" si="17">L13*100/F13</f>
        <v>28.91566265060241</v>
      </c>
      <c r="N13" s="5">
        <v>146</v>
      </c>
      <c r="O13" s="19">
        <f t="shared" ref="O13" si="18">N13*100/F13</f>
        <v>9.7724230254350744</v>
      </c>
      <c r="P13" s="5">
        <v>106</v>
      </c>
      <c r="Q13" s="19">
        <f t="shared" ref="Q13" si="19">P13*100/F13</f>
        <v>7.095046854082999</v>
      </c>
      <c r="R13" s="8">
        <f t="shared" ref="R13" si="20">H13+L13+N13+P13</f>
        <v>1406</v>
      </c>
      <c r="S13" s="7">
        <v>88</v>
      </c>
      <c r="T13" s="19">
        <f t="shared" ref="T13" si="21">S13*100/F13</f>
        <v>5.8902275769745653</v>
      </c>
      <c r="U13" s="18">
        <f t="shared" ref="U13" si="22">R13+S13</f>
        <v>1494</v>
      </c>
      <c r="V13" s="1"/>
    </row>
    <row r="14" spans="1:22" ht="32.25" customHeight="1" x14ac:dyDescent="0.25">
      <c r="A14" s="10">
        <v>9</v>
      </c>
      <c r="B14" s="7"/>
      <c r="C14" s="7"/>
      <c r="D14" s="7" t="s">
        <v>410</v>
      </c>
      <c r="E14" s="9">
        <v>1</v>
      </c>
      <c r="F14" s="3">
        <v>1494</v>
      </c>
      <c r="G14" s="4"/>
      <c r="H14" s="5">
        <v>786</v>
      </c>
      <c r="I14" s="19">
        <f t="shared" si="1"/>
        <v>52.610441767068274</v>
      </c>
      <c r="J14" s="7">
        <v>313</v>
      </c>
      <c r="K14" s="51">
        <f t="shared" si="2"/>
        <v>39.821882951653947</v>
      </c>
      <c r="L14" s="5">
        <v>398</v>
      </c>
      <c r="M14" s="19">
        <f t="shared" si="3"/>
        <v>26.639892904953147</v>
      </c>
      <c r="N14" s="5">
        <v>120</v>
      </c>
      <c r="O14" s="19">
        <f t="shared" si="4"/>
        <v>8.0321285140562253</v>
      </c>
      <c r="P14" s="5">
        <v>104</v>
      </c>
      <c r="Q14" s="19">
        <f t="shared" si="5"/>
        <v>6.9611780455153953</v>
      </c>
      <c r="R14" s="8">
        <f t="shared" si="7"/>
        <v>1408</v>
      </c>
      <c r="S14" s="7">
        <v>86</v>
      </c>
      <c r="T14" s="19">
        <f t="shared" si="0"/>
        <v>5.7563587684069608</v>
      </c>
      <c r="U14" s="18">
        <f t="shared" si="6"/>
        <v>1494</v>
      </c>
      <c r="V14" s="1"/>
    </row>
    <row r="15" spans="1:22" ht="30.75" customHeight="1" x14ac:dyDescent="0.25">
      <c r="A15" s="10">
        <v>10</v>
      </c>
      <c r="B15" s="7"/>
      <c r="C15" s="7"/>
      <c r="D15" s="7" t="s">
        <v>408</v>
      </c>
      <c r="E15" s="9">
        <v>1</v>
      </c>
      <c r="F15" s="3">
        <v>1494</v>
      </c>
      <c r="G15" s="4"/>
      <c r="H15" s="5">
        <v>770</v>
      </c>
      <c r="I15" s="19">
        <f t="shared" si="1"/>
        <v>51.539491298527444</v>
      </c>
      <c r="J15" s="7">
        <v>329</v>
      </c>
      <c r="K15" s="51">
        <f t="shared" si="2"/>
        <v>42.727272727272727</v>
      </c>
      <c r="L15" s="5">
        <v>382</v>
      </c>
      <c r="M15" s="19">
        <f t="shared" si="3"/>
        <v>25.568942436412318</v>
      </c>
      <c r="N15" s="5">
        <v>122</v>
      </c>
      <c r="O15" s="19">
        <f t="shared" si="4"/>
        <v>8.1659973226238289</v>
      </c>
      <c r="P15" s="5">
        <v>108</v>
      </c>
      <c r="Q15" s="19">
        <f t="shared" si="5"/>
        <v>7.2289156626506026</v>
      </c>
      <c r="R15" s="8">
        <f t="shared" si="7"/>
        <v>1382</v>
      </c>
      <c r="S15" s="7">
        <v>112</v>
      </c>
      <c r="T15" s="19">
        <f t="shared" si="0"/>
        <v>7.4966532797858099</v>
      </c>
      <c r="U15" s="18">
        <f t="shared" si="6"/>
        <v>1494</v>
      </c>
      <c r="V15" s="1"/>
    </row>
    <row r="16" spans="1:22" ht="23.25" customHeight="1" x14ac:dyDescent="0.25">
      <c r="A16" s="10">
        <v>2</v>
      </c>
      <c r="B16" s="7"/>
      <c r="C16" s="7"/>
      <c r="D16" s="7" t="s">
        <v>411</v>
      </c>
      <c r="E16" s="9">
        <v>1</v>
      </c>
      <c r="F16" s="3">
        <v>1494</v>
      </c>
      <c r="G16" s="4"/>
      <c r="H16" s="5">
        <v>757</v>
      </c>
      <c r="I16" s="19">
        <f t="shared" ref="I16" si="23">H16*100/F16</f>
        <v>50.66934404283802</v>
      </c>
      <c r="J16" s="7">
        <v>281</v>
      </c>
      <c r="K16" s="57">
        <f t="shared" ref="K16" si="24">J16*100/H16</f>
        <v>37.12021136063408</v>
      </c>
      <c r="L16" s="5">
        <v>390</v>
      </c>
      <c r="M16" s="19">
        <f t="shared" ref="M16" si="25">L16*100/F16</f>
        <v>26.104417670682732</v>
      </c>
      <c r="N16" s="5">
        <v>125</v>
      </c>
      <c r="O16" s="19">
        <f t="shared" ref="O16" si="26">N16*100/F16</f>
        <v>8.3668005354752335</v>
      </c>
      <c r="P16" s="5">
        <v>112</v>
      </c>
      <c r="Q16" s="19">
        <f t="shared" ref="Q16" si="27">P16*100/F16</f>
        <v>7.4966532797858099</v>
      </c>
      <c r="R16" s="8">
        <f>H16+L16+N16+P16</f>
        <v>1384</v>
      </c>
      <c r="S16" s="7">
        <v>110</v>
      </c>
      <c r="T16" s="19">
        <f t="shared" ref="T16" si="28">S16*100/F16</f>
        <v>7.3627844712182062</v>
      </c>
      <c r="U16" s="18">
        <f t="shared" ref="U16" si="29">R16+S16</f>
        <v>1494</v>
      </c>
      <c r="V16" s="1"/>
    </row>
    <row r="17" spans="1:22" ht="30" customHeight="1" x14ac:dyDescent="0.25">
      <c r="A17" s="10">
        <v>11</v>
      </c>
      <c r="B17" s="7"/>
      <c r="C17" s="7"/>
      <c r="D17" s="7" t="s">
        <v>411</v>
      </c>
      <c r="E17" s="9">
        <v>1</v>
      </c>
      <c r="F17" s="3">
        <v>1494</v>
      </c>
      <c r="G17" s="4"/>
      <c r="H17" s="5">
        <v>747</v>
      </c>
      <c r="I17" s="19">
        <f t="shared" si="1"/>
        <v>50</v>
      </c>
      <c r="J17" s="7">
        <v>333</v>
      </c>
      <c r="K17" s="51">
        <f t="shared" si="2"/>
        <v>44.578313253012048</v>
      </c>
      <c r="L17" s="5">
        <v>380</v>
      </c>
      <c r="M17" s="19">
        <f t="shared" si="3"/>
        <v>25.435073627844712</v>
      </c>
      <c r="N17" s="5">
        <v>135</v>
      </c>
      <c r="O17" s="19">
        <f t="shared" si="4"/>
        <v>9.0361445783132535</v>
      </c>
      <c r="P17" s="5">
        <v>114</v>
      </c>
      <c r="Q17" s="19">
        <f t="shared" si="5"/>
        <v>7.6305220883534135</v>
      </c>
      <c r="R17" s="8">
        <f t="shared" si="7"/>
        <v>1376</v>
      </c>
      <c r="S17" s="7">
        <v>118</v>
      </c>
      <c r="T17" s="19">
        <f t="shared" si="0"/>
        <v>7.8982597054886208</v>
      </c>
      <c r="U17" s="18">
        <f t="shared" si="6"/>
        <v>1494</v>
      </c>
      <c r="V17" s="1"/>
    </row>
    <row r="18" spans="1:22" ht="26.25" customHeight="1" x14ac:dyDescent="0.25">
      <c r="A18" s="10">
        <v>12</v>
      </c>
      <c r="B18" s="7"/>
      <c r="C18" s="7"/>
      <c r="D18" s="7" t="s">
        <v>410</v>
      </c>
      <c r="E18" s="9">
        <v>1</v>
      </c>
      <c r="F18" s="3">
        <v>1494</v>
      </c>
      <c r="G18" s="4"/>
      <c r="H18" s="5">
        <v>752</v>
      </c>
      <c r="I18" s="19">
        <f t="shared" si="1"/>
        <v>50.33467202141901</v>
      </c>
      <c r="J18" s="7">
        <v>355</v>
      </c>
      <c r="K18" s="51">
        <f t="shared" si="2"/>
        <v>47.207446808510639</v>
      </c>
      <c r="L18" s="5">
        <v>420</v>
      </c>
      <c r="M18" s="19">
        <f t="shared" si="3"/>
        <v>28.112449799196789</v>
      </c>
      <c r="N18" s="5">
        <v>125</v>
      </c>
      <c r="O18" s="19">
        <f t="shared" si="4"/>
        <v>8.3668005354752335</v>
      </c>
      <c r="P18" s="5">
        <v>105</v>
      </c>
      <c r="Q18" s="19">
        <f>P18*100/F18</f>
        <v>7.0281124497991971</v>
      </c>
      <c r="R18" s="8">
        <f t="shared" si="7"/>
        <v>1402</v>
      </c>
      <c r="S18" s="7">
        <v>92</v>
      </c>
      <c r="T18" s="19">
        <f t="shared" si="0"/>
        <v>6.1579651941097726</v>
      </c>
      <c r="U18" s="18">
        <f t="shared" si="6"/>
        <v>1494</v>
      </c>
      <c r="V18" s="1"/>
    </row>
    <row r="19" spans="1:22" ht="28.5" customHeight="1" x14ac:dyDescent="0.25">
      <c r="A19" s="10">
        <v>13</v>
      </c>
      <c r="B19" s="7"/>
      <c r="C19" s="7"/>
      <c r="D19" s="7" t="s">
        <v>411</v>
      </c>
      <c r="E19" s="9">
        <v>1</v>
      </c>
      <c r="F19" s="3">
        <v>1494</v>
      </c>
      <c r="G19" s="4"/>
      <c r="H19" s="5">
        <v>730</v>
      </c>
      <c r="I19" s="19">
        <f t="shared" si="1"/>
        <v>48.862115127175365</v>
      </c>
      <c r="J19" s="7">
        <v>305</v>
      </c>
      <c r="K19" s="51">
        <f t="shared" si="2"/>
        <v>41.780821917808218</v>
      </c>
      <c r="L19" s="5">
        <v>384</v>
      </c>
      <c r="M19" s="19">
        <f t="shared" si="3"/>
        <v>25.70281124497992</v>
      </c>
      <c r="N19" s="5">
        <v>140</v>
      </c>
      <c r="O19" s="19">
        <f t="shared" si="4"/>
        <v>9.3708165997322617</v>
      </c>
      <c r="P19" s="5">
        <v>118</v>
      </c>
      <c r="Q19" s="19">
        <f t="shared" si="5"/>
        <v>7.8982597054886208</v>
      </c>
      <c r="R19" s="8">
        <f t="shared" si="7"/>
        <v>1372</v>
      </c>
      <c r="S19" s="7">
        <v>122</v>
      </c>
      <c r="T19" s="19">
        <f t="shared" si="0"/>
        <v>8.1659973226238289</v>
      </c>
      <c r="U19" s="18">
        <f t="shared" si="6"/>
        <v>1494</v>
      </c>
      <c r="V19" s="1"/>
    </row>
    <row r="20" spans="1:22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2"/>
    </row>
    <row r="21" spans="1:22" x14ac:dyDescent="0.25">
      <c r="A21" s="11"/>
      <c r="B21" s="1" t="s">
        <v>24</v>
      </c>
      <c r="C21" s="1" t="s">
        <v>25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2"/>
    </row>
    <row r="22" spans="1:22" ht="15.75" x14ac:dyDescent="0.25">
      <c r="A22" s="11"/>
      <c r="B22" s="1"/>
      <c r="C22" s="1" t="s">
        <v>405</v>
      </c>
      <c r="D22" s="1"/>
      <c r="E22" s="1"/>
      <c r="F22" s="1"/>
      <c r="G22" s="13"/>
      <c r="H22" s="13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2"/>
    </row>
    <row r="23" spans="1:22" ht="15.75" x14ac:dyDescent="0.25">
      <c r="A23" s="11"/>
      <c r="B23" s="1"/>
      <c r="C23" s="54" t="s">
        <v>406</v>
      </c>
      <c r="D23" s="1"/>
      <c r="E23" s="1"/>
      <c r="F23" s="1"/>
      <c r="G23" s="13"/>
      <c r="H23" s="13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2"/>
    </row>
    <row r="24" spans="1:22" ht="15.75" x14ac:dyDescent="0.25">
      <c r="A24" s="11"/>
      <c r="B24" s="1"/>
      <c r="C24" s="14" t="s">
        <v>27</v>
      </c>
      <c r="D24" s="1"/>
      <c r="E24" s="1"/>
      <c r="F24" s="1"/>
      <c r="G24" s="13"/>
      <c r="H24" s="13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"/>
    </row>
    <row r="25" spans="1:22" ht="15.75" x14ac:dyDescent="0.25">
      <c r="A25" s="11"/>
      <c r="B25" s="1"/>
      <c r="C25" s="14" t="s">
        <v>26</v>
      </c>
      <c r="D25" s="1"/>
      <c r="E25" s="1"/>
      <c r="F25" s="1"/>
      <c r="G25" s="13"/>
      <c r="H25" s="13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2"/>
    </row>
    <row r="26" spans="1:22" ht="16.5" thickBot="1" x14ac:dyDescent="0.3">
      <c r="A26" s="15"/>
      <c r="B26" s="16"/>
      <c r="C26" s="20"/>
      <c r="D26" s="16"/>
      <c r="E26" s="16"/>
      <c r="F26" s="16"/>
      <c r="G26" s="21"/>
      <c r="H26" s="21"/>
      <c r="I26" s="21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/>
    </row>
    <row r="27" spans="1:22" ht="15.75" x14ac:dyDescent="0.25">
      <c r="A27" s="11"/>
      <c r="B27" s="1"/>
      <c r="C27" s="1"/>
      <c r="D27" s="1"/>
      <c r="E27" s="1"/>
      <c r="F27" s="1"/>
      <c r="G27" s="13"/>
      <c r="H27" s="13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2"/>
    </row>
    <row r="28" spans="1:22" ht="30" customHeight="1" x14ac:dyDescent="0.25">
      <c r="A28" s="11"/>
      <c r="B28" s="73" t="s">
        <v>412</v>
      </c>
      <c r="C28" s="73"/>
      <c r="D28" s="73"/>
      <c r="E28" s="73"/>
      <c r="F28" s="73"/>
      <c r="G28" s="1"/>
      <c r="H28" s="7">
        <v>9</v>
      </c>
      <c r="I28" s="72" t="s">
        <v>413</v>
      </c>
      <c r="J28" s="73"/>
      <c r="K28" s="73"/>
      <c r="L28" s="73"/>
      <c r="M28" s="73"/>
      <c r="N28" s="73"/>
      <c r="O28" s="74"/>
      <c r="P28" s="7">
        <v>12</v>
      </c>
      <c r="Q28" s="52"/>
      <c r="R28" s="52"/>
      <c r="S28" s="52"/>
      <c r="T28" s="52"/>
      <c r="U28" s="53"/>
    </row>
    <row r="29" spans="1:22" ht="30" customHeight="1" x14ac:dyDescent="0.25">
      <c r="A29" s="11"/>
      <c r="B29" s="59" t="s">
        <v>22</v>
      </c>
      <c r="C29" s="59"/>
      <c r="D29" s="56">
        <v>365</v>
      </c>
      <c r="E29" s="61">
        <f>((D29-D30-D31)/D32)*D33-D34</f>
        <v>1494</v>
      </c>
      <c r="F29" s="61"/>
      <c r="G29" s="1"/>
      <c r="H29" s="60" t="s">
        <v>416</v>
      </c>
      <c r="I29" s="58" t="s">
        <v>22</v>
      </c>
      <c r="J29" s="59"/>
      <c r="K29" s="56">
        <v>366</v>
      </c>
      <c r="L29" s="56">
        <v>366</v>
      </c>
      <c r="M29" s="61">
        <f>((L29-L30-L31)/L32)*L33-L34</f>
        <v>1714</v>
      </c>
      <c r="N29" s="61"/>
      <c r="O29" s="62"/>
      <c r="P29" s="60" t="s">
        <v>404</v>
      </c>
      <c r="Q29" s="1"/>
      <c r="R29" s="75" t="s">
        <v>418</v>
      </c>
      <c r="S29" s="75"/>
      <c r="T29" s="75"/>
      <c r="U29" s="76"/>
    </row>
    <row r="30" spans="1:22" ht="30" customHeight="1" x14ac:dyDescent="0.25">
      <c r="A30" s="11"/>
      <c r="B30" s="59" t="s">
        <v>23</v>
      </c>
      <c r="C30" s="59"/>
      <c r="D30" s="56">
        <f>68-H28</f>
        <v>59</v>
      </c>
      <c r="E30" s="61"/>
      <c r="F30" s="61"/>
      <c r="G30" s="1"/>
      <c r="H30" s="60"/>
      <c r="I30" s="70" t="s">
        <v>23</v>
      </c>
      <c r="J30" s="71"/>
      <c r="K30" s="56">
        <v>68</v>
      </c>
      <c r="L30" s="8">
        <v>118</v>
      </c>
      <c r="M30" s="61"/>
      <c r="N30" s="61"/>
      <c r="O30" s="62"/>
      <c r="P30" s="60"/>
      <c r="Q30" s="1"/>
      <c r="R30" s="75" t="s">
        <v>417</v>
      </c>
      <c r="S30" s="75"/>
      <c r="T30" s="75"/>
      <c r="U30" s="76"/>
    </row>
    <row r="31" spans="1:22" ht="30" customHeight="1" x14ac:dyDescent="0.25">
      <c r="A31" s="11"/>
      <c r="B31" s="59" t="s">
        <v>18</v>
      </c>
      <c r="C31" s="59"/>
      <c r="D31" s="7">
        <v>56</v>
      </c>
      <c r="E31" s="61"/>
      <c r="F31" s="61"/>
      <c r="G31" s="1"/>
      <c r="H31" s="60"/>
      <c r="I31" s="58" t="s">
        <v>18</v>
      </c>
      <c r="J31" s="59"/>
      <c r="K31" s="7">
        <v>50</v>
      </c>
      <c r="L31" s="7">
        <v>33</v>
      </c>
      <c r="M31" s="61"/>
      <c r="N31" s="61"/>
      <c r="O31" s="62"/>
      <c r="P31" s="60"/>
      <c r="Q31" s="1"/>
      <c r="R31" s="1"/>
      <c r="S31" s="1"/>
      <c r="T31" s="1"/>
      <c r="U31" s="12"/>
    </row>
    <row r="32" spans="1:22" ht="30" customHeight="1" x14ac:dyDescent="0.25">
      <c r="A32" s="11"/>
      <c r="B32" s="59" t="s">
        <v>19</v>
      </c>
      <c r="C32" s="59"/>
      <c r="D32" s="56">
        <v>6</v>
      </c>
      <c r="E32" s="61"/>
      <c r="F32" s="61"/>
      <c r="G32" s="1"/>
      <c r="H32" s="60"/>
      <c r="I32" s="58" t="s">
        <v>19</v>
      </c>
      <c r="J32" s="59"/>
      <c r="K32" s="56">
        <v>6</v>
      </c>
      <c r="L32" s="56">
        <v>5</v>
      </c>
      <c r="M32" s="61"/>
      <c r="N32" s="61"/>
      <c r="O32" s="62"/>
      <c r="P32" s="60"/>
      <c r="Q32" s="1"/>
      <c r="R32" s="1"/>
      <c r="S32" s="1"/>
      <c r="T32" s="1"/>
      <c r="U32" s="12"/>
    </row>
    <row r="33" spans="1:21" ht="30" customHeight="1" x14ac:dyDescent="0.25">
      <c r="A33" s="11"/>
      <c r="B33" s="59" t="s">
        <v>20</v>
      </c>
      <c r="C33" s="59"/>
      <c r="D33" s="56">
        <v>36</v>
      </c>
      <c r="E33" s="61"/>
      <c r="F33" s="61"/>
      <c r="G33" s="1"/>
      <c r="H33" s="60"/>
      <c r="I33" s="58" t="s">
        <v>20</v>
      </c>
      <c r="J33" s="59"/>
      <c r="K33" s="56">
        <v>36</v>
      </c>
      <c r="L33" s="56">
        <v>40</v>
      </c>
      <c r="M33" s="61"/>
      <c r="N33" s="61"/>
      <c r="O33" s="62"/>
      <c r="P33" s="60"/>
      <c r="Q33" s="1"/>
      <c r="R33" s="1"/>
      <c r="S33" s="1"/>
      <c r="T33" s="1"/>
      <c r="U33" s="12"/>
    </row>
    <row r="34" spans="1:21" ht="30" customHeight="1" x14ac:dyDescent="0.25">
      <c r="A34" s="11"/>
      <c r="B34" s="59" t="s">
        <v>21</v>
      </c>
      <c r="C34" s="59"/>
      <c r="D34" s="56">
        <v>6</v>
      </c>
      <c r="E34" s="61"/>
      <c r="F34" s="61"/>
      <c r="G34" s="1"/>
      <c r="H34" s="60"/>
      <c r="I34" s="58" t="s">
        <v>21</v>
      </c>
      <c r="J34" s="59"/>
      <c r="K34" s="56">
        <v>5</v>
      </c>
      <c r="L34" s="56">
        <v>6</v>
      </c>
      <c r="M34" s="61"/>
      <c r="N34" s="61"/>
      <c r="O34" s="62"/>
      <c r="P34" s="60"/>
      <c r="Q34" s="1"/>
      <c r="R34" s="1"/>
      <c r="S34" s="1"/>
      <c r="T34" s="1"/>
      <c r="U34" s="12"/>
    </row>
    <row r="35" spans="1:21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2"/>
    </row>
    <row r="36" spans="1:21" x14ac:dyDescent="0.25">
      <c r="A36" s="11"/>
      <c r="B36" s="1" t="s">
        <v>24</v>
      </c>
      <c r="C36" s="1" t="s">
        <v>31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2"/>
    </row>
    <row r="37" spans="1:21" x14ac:dyDescent="0.25">
      <c r="A37" s="11"/>
      <c r="B37" s="1"/>
      <c r="C37" s="1" t="s">
        <v>30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2"/>
    </row>
    <row r="38" spans="1:21" ht="15.75" thickBot="1" x14ac:dyDescent="0.3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/>
    </row>
  </sheetData>
  <mergeCells count="32">
    <mergeCell ref="A1:A4"/>
    <mergeCell ref="B1:E3"/>
    <mergeCell ref="F1:G3"/>
    <mergeCell ref="B34:C34"/>
    <mergeCell ref="B28:F28"/>
    <mergeCell ref="B29:C29"/>
    <mergeCell ref="E29:F34"/>
    <mergeCell ref="B33:C33"/>
    <mergeCell ref="B30:C30"/>
    <mergeCell ref="B31:C31"/>
    <mergeCell ref="B32:C32"/>
    <mergeCell ref="P29:P34"/>
    <mergeCell ref="I30:J30"/>
    <mergeCell ref="I28:O28"/>
    <mergeCell ref="R29:U29"/>
    <mergeCell ref="R30:U30"/>
    <mergeCell ref="I31:J31"/>
    <mergeCell ref="U1:U4"/>
    <mergeCell ref="S1:T3"/>
    <mergeCell ref="H3:I3"/>
    <mergeCell ref="J3:K3"/>
    <mergeCell ref="L3:M3"/>
    <mergeCell ref="N3:O3"/>
    <mergeCell ref="P3:Q3"/>
    <mergeCell ref="H1:Q2"/>
    <mergeCell ref="R1:R4"/>
    <mergeCell ref="I32:J32"/>
    <mergeCell ref="H29:H34"/>
    <mergeCell ref="I29:J29"/>
    <mergeCell ref="M29:O34"/>
    <mergeCell ref="I34:J34"/>
    <mergeCell ref="I33:J33"/>
  </mergeCells>
  <conditionalFormatting sqref="I5:I8 I12 I14:I15 I17:I19">
    <cfRule type="containsErrors" dxfId="184" priority="146">
      <formula>ISERROR(I5)</formula>
    </cfRule>
    <cfRule type="cellIs" dxfId="183" priority="174" operator="between">
      <formula>20</formula>
      <formula>56</formula>
    </cfRule>
  </conditionalFormatting>
  <conditionalFormatting sqref="O5:O8 O12 O14:O15 O17:O19">
    <cfRule type="containsErrors" dxfId="182" priority="144">
      <formula>ISERROR(O5)</formula>
    </cfRule>
    <cfRule type="cellIs" dxfId="181" priority="172" operator="between">
      <formula>5.01</formula>
      <formula>10</formula>
    </cfRule>
  </conditionalFormatting>
  <conditionalFormatting sqref="Q5:Q8 Q12 Q14:Q15 Q17:Q19">
    <cfRule type="containsErrors" dxfId="180" priority="143">
      <formula>ISERROR(Q5)</formula>
    </cfRule>
    <cfRule type="cellIs" dxfId="179" priority="171" operator="between">
      <formula>0</formula>
      <formula>10</formula>
    </cfRule>
  </conditionalFormatting>
  <conditionalFormatting sqref="I5:I8 I12 I14:I15 I17:I19">
    <cfRule type="cellIs" dxfId="178" priority="168" operator="between">
      <formula>61.01</formula>
      <formula>100</formula>
    </cfRule>
    <cfRule type="cellIs" dxfId="177" priority="169" operator="between">
      <formula>0</formula>
      <formula>19.99</formula>
    </cfRule>
    <cfRule type="cellIs" dxfId="176" priority="170" operator="between">
      <formula>56</formula>
      <formula>61</formula>
    </cfRule>
  </conditionalFormatting>
  <conditionalFormatting sqref="M5:M8 M12 M14:M15 M17:M19">
    <cfRule type="containsErrors" dxfId="175" priority="145">
      <formula>ISERROR(M5)</formula>
    </cfRule>
    <cfRule type="cellIs" dxfId="174" priority="163" operator="between">
      <formula>45.01</formula>
      <formula>100</formula>
    </cfRule>
    <cfRule type="cellIs" dxfId="173" priority="164" operator="between">
      <formula>0</formula>
      <formula>19.99</formula>
    </cfRule>
    <cfRule type="cellIs" dxfId="172" priority="165" operator="between">
      <formula>40</formula>
      <formula>45</formula>
    </cfRule>
    <cfRule type="cellIs" dxfId="171" priority="166" operator="between">
      <formula>20</formula>
      <formula>25</formula>
    </cfRule>
    <cfRule type="cellIs" dxfId="170" priority="167" operator="between">
      <formula>25</formula>
      <formula>40</formula>
    </cfRule>
  </conditionalFormatting>
  <conditionalFormatting sqref="O5:O8 O12 O14:O15 O17:O19">
    <cfRule type="cellIs" dxfId="169" priority="160" operator="between">
      <formula>15</formula>
      <formula>20</formula>
    </cfRule>
    <cfRule type="cellIs" dxfId="168" priority="161" operator="between">
      <formula>10.01</formula>
      <formula>15</formula>
    </cfRule>
    <cfRule type="cellIs" dxfId="167" priority="162" operator="between">
      <formula>0</formula>
      <formula>5</formula>
    </cfRule>
  </conditionalFormatting>
  <conditionalFormatting sqref="Q5:Q8 Q12 Q14:Q15 Q17:Q19">
    <cfRule type="cellIs" dxfId="166" priority="159" operator="between">
      <formula>10.01</formula>
      <formula>100</formula>
    </cfRule>
  </conditionalFormatting>
  <conditionalFormatting sqref="T5:T8 T12 T14:T15 T17:T19">
    <cfRule type="containsErrors" dxfId="165" priority="142">
      <formula>ISERROR(T5)</formula>
    </cfRule>
    <cfRule type="cellIs" dxfId="164" priority="149" operator="between">
      <formula>55</formula>
      <formula>100</formula>
    </cfRule>
    <cfRule type="cellIs" dxfId="163" priority="150" operator="between">
      <formula>25</formula>
      <formula>30</formula>
    </cfRule>
    <cfRule type="cellIs" dxfId="162" priority="151" operator="between">
      <formula>0</formula>
      <formula>5</formula>
    </cfRule>
    <cfRule type="cellIs" dxfId="161" priority="152" operator="between">
      <formula>30</formula>
      <formula>55</formula>
    </cfRule>
    <cfRule type="cellIs" dxfId="160" priority="153" operator="between">
      <formula>5</formula>
      <formula>25</formula>
    </cfRule>
  </conditionalFormatting>
  <conditionalFormatting sqref="U5:U8 U12 U14:U15 U17:U19">
    <cfRule type="cellIs" dxfId="159" priority="147" operator="notEqual">
      <formula>F5</formula>
    </cfRule>
    <cfRule type="cellIs" dxfId="158" priority="148" operator="equal">
      <formula>F5</formula>
    </cfRule>
  </conditionalFormatting>
  <conditionalFormatting sqref="O5:O8 O12 O14:O15 O17:O19">
    <cfRule type="cellIs" dxfId="157" priority="141" operator="greaterThan">
      <formula>20.01</formula>
    </cfRule>
  </conditionalFormatting>
  <conditionalFormatting sqref="I9">
    <cfRule type="containsErrors" dxfId="156" priority="118">
      <formula>ISERROR(I9)</formula>
    </cfRule>
    <cfRule type="cellIs" dxfId="155" priority="140" operator="between">
      <formula>20</formula>
      <formula>56</formula>
    </cfRule>
  </conditionalFormatting>
  <conditionalFormatting sqref="O9">
    <cfRule type="containsErrors" dxfId="154" priority="116">
      <formula>ISERROR(O9)</formula>
    </cfRule>
    <cfRule type="cellIs" dxfId="153" priority="139" operator="between">
      <formula>5.01</formula>
      <formula>10</formula>
    </cfRule>
  </conditionalFormatting>
  <conditionalFormatting sqref="Q9">
    <cfRule type="containsErrors" dxfId="152" priority="115">
      <formula>ISERROR(Q9)</formula>
    </cfRule>
    <cfRule type="cellIs" dxfId="151" priority="138" operator="between">
      <formula>0</formula>
      <formula>10</formula>
    </cfRule>
  </conditionalFormatting>
  <conditionalFormatting sqref="I9">
    <cfRule type="cellIs" dxfId="150" priority="135" operator="between">
      <formula>61.01</formula>
      <formula>100</formula>
    </cfRule>
    <cfRule type="cellIs" dxfId="149" priority="136" operator="between">
      <formula>0</formula>
      <formula>19.99</formula>
    </cfRule>
    <cfRule type="cellIs" dxfId="148" priority="137" operator="between">
      <formula>56</formula>
      <formula>61</formula>
    </cfRule>
  </conditionalFormatting>
  <conditionalFormatting sqref="M9">
    <cfRule type="containsErrors" dxfId="147" priority="117">
      <formula>ISERROR(M9)</formula>
    </cfRule>
    <cfRule type="cellIs" dxfId="146" priority="130" operator="between">
      <formula>45.01</formula>
      <formula>100</formula>
    </cfRule>
    <cfRule type="cellIs" dxfId="145" priority="131" operator="between">
      <formula>0</formula>
      <formula>19.99</formula>
    </cfRule>
    <cfRule type="cellIs" dxfId="144" priority="132" operator="between">
      <formula>40</formula>
      <formula>45</formula>
    </cfRule>
    <cfRule type="cellIs" dxfId="143" priority="133" operator="between">
      <formula>20</formula>
      <formula>25</formula>
    </cfRule>
    <cfRule type="cellIs" dxfId="142" priority="134" operator="between">
      <formula>25</formula>
      <formula>40</formula>
    </cfRule>
  </conditionalFormatting>
  <conditionalFormatting sqref="O9">
    <cfRule type="cellIs" dxfId="141" priority="127" operator="between">
      <formula>15</formula>
      <formula>20</formula>
    </cfRule>
    <cfRule type="cellIs" dxfId="140" priority="128" operator="between">
      <formula>10.01</formula>
      <formula>15</formula>
    </cfRule>
    <cfRule type="cellIs" dxfId="139" priority="129" operator="between">
      <formula>0</formula>
      <formula>5</formula>
    </cfRule>
  </conditionalFormatting>
  <conditionalFormatting sqref="Q9">
    <cfRule type="cellIs" dxfId="138" priority="126" operator="between">
      <formula>10.01</formula>
      <formula>100</formula>
    </cfRule>
  </conditionalFormatting>
  <conditionalFormatting sqref="T9">
    <cfRule type="containsErrors" dxfId="137" priority="114">
      <formula>ISERROR(T9)</formula>
    </cfRule>
    <cfRule type="cellIs" dxfId="136" priority="121" operator="between">
      <formula>55</formula>
      <formula>100</formula>
    </cfRule>
    <cfRule type="cellIs" dxfId="135" priority="122" operator="between">
      <formula>25</formula>
      <formula>30</formula>
    </cfRule>
    <cfRule type="cellIs" dxfId="134" priority="123" operator="between">
      <formula>0</formula>
      <formula>5</formula>
    </cfRule>
    <cfRule type="cellIs" dxfId="133" priority="124" operator="between">
      <formula>30</formula>
      <formula>55</formula>
    </cfRule>
    <cfRule type="cellIs" dxfId="132" priority="125" operator="between">
      <formula>5</formula>
      <formula>25</formula>
    </cfRule>
  </conditionalFormatting>
  <conditionalFormatting sqref="U9">
    <cfRule type="cellIs" dxfId="131" priority="119" operator="notEqual">
      <formula>F9</formula>
    </cfRule>
    <cfRule type="cellIs" dxfId="130" priority="120" operator="equal">
      <formula>F9</formula>
    </cfRule>
  </conditionalFormatting>
  <conditionalFormatting sqref="O9">
    <cfRule type="cellIs" dxfId="129" priority="113" operator="greaterThan">
      <formula>20.01</formula>
    </cfRule>
  </conditionalFormatting>
  <conditionalFormatting sqref="I10">
    <cfRule type="containsErrors" dxfId="128" priority="90">
      <formula>ISERROR(I10)</formula>
    </cfRule>
    <cfRule type="cellIs" dxfId="127" priority="112" operator="between">
      <formula>20</formula>
      <formula>56</formula>
    </cfRule>
  </conditionalFormatting>
  <conditionalFormatting sqref="O10">
    <cfRule type="containsErrors" dxfId="126" priority="88">
      <formula>ISERROR(O10)</formula>
    </cfRule>
    <cfRule type="cellIs" dxfId="125" priority="111" operator="between">
      <formula>5.01</formula>
      <formula>10</formula>
    </cfRule>
  </conditionalFormatting>
  <conditionalFormatting sqref="Q10">
    <cfRule type="containsErrors" dxfId="124" priority="87">
      <formula>ISERROR(Q10)</formula>
    </cfRule>
    <cfRule type="cellIs" dxfId="123" priority="110" operator="between">
      <formula>0</formula>
      <formula>10</formula>
    </cfRule>
  </conditionalFormatting>
  <conditionalFormatting sqref="I10">
    <cfRule type="cellIs" dxfId="122" priority="107" operator="between">
      <formula>61.01</formula>
      <formula>100</formula>
    </cfRule>
    <cfRule type="cellIs" dxfId="121" priority="108" operator="between">
      <formula>0</formula>
      <formula>19.99</formula>
    </cfRule>
    <cfRule type="cellIs" dxfId="120" priority="109" operator="between">
      <formula>56</formula>
      <formula>61</formula>
    </cfRule>
  </conditionalFormatting>
  <conditionalFormatting sqref="M10">
    <cfRule type="containsErrors" dxfId="119" priority="89">
      <formula>ISERROR(M10)</formula>
    </cfRule>
    <cfRule type="cellIs" dxfId="118" priority="102" operator="between">
      <formula>45.01</formula>
      <formula>100</formula>
    </cfRule>
    <cfRule type="cellIs" dxfId="117" priority="103" operator="between">
      <formula>0</formula>
      <formula>19.99</formula>
    </cfRule>
    <cfRule type="cellIs" dxfId="116" priority="104" operator="between">
      <formula>40</formula>
      <formula>45</formula>
    </cfRule>
    <cfRule type="cellIs" dxfId="115" priority="105" operator="between">
      <formula>20</formula>
      <formula>25</formula>
    </cfRule>
    <cfRule type="cellIs" dxfId="114" priority="106" operator="between">
      <formula>25</formula>
      <formula>40</formula>
    </cfRule>
  </conditionalFormatting>
  <conditionalFormatting sqref="O10">
    <cfRule type="cellIs" dxfId="113" priority="99" operator="between">
      <formula>15</formula>
      <formula>20</formula>
    </cfRule>
    <cfRule type="cellIs" dxfId="112" priority="100" operator="between">
      <formula>10.01</formula>
      <formula>15</formula>
    </cfRule>
    <cfRule type="cellIs" dxfId="111" priority="101" operator="between">
      <formula>0</formula>
      <formula>5</formula>
    </cfRule>
  </conditionalFormatting>
  <conditionalFormatting sqref="Q10">
    <cfRule type="cellIs" dxfId="110" priority="98" operator="between">
      <formula>10.01</formula>
      <formula>100</formula>
    </cfRule>
  </conditionalFormatting>
  <conditionalFormatting sqref="T10">
    <cfRule type="containsErrors" dxfId="109" priority="86">
      <formula>ISERROR(T10)</formula>
    </cfRule>
    <cfRule type="cellIs" dxfId="108" priority="93" operator="between">
      <formula>55</formula>
      <formula>100</formula>
    </cfRule>
    <cfRule type="cellIs" dxfId="107" priority="94" operator="between">
      <formula>25</formula>
      <formula>30</formula>
    </cfRule>
    <cfRule type="cellIs" dxfId="106" priority="95" operator="between">
      <formula>0</formula>
      <formula>5</formula>
    </cfRule>
    <cfRule type="cellIs" dxfId="105" priority="96" operator="between">
      <formula>30</formula>
      <formula>55</formula>
    </cfRule>
    <cfRule type="cellIs" dxfId="104" priority="97" operator="between">
      <formula>5</formula>
      <formula>25</formula>
    </cfRule>
  </conditionalFormatting>
  <conditionalFormatting sqref="U10">
    <cfRule type="cellIs" dxfId="103" priority="91" operator="notEqual">
      <formula>F10</formula>
    </cfRule>
    <cfRule type="cellIs" dxfId="102" priority="92" operator="equal">
      <formula>F10</formula>
    </cfRule>
  </conditionalFormatting>
  <conditionalFormatting sqref="O10">
    <cfRule type="cellIs" dxfId="101" priority="85" operator="greaterThan">
      <formula>20.01</formula>
    </cfRule>
  </conditionalFormatting>
  <conditionalFormatting sqref="I13">
    <cfRule type="containsErrors" dxfId="100" priority="62">
      <formula>ISERROR(I13)</formula>
    </cfRule>
    <cfRule type="cellIs" dxfId="99" priority="84" operator="between">
      <formula>20</formula>
      <formula>56</formula>
    </cfRule>
  </conditionalFormatting>
  <conditionalFormatting sqref="O13">
    <cfRule type="containsErrors" dxfId="98" priority="60">
      <formula>ISERROR(O13)</formula>
    </cfRule>
    <cfRule type="cellIs" dxfId="97" priority="83" operator="between">
      <formula>5.01</formula>
      <formula>10</formula>
    </cfRule>
  </conditionalFormatting>
  <conditionalFormatting sqref="Q13">
    <cfRule type="containsErrors" dxfId="96" priority="59">
      <formula>ISERROR(Q13)</formula>
    </cfRule>
    <cfRule type="cellIs" dxfId="95" priority="82" operator="between">
      <formula>0</formula>
      <formula>10</formula>
    </cfRule>
  </conditionalFormatting>
  <conditionalFormatting sqref="I13">
    <cfRule type="cellIs" dxfId="94" priority="79" operator="between">
      <formula>61.01</formula>
      <formula>100</formula>
    </cfRule>
    <cfRule type="cellIs" dxfId="93" priority="80" operator="between">
      <formula>0</formula>
      <formula>19.99</formula>
    </cfRule>
    <cfRule type="cellIs" dxfId="92" priority="81" operator="between">
      <formula>56</formula>
      <formula>61</formula>
    </cfRule>
  </conditionalFormatting>
  <conditionalFormatting sqref="M13">
    <cfRule type="containsErrors" dxfId="91" priority="61">
      <formula>ISERROR(M13)</formula>
    </cfRule>
    <cfRule type="cellIs" dxfId="90" priority="74" operator="between">
      <formula>45.01</formula>
      <formula>100</formula>
    </cfRule>
    <cfRule type="cellIs" dxfId="89" priority="75" operator="between">
      <formula>0</formula>
      <formula>19.99</formula>
    </cfRule>
    <cfRule type="cellIs" dxfId="88" priority="76" operator="between">
      <formula>40</formula>
      <formula>45</formula>
    </cfRule>
    <cfRule type="cellIs" dxfId="87" priority="77" operator="between">
      <formula>20</formula>
      <formula>25</formula>
    </cfRule>
    <cfRule type="cellIs" dxfId="86" priority="78" operator="between">
      <formula>25</formula>
      <formula>40</formula>
    </cfRule>
  </conditionalFormatting>
  <conditionalFormatting sqref="O13">
    <cfRule type="cellIs" dxfId="85" priority="71" operator="between">
      <formula>15</formula>
      <formula>20</formula>
    </cfRule>
    <cfRule type="cellIs" dxfId="84" priority="72" operator="between">
      <formula>10.01</formula>
      <formula>15</formula>
    </cfRule>
    <cfRule type="cellIs" dxfId="83" priority="73" operator="between">
      <formula>0</formula>
      <formula>5</formula>
    </cfRule>
  </conditionalFormatting>
  <conditionalFormatting sqref="Q13">
    <cfRule type="cellIs" dxfId="82" priority="70" operator="between">
      <formula>10.01</formula>
      <formula>100</formula>
    </cfRule>
  </conditionalFormatting>
  <conditionalFormatting sqref="T13">
    <cfRule type="containsErrors" dxfId="81" priority="58">
      <formula>ISERROR(T13)</formula>
    </cfRule>
    <cfRule type="cellIs" dxfId="80" priority="65" operator="between">
      <formula>55</formula>
      <formula>100</formula>
    </cfRule>
    <cfRule type="cellIs" dxfId="79" priority="66" operator="between">
      <formula>25</formula>
      <formula>30</formula>
    </cfRule>
    <cfRule type="cellIs" dxfId="78" priority="67" operator="between">
      <formula>0</formula>
      <formula>5</formula>
    </cfRule>
    <cfRule type="cellIs" dxfId="77" priority="68" operator="between">
      <formula>30</formula>
      <formula>55</formula>
    </cfRule>
    <cfRule type="cellIs" dxfId="76" priority="69" operator="between">
      <formula>5</formula>
      <formula>25</formula>
    </cfRule>
  </conditionalFormatting>
  <conditionalFormatting sqref="U13">
    <cfRule type="cellIs" dxfId="75" priority="63" operator="notEqual">
      <formula>F13</formula>
    </cfRule>
    <cfRule type="cellIs" dxfId="74" priority="64" operator="equal">
      <formula>F13</formula>
    </cfRule>
  </conditionalFormatting>
  <conditionalFormatting sqref="O13">
    <cfRule type="cellIs" dxfId="73" priority="57" operator="greaterThan">
      <formula>20.01</formula>
    </cfRule>
  </conditionalFormatting>
  <conditionalFormatting sqref="I16">
    <cfRule type="containsErrors" dxfId="72" priority="34">
      <formula>ISERROR(I16)</formula>
    </cfRule>
    <cfRule type="cellIs" dxfId="71" priority="56" operator="between">
      <formula>20</formula>
      <formula>56</formula>
    </cfRule>
  </conditionalFormatting>
  <conditionalFormatting sqref="O16">
    <cfRule type="containsErrors" dxfId="70" priority="32">
      <formula>ISERROR(O16)</formula>
    </cfRule>
    <cfRule type="cellIs" dxfId="69" priority="55" operator="between">
      <formula>5.01</formula>
      <formula>10</formula>
    </cfRule>
  </conditionalFormatting>
  <conditionalFormatting sqref="Q16">
    <cfRule type="containsErrors" dxfId="68" priority="31">
      <formula>ISERROR(Q16)</formula>
    </cfRule>
    <cfRule type="cellIs" dxfId="67" priority="54" operator="between">
      <formula>0</formula>
      <formula>10</formula>
    </cfRule>
  </conditionalFormatting>
  <conditionalFormatting sqref="I16">
    <cfRule type="cellIs" dxfId="66" priority="51" operator="between">
      <formula>61.01</formula>
      <formula>100</formula>
    </cfRule>
    <cfRule type="cellIs" dxfId="65" priority="52" operator="between">
      <formula>0</formula>
      <formula>19.99</formula>
    </cfRule>
    <cfRule type="cellIs" dxfId="64" priority="53" operator="between">
      <formula>56</formula>
      <formula>61</formula>
    </cfRule>
  </conditionalFormatting>
  <conditionalFormatting sqref="M16">
    <cfRule type="containsErrors" dxfId="63" priority="33">
      <formula>ISERROR(M16)</formula>
    </cfRule>
    <cfRule type="cellIs" dxfId="62" priority="46" operator="between">
      <formula>45.01</formula>
      <formula>100</formula>
    </cfRule>
    <cfRule type="cellIs" dxfId="61" priority="47" operator="between">
      <formula>0</formula>
      <formula>19.99</formula>
    </cfRule>
    <cfRule type="cellIs" dxfId="60" priority="48" operator="between">
      <formula>40</formula>
      <formula>45</formula>
    </cfRule>
    <cfRule type="cellIs" dxfId="59" priority="49" operator="between">
      <formula>20</formula>
      <formula>25</formula>
    </cfRule>
    <cfRule type="cellIs" dxfId="58" priority="50" operator="between">
      <formula>25</formula>
      <formula>40</formula>
    </cfRule>
  </conditionalFormatting>
  <conditionalFormatting sqref="O16">
    <cfRule type="cellIs" dxfId="57" priority="43" operator="between">
      <formula>15</formula>
      <formula>20</formula>
    </cfRule>
    <cfRule type="cellIs" dxfId="56" priority="44" operator="between">
      <formula>10.01</formula>
      <formula>15</formula>
    </cfRule>
    <cfRule type="cellIs" dxfId="55" priority="45" operator="between">
      <formula>0</formula>
      <formula>5</formula>
    </cfRule>
  </conditionalFormatting>
  <conditionalFormatting sqref="Q16">
    <cfRule type="cellIs" dxfId="54" priority="42" operator="between">
      <formula>10.01</formula>
      <formula>100</formula>
    </cfRule>
  </conditionalFormatting>
  <conditionalFormatting sqref="T16">
    <cfRule type="containsErrors" dxfId="53" priority="30">
      <formula>ISERROR(T16)</formula>
    </cfRule>
    <cfRule type="cellIs" dxfId="52" priority="37" operator="between">
      <formula>55</formula>
      <formula>100</formula>
    </cfRule>
    <cfRule type="cellIs" dxfId="51" priority="38" operator="between">
      <formula>25</formula>
      <formula>30</formula>
    </cfRule>
    <cfRule type="cellIs" dxfId="50" priority="39" operator="between">
      <formula>0</formula>
      <formula>5</formula>
    </cfRule>
    <cfRule type="cellIs" dxfId="49" priority="40" operator="between">
      <formula>30</formula>
      <formula>55</formula>
    </cfRule>
    <cfRule type="cellIs" dxfId="48" priority="41" operator="between">
      <formula>5</formula>
      <formula>25</formula>
    </cfRule>
  </conditionalFormatting>
  <conditionalFormatting sqref="U16">
    <cfRule type="cellIs" dxfId="47" priority="35" operator="notEqual">
      <formula>F16</formula>
    </cfRule>
    <cfRule type="cellIs" dxfId="46" priority="36" operator="equal">
      <formula>F16</formula>
    </cfRule>
  </conditionalFormatting>
  <conditionalFormatting sqref="O16">
    <cfRule type="cellIs" dxfId="45" priority="29" operator="greaterThan">
      <formula>20.01</formula>
    </cfRule>
  </conditionalFormatting>
  <conditionalFormatting sqref="I11">
    <cfRule type="containsErrors" dxfId="44" priority="6">
      <formula>ISERROR(I11)</formula>
    </cfRule>
    <cfRule type="cellIs" dxfId="43" priority="28" operator="between">
      <formula>20</formula>
      <formula>56</formula>
    </cfRule>
  </conditionalFormatting>
  <conditionalFormatting sqref="O11">
    <cfRule type="containsErrors" dxfId="42" priority="4">
      <formula>ISERROR(O11)</formula>
    </cfRule>
    <cfRule type="cellIs" dxfId="41" priority="27" operator="between">
      <formula>5.01</formula>
      <formula>10</formula>
    </cfRule>
  </conditionalFormatting>
  <conditionalFormatting sqref="Q11">
    <cfRule type="containsErrors" dxfId="40" priority="3">
      <formula>ISERROR(Q11)</formula>
    </cfRule>
    <cfRule type="cellIs" dxfId="39" priority="26" operator="between">
      <formula>0</formula>
      <formula>10</formula>
    </cfRule>
  </conditionalFormatting>
  <conditionalFormatting sqref="I11">
    <cfRule type="cellIs" dxfId="38" priority="23" operator="between">
      <formula>61.01</formula>
      <formula>100</formula>
    </cfRule>
    <cfRule type="cellIs" dxfId="37" priority="24" operator="between">
      <formula>0</formula>
      <formula>19.99</formula>
    </cfRule>
    <cfRule type="cellIs" dxfId="36" priority="25" operator="between">
      <formula>56</formula>
      <formula>61</formula>
    </cfRule>
  </conditionalFormatting>
  <conditionalFormatting sqref="M11">
    <cfRule type="containsErrors" dxfId="35" priority="5">
      <formula>ISERROR(M11)</formula>
    </cfRule>
    <cfRule type="cellIs" dxfId="34" priority="18" operator="between">
      <formula>45.01</formula>
      <formula>100</formula>
    </cfRule>
    <cfRule type="cellIs" dxfId="33" priority="19" operator="between">
      <formula>0</formula>
      <formula>19.99</formula>
    </cfRule>
    <cfRule type="cellIs" dxfId="32" priority="20" operator="between">
      <formula>40</formula>
      <formula>45</formula>
    </cfRule>
    <cfRule type="cellIs" dxfId="31" priority="21" operator="between">
      <formula>20</formula>
      <formula>25</formula>
    </cfRule>
    <cfRule type="cellIs" dxfId="30" priority="22" operator="between">
      <formula>25</formula>
      <formula>40</formula>
    </cfRule>
  </conditionalFormatting>
  <conditionalFormatting sqref="O11">
    <cfRule type="cellIs" dxfId="29" priority="15" operator="between">
      <formula>15</formula>
      <formula>20</formula>
    </cfRule>
    <cfRule type="cellIs" dxfId="28" priority="16" operator="between">
      <formula>10.01</formula>
      <formula>15</formula>
    </cfRule>
    <cfRule type="cellIs" dxfId="27" priority="17" operator="between">
      <formula>0</formula>
      <formula>5</formula>
    </cfRule>
  </conditionalFormatting>
  <conditionalFormatting sqref="Q11">
    <cfRule type="cellIs" dxfId="26" priority="14" operator="between">
      <formula>10.01</formula>
      <formula>100</formula>
    </cfRule>
  </conditionalFormatting>
  <conditionalFormatting sqref="T11">
    <cfRule type="containsErrors" dxfId="25" priority="2">
      <formula>ISERROR(T11)</formula>
    </cfRule>
    <cfRule type="cellIs" dxfId="24" priority="9" operator="between">
      <formula>55</formula>
      <formula>100</formula>
    </cfRule>
    <cfRule type="cellIs" dxfId="23" priority="10" operator="between">
      <formula>25</formula>
      <formula>30</formula>
    </cfRule>
    <cfRule type="cellIs" dxfId="22" priority="11" operator="between">
      <formula>0</formula>
      <formula>5</formula>
    </cfRule>
    <cfRule type="cellIs" dxfId="21" priority="12" operator="between">
      <formula>30</formula>
      <formula>55</formula>
    </cfRule>
    <cfRule type="cellIs" dxfId="20" priority="13" operator="between">
      <formula>5</formula>
      <formula>25</formula>
    </cfRule>
  </conditionalFormatting>
  <conditionalFormatting sqref="U11">
    <cfRule type="cellIs" dxfId="19" priority="7" operator="notEqual">
      <formula>F11</formula>
    </cfRule>
    <cfRule type="cellIs" dxfId="18" priority="8" operator="equal">
      <formula>F11</formula>
    </cfRule>
  </conditionalFormatting>
  <conditionalFormatting sqref="O11">
    <cfRule type="cellIs" dxfId="17" priority="1" operator="greaterThan">
      <formula>20.01</formula>
    </cfRule>
  </conditionalFormatting>
  <pageMargins left="0.7" right="0.7" top="0.75" bottom="0.75" header="0.3" footer="0.3"/>
  <pageSetup paperSize="8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K384"/>
  <sheetViews>
    <sheetView zoomScaleNormal="100" workbookViewId="0">
      <pane ySplit="4" topLeftCell="A128" activePane="bottomLeft" state="frozen"/>
      <selection pane="bottomLeft" activeCell="O171" sqref="O171"/>
    </sheetView>
  </sheetViews>
  <sheetFormatPr defaultRowHeight="18.75" x14ac:dyDescent="0.25"/>
  <cols>
    <col min="1" max="1" width="8.140625" style="22" hidden="1" customWidth="1"/>
    <col min="2" max="2" width="21" style="22" hidden="1" customWidth="1"/>
    <col min="3" max="3" width="40.140625" style="22" hidden="1" customWidth="1"/>
    <col min="4" max="4" width="24.28515625" style="22" hidden="1" customWidth="1"/>
    <col min="5" max="5" width="24.140625" style="22" hidden="1" customWidth="1"/>
    <col min="6" max="6" width="11.140625" hidden="1" customWidth="1"/>
    <col min="7" max="7" width="4.7109375" style="38" customWidth="1"/>
    <col min="8" max="8" width="21" style="38" bestFit="1" customWidth="1"/>
    <col min="9" max="9" width="40.140625" style="38" customWidth="1"/>
    <col min="10" max="10" width="24.28515625" style="38" customWidth="1"/>
    <col min="11" max="11" width="24.140625" style="38" customWidth="1"/>
  </cols>
  <sheetData>
    <row r="3" spans="1:11" ht="19.5" thickBot="1" x14ac:dyDescent="0.3"/>
    <row r="4" spans="1:11" ht="36" customHeight="1" thickBot="1" x14ac:dyDescent="0.3">
      <c r="A4" s="35" t="s">
        <v>0</v>
      </c>
      <c r="B4" s="36" t="s">
        <v>2</v>
      </c>
      <c r="C4" s="36" t="s">
        <v>4</v>
      </c>
      <c r="D4" s="36" t="s">
        <v>33</v>
      </c>
      <c r="E4" s="37" t="s">
        <v>32</v>
      </c>
      <c r="F4" s="22"/>
      <c r="G4" s="35" t="s">
        <v>0</v>
      </c>
      <c r="H4" s="36" t="s">
        <v>2</v>
      </c>
      <c r="I4" s="36" t="s">
        <v>4</v>
      </c>
      <c r="J4" s="36" t="s">
        <v>33</v>
      </c>
      <c r="K4" s="37" t="s">
        <v>32</v>
      </c>
    </row>
    <row r="5" spans="1:11" ht="18" customHeight="1" x14ac:dyDescent="0.25">
      <c r="A5" s="115" t="s">
        <v>69</v>
      </c>
      <c r="B5" s="116"/>
      <c r="C5" s="116"/>
      <c r="D5" s="116"/>
      <c r="E5" s="117"/>
      <c r="F5" s="25"/>
      <c r="G5" s="87" t="s">
        <v>171</v>
      </c>
      <c r="H5" s="88"/>
      <c r="I5" s="88"/>
      <c r="J5" s="88"/>
      <c r="K5" s="89"/>
    </row>
    <row r="6" spans="1:11" ht="18" customHeight="1" x14ac:dyDescent="0.25">
      <c r="A6" s="24">
        <v>1</v>
      </c>
      <c r="B6" s="23" t="s">
        <v>28</v>
      </c>
      <c r="C6" s="23" t="s">
        <v>1</v>
      </c>
      <c r="D6" s="23" t="s">
        <v>34</v>
      </c>
      <c r="E6" s="26">
        <v>16</v>
      </c>
      <c r="G6" s="24">
        <v>1</v>
      </c>
      <c r="H6" s="23" t="s">
        <v>37</v>
      </c>
      <c r="I6" s="23" t="s">
        <v>41</v>
      </c>
      <c r="J6" s="23" t="s">
        <v>167</v>
      </c>
      <c r="K6" s="26">
        <v>54</v>
      </c>
    </row>
    <row r="7" spans="1:11" ht="18" customHeight="1" x14ac:dyDescent="0.25">
      <c r="A7" s="24">
        <v>2</v>
      </c>
      <c r="B7" s="23" t="s">
        <v>28</v>
      </c>
      <c r="C7" s="23" t="s">
        <v>35</v>
      </c>
      <c r="D7" s="23" t="s">
        <v>36</v>
      </c>
      <c r="E7" s="26">
        <v>40</v>
      </c>
      <c r="G7" s="24">
        <v>2</v>
      </c>
      <c r="H7" s="23" t="s">
        <v>37</v>
      </c>
      <c r="I7" s="23" t="s">
        <v>64</v>
      </c>
      <c r="J7" s="23" t="s">
        <v>168</v>
      </c>
      <c r="K7" s="26">
        <v>24</v>
      </c>
    </row>
    <row r="8" spans="1:11" ht="18" customHeight="1" x14ac:dyDescent="0.25">
      <c r="A8" s="24">
        <v>3</v>
      </c>
      <c r="B8" s="23" t="s">
        <v>37</v>
      </c>
      <c r="C8" s="23" t="s">
        <v>29</v>
      </c>
      <c r="D8" s="23" t="s">
        <v>38</v>
      </c>
      <c r="E8" s="26">
        <v>46</v>
      </c>
      <c r="G8" s="24">
        <v>3</v>
      </c>
      <c r="H8" s="23" t="s">
        <v>37</v>
      </c>
      <c r="I8" s="23" t="s">
        <v>46</v>
      </c>
      <c r="J8" s="23" t="s">
        <v>169</v>
      </c>
      <c r="K8" s="26">
        <v>100</v>
      </c>
    </row>
    <row r="9" spans="1:11" ht="18" customHeight="1" x14ac:dyDescent="0.25">
      <c r="A9" s="24">
        <v>4</v>
      </c>
      <c r="B9" s="23" t="s">
        <v>28</v>
      </c>
      <c r="C9" s="23" t="s">
        <v>1</v>
      </c>
      <c r="D9" s="23" t="s">
        <v>39</v>
      </c>
      <c r="E9" s="26">
        <v>44</v>
      </c>
      <c r="G9" s="24">
        <v>4</v>
      </c>
      <c r="H9" s="23" t="s">
        <v>37</v>
      </c>
      <c r="I9" s="23" t="s">
        <v>35</v>
      </c>
      <c r="J9" s="23" t="s">
        <v>170</v>
      </c>
      <c r="K9" s="26">
        <v>158</v>
      </c>
    </row>
    <row r="10" spans="1:11" ht="18" customHeight="1" x14ac:dyDescent="0.25">
      <c r="A10" s="24">
        <v>5</v>
      </c>
      <c r="B10" s="23" t="s">
        <v>40</v>
      </c>
      <c r="C10" s="23" t="s">
        <v>41</v>
      </c>
      <c r="D10" s="23" t="s">
        <v>42</v>
      </c>
      <c r="E10" s="26">
        <v>34</v>
      </c>
      <c r="G10" s="24">
        <v>5</v>
      </c>
      <c r="H10" s="23" t="s">
        <v>37</v>
      </c>
      <c r="I10" s="23" t="s">
        <v>35</v>
      </c>
      <c r="J10" s="23" t="s">
        <v>172</v>
      </c>
      <c r="K10" s="26">
        <v>188</v>
      </c>
    </row>
    <row r="11" spans="1:11" ht="18" customHeight="1" x14ac:dyDescent="0.25">
      <c r="A11" s="24">
        <v>6</v>
      </c>
      <c r="B11" s="23" t="s">
        <v>28</v>
      </c>
      <c r="C11" s="23" t="s">
        <v>29</v>
      </c>
      <c r="D11" s="23" t="s">
        <v>43</v>
      </c>
      <c r="E11" s="26">
        <v>46</v>
      </c>
      <c r="G11" s="24">
        <v>6</v>
      </c>
      <c r="H11" s="23" t="s">
        <v>28</v>
      </c>
      <c r="I11" s="23" t="s">
        <v>35</v>
      </c>
      <c r="J11" s="23" t="s">
        <v>176</v>
      </c>
      <c r="K11" s="26">
        <v>128</v>
      </c>
    </row>
    <row r="12" spans="1:11" ht="18" customHeight="1" x14ac:dyDescent="0.25">
      <c r="A12" s="24">
        <v>7</v>
      </c>
      <c r="B12" s="23" t="s">
        <v>28</v>
      </c>
      <c r="C12" s="23" t="s">
        <v>1</v>
      </c>
      <c r="D12" s="23" t="s">
        <v>44</v>
      </c>
      <c r="E12" s="26">
        <v>48</v>
      </c>
      <c r="G12" s="24">
        <v>7</v>
      </c>
      <c r="H12" s="23" t="s">
        <v>37</v>
      </c>
      <c r="I12" s="23" t="s">
        <v>29</v>
      </c>
      <c r="J12" s="23" t="s">
        <v>173</v>
      </c>
      <c r="K12" s="26">
        <v>72</v>
      </c>
    </row>
    <row r="13" spans="1:11" ht="18" customHeight="1" x14ac:dyDescent="0.25">
      <c r="A13" s="24">
        <v>8</v>
      </c>
      <c r="B13" s="23" t="s">
        <v>28</v>
      </c>
      <c r="C13" s="23" t="s">
        <v>1</v>
      </c>
      <c r="D13" s="23" t="s">
        <v>45</v>
      </c>
      <c r="E13" s="26">
        <v>28</v>
      </c>
      <c r="G13" s="24">
        <v>8</v>
      </c>
      <c r="H13" s="23" t="s">
        <v>37</v>
      </c>
      <c r="I13" s="23" t="s">
        <v>29</v>
      </c>
      <c r="J13" s="23" t="s">
        <v>175</v>
      </c>
      <c r="K13" s="26">
        <v>110</v>
      </c>
    </row>
    <row r="14" spans="1:11" ht="18" customHeight="1" x14ac:dyDescent="0.25">
      <c r="A14" s="24">
        <v>9</v>
      </c>
      <c r="B14" s="23"/>
      <c r="C14" s="23" t="s">
        <v>46</v>
      </c>
      <c r="D14" s="23" t="s">
        <v>47</v>
      </c>
      <c r="E14" s="26">
        <v>36</v>
      </c>
      <c r="G14" s="24">
        <v>9</v>
      </c>
      <c r="H14" s="23" t="s">
        <v>37</v>
      </c>
      <c r="I14" s="23" t="s">
        <v>29</v>
      </c>
      <c r="J14" s="23" t="s">
        <v>177</v>
      </c>
      <c r="K14" s="26">
        <v>196</v>
      </c>
    </row>
    <row r="15" spans="1:11" ht="18" customHeight="1" x14ac:dyDescent="0.25">
      <c r="A15" s="24">
        <v>10</v>
      </c>
      <c r="B15" s="23"/>
      <c r="C15" s="23" t="s">
        <v>35</v>
      </c>
      <c r="D15" s="23" t="s">
        <v>48</v>
      </c>
      <c r="E15" s="26">
        <v>44</v>
      </c>
      <c r="G15" s="24">
        <v>10</v>
      </c>
      <c r="H15" s="23" t="s">
        <v>28</v>
      </c>
      <c r="I15" s="23" t="s">
        <v>29</v>
      </c>
      <c r="J15" s="23" t="s">
        <v>174</v>
      </c>
      <c r="K15" s="26">
        <v>166</v>
      </c>
    </row>
    <row r="16" spans="1:11" ht="18" customHeight="1" x14ac:dyDescent="0.25">
      <c r="A16" s="24">
        <v>11</v>
      </c>
      <c r="B16" s="23"/>
      <c r="C16" s="23" t="s">
        <v>35</v>
      </c>
      <c r="D16" s="23" t="s">
        <v>49</v>
      </c>
      <c r="E16" s="26">
        <v>20</v>
      </c>
      <c r="G16" s="24">
        <v>11</v>
      </c>
      <c r="H16" s="23" t="s">
        <v>37</v>
      </c>
      <c r="I16" s="23" t="s">
        <v>1</v>
      </c>
      <c r="J16" s="23" t="s">
        <v>178</v>
      </c>
      <c r="K16" s="26">
        <v>228</v>
      </c>
    </row>
    <row r="17" spans="1:11" ht="18" customHeight="1" x14ac:dyDescent="0.25">
      <c r="A17" s="24">
        <v>12</v>
      </c>
      <c r="B17" s="23"/>
      <c r="C17" s="23" t="s">
        <v>29</v>
      </c>
      <c r="D17" s="23" t="s">
        <v>50</v>
      </c>
      <c r="E17" s="26">
        <v>42</v>
      </c>
      <c r="G17" s="24">
        <v>12</v>
      </c>
      <c r="H17" s="23" t="s">
        <v>37</v>
      </c>
      <c r="I17" s="23" t="s">
        <v>1</v>
      </c>
      <c r="J17" s="23" t="s">
        <v>179</v>
      </c>
      <c r="K17" s="26">
        <v>68</v>
      </c>
    </row>
    <row r="18" spans="1:11" ht="18" customHeight="1" x14ac:dyDescent="0.25">
      <c r="A18" s="24">
        <v>13</v>
      </c>
      <c r="B18" s="23"/>
      <c r="C18" s="23" t="s">
        <v>1</v>
      </c>
      <c r="D18" s="23" t="s">
        <v>51</v>
      </c>
      <c r="E18" s="26">
        <v>18</v>
      </c>
      <c r="G18" s="24">
        <v>13</v>
      </c>
      <c r="H18" s="23" t="s">
        <v>28</v>
      </c>
      <c r="I18" s="23" t="s">
        <v>1</v>
      </c>
      <c r="J18" s="23" t="s">
        <v>182</v>
      </c>
      <c r="K18" s="26">
        <v>142</v>
      </c>
    </row>
    <row r="19" spans="1:11" ht="18" customHeight="1" thickBot="1" x14ac:dyDescent="0.3">
      <c r="A19" s="85" t="s">
        <v>53</v>
      </c>
      <c r="B19" s="86"/>
      <c r="C19" s="86"/>
      <c r="D19" s="86"/>
      <c r="E19" s="27">
        <f>AVERAGE(E6:E18)</f>
        <v>35.53846153846154</v>
      </c>
      <c r="G19" s="24">
        <v>14</v>
      </c>
      <c r="H19" s="23" t="s">
        <v>28</v>
      </c>
      <c r="I19" s="23" t="s">
        <v>1</v>
      </c>
      <c r="J19" s="43" t="s">
        <v>191</v>
      </c>
      <c r="K19" s="26">
        <v>66</v>
      </c>
    </row>
    <row r="20" spans="1:11" ht="18" customHeight="1" x14ac:dyDescent="0.3">
      <c r="A20" s="118" t="s">
        <v>70</v>
      </c>
      <c r="B20" s="119"/>
      <c r="C20" s="119"/>
      <c r="D20" s="119"/>
      <c r="E20" s="120"/>
      <c r="F20" s="29"/>
      <c r="G20" s="24">
        <v>15</v>
      </c>
      <c r="H20" s="23"/>
      <c r="I20" s="23" t="s">
        <v>46</v>
      </c>
      <c r="J20" s="23" t="s">
        <v>183</v>
      </c>
      <c r="K20" s="26">
        <v>128</v>
      </c>
    </row>
    <row r="21" spans="1:11" ht="18" customHeight="1" x14ac:dyDescent="0.25">
      <c r="A21" s="24">
        <v>1</v>
      </c>
      <c r="B21" s="23" t="s">
        <v>37</v>
      </c>
      <c r="C21" s="28" t="s">
        <v>29</v>
      </c>
      <c r="D21" s="23" t="s">
        <v>52</v>
      </c>
      <c r="E21" s="26">
        <v>126</v>
      </c>
      <c r="G21" s="24">
        <v>16</v>
      </c>
      <c r="H21" s="23"/>
      <c r="I21" s="23" t="s">
        <v>35</v>
      </c>
      <c r="J21" s="23" t="s">
        <v>184</v>
      </c>
      <c r="K21" s="26">
        <v>96</v>
      </c>
    </row>
    <row r="22" spans="1:11" ht="18" customHeight="1" x14ac:dyDescent="0.25">
      <c r="A22" s="24">
        <v>2</v>
      </c>
      <c r="B22" s="23"/>
      <c r="C22" s="28" t="s">
        <v>29</v>
      </c>
      <c r="D22" s="23" t="s">
        <v>54</v>
      </c>
      <c r="E22" s="26">
        <v>128</v>
      </c>
      <c r="G22" s="24">
        <v>17</v>
      </c>
      <c r="H22" s="23"/>
      <c r="I22" s="23" t="s">
        <v>35</v>
      </c>
      <c r="J22" s="23" t="s">
        <v>185</v>
      </c>
      <c r="K22" s="26">
        <v>182</v>
      </c>
    </row>
    <row r="23" spans="1:11" ht="18" customHeight="1" x14ac:dyDescent="0.25">
      <c r="A23" s="24">
        <v>3</v>
      </c>
      <c r="B23" s="23"/>
      <c r="C23" s="28" t="s">
        <v>35</v>
      </c>
      <c r="D23" s="23" t="s">
        <v>55</v>
      </c>
      <c r="E23" s="26">
        <v>218</v>
      </c>
      <c r="G23" s="24">
        <v>18</v>
      </c>
      <c r="H23" s="23"/>
      <c r="I23" s="23" t="s">
        <v>35</v>
      </c>
      <c r="J23" s="23" t="s">
        <v>186</v>
      </c>
      <c r="K23" s="26">
        <v>274</v>
      </c>
    </row>
    <row r="24" spans="1:11" ht="18" customHeight="1" x14ac:dyDescent="0.25">
      <c r="A24" s="24">
        <v>4</v>
      </c>
      <c r="B24" s="23" t="s">
        <v>37</v>
      </c>
      <c r="C24" s="28" t="s">
        <v>1</v>
      </c>
      <c r="D24" s="23" t="s">
        <v>56</v>
      </c>
      <c r="E24" s="26">
        <v>88</v>
      </c>
      <c r="G24" s="24">
        <v>19</v>
      </c>
      <c r="H24" s="23"/>
      <c r="I24" s="23" t="s">
        <v>35</v>
      </c>
      <c r="J24" s="23" t="s">
        <v>187</v>
      </c>
      <c r="K24" s="26">
        <v>32</v>
      </c>
    </row>
    <row r="25" spans="1:11" ht="18" customHeight="1" x14ac:dyDescent="0.25">
      <c r="A25" s="24">
        <v>5</v>
      </c>
      <c r="B25" s="23" t="s">
        <v>37</v>
      </c>
      <c r="C25" s="28" t="s">
        <v>1</v>
      </c>
      <c r="D25" s="23" t="s">
        <v>57</v>
      </c>
      <c r="E25" s="26">
        <v>216</v>
      </c>
      <c r="G25" s="24">
        <v>20</v>
      </c>
      <c r="H25" s="23"/>
      <c r="I25" s="23" t="s">
        <v>29</v>
      </c>
      <c r="J25" s="23" t="s">
        <v>181</v>
      </c>
      <c r="K25" s="26">
        <v>106</v>
      </c>
    </row>
    <row r="26" spans="1:11" ht="18" customHeight="1" x14ac:dyDescent="0.25">
      <c r="A26" s="24">
        <v>6</v>
      </c>
      <c r="B26" s="23" t="s">
        <v>37</v>
      </c>
      <c r="C26" s="28" t="s">
        <v>35</v>
      </c>
      <c r="D26" s="23" t="s">
        <v>58</v>
      </c>
      <c r="E26" s="26">
        <v>280</v>
      </c>
      <c r="G26" s="24">
        <v>21</v>
      </c>
      <c r="H26" s="23"/>
      <c r="I26" s="23" t="s">
        <v>29</v>
      </c>
      <c r="J26" s="23" t="s">
        <v>189</v>
      </c>
      <c r="K26" s="26">
        <v>24</v>
      </c>
    </row>
    <row r="27" spans="1:11" ht="18" customHeight="1" x14ac:dyDescent="0.25">
      <c r="A27" s="24">
        <v>7</v>
      </c>
      <c r="B27" s="23" t="s">
        <v>28</v>
      </c>
      <c r="C27" s="28" t="s">
        <v>29</v>
      </c>
      <c r="D27" s="23" t="s">
        <v>59</v>
      </c>
      <c r="E27" s="26">
        <v>222</v>
      </c>
      <c r="G27" s="24">
        <v>22</v>
      </c>
      <c r="H27" s="23"/>
      <c r="I27" s="23" t="s">
        <v>1</v>
      </c>
      <c r="J27" s="23" t="s">
        <v>166</v>
      </c>
      <c r="K27" s="26">
        <v>244</v>
      </c>
    </row>
    <row r="28" spans="1:11" ht="18" customHeight="1" x14ac:dyDescent="0.25">
      <c r="A28" s="24">
        <v>8</v>
      </c>
      <c r="B28" s="23"/>
      <c r="C28" s="28" t="s">
        <v>35</v>
      </c>
      <c r="D28" s="23" t="s">
        <v>60</v>
      </c>
      <c r="E28" s="26">
        <v>144</v>
      </c>
      <c r="G28" s="24">
        <v>23</v>
      </c>
      <c r="H28" s="23"/>
      <c r="I28" s="23" t="s">
        <v>1</v>
      </c>
      <c r="J28" s="23" t="s">
        <v>180</v>
      </c>
      <c r="K28" s="26">
        <v>96</v>
      </c>
    </row>
    <row r="29" spans="1:11" ht="18" customHeight="1" x14ac:dyDescent="0.25">
      <c r="A29" s="24">
        <v>9</v>
      </c>
      <c r="B29" s="23"/>
      <c r="C29" s="28" t="s">
        <v>1</v>
      </c>
      <c r="D29" s="23" t="s">
        <v>61</v>
      </c>
      <c r="E29" s="26">
        <v>52</v>
      </c>
      <c r="G29" s="24">
        <v>24</v>
      </c>
      <c r="H29" s="23"/>
      <c r="I29" s="23" t="s">
        <v>1</v>
      </c>
      <c r="J29" s="23" t="s">
        <v>188</v>
      </c>
      <c r="K29" s="26">
        <v>0</v>
      </c>
    </row>
    <row r="30" spans="1:11" ht="18" customHeight="1" x14ac:dyDescent="0.25">
      <c r="A30" s="24">
        <v>10</v>
      </c>
      <c r="B30" s="23"/>
      <c r="C30" s="28" t="s">
        <v>1</v>
      </c>
      <c r="D30" s="23" t="s">
        <v>62</v>
      </c>
      <c r="E30" s="26">
        <v>224</v>
      </c>
      <c r="G30" s="24">
        <v>25</v>
      </c>
      <c r="H30" s="23"/>
      <c r="I30" s="23" t="s">
        <v>1</v>
      </c>
      <c r="J30" s="23" t="s">
        <v>190</v>
      </c>
      <c r="K30" s="26">
        <v>84</v>
      </c>
    </row>
    <row r="31" spans="1:11" ht="18" customHeight="1" x14ac:dyDescent="0.25">
      <c r="A31" s="24">
        <v>11</v>
      </c>
      <c r="B31" s="23" t="s">
        <v>37</v>
      </c>
      <c r="C31" s="28" t="s">
        <v>41</v>
      </c>
      <c r="D31" s="23" t="s">
        <v>63</v>
      </c>
      <c r="E31" s="26">
        <v>32</v>
      </c>
      <c r="G31" s="24">
        <v>26</v>
      </c>
      <c r="H31" s="23"/>
      <c r="I31" s="23" t="s">
        <v>1</v>
      </c>
      <c r="J31" s="23" t="s">
        <v>319</v>
      </c>
      <c r="K31" s="26">
        <v>144</v>
      </c>
    </row>
    <row r="32" spans="1:11" ht="18" customHeight="1" thickBot="1" x14ac:dyDescent="0.3">
      <c r="A32" s="24">
        <v>12</v>
      </c>
      <c r="B32" s="23" t="s">
        <v>37</v>
      </c>
      <c r="C32" s="28" t="s">
        <v>64</v>
      </c>
      <c r="D32" s="23" t="s">
        <v>65</v>
      </c>
      <c r="E32" s="26">
        <v>36</v>
      </c>
      <c r="G32" s="85" t="s">
        <v>53</v>
      </c>
      <c r="H32" s="86"/>
      <c r="I32" s="86"/>
      <c r="J32" s="86"/>
      <c r="K32" s="27">
        <f>AVERAGE(K6:K31)</f>
        <v>119.61538461538461</v>
      </c>
    </row>
    <row r="33" spans="1:11" ht="18" customHeight="1" x14ac:dyDescent="0.25">
      <c r="A33" s="24">
        <v>13</v>
      </c>
      <c r="B33" s="23"/>
      <c r="C33" s="28" t="s">
        <v>35</v>
      </c>
      <c r="D33" s="23" t="s">
        <v>66</v>
      </c>
      <c r="E33" s="26">
        <v>172</v>
      </c>
      <c r="G33" s="87" t="s">
        <v>279</v>
      </c>
      <c r="H33" s="88"/>
      <c r="I33" s="88"/>
      <c r="J33" s="88"/>
      <c r="K33" s="89"/>
    </row>
    <row r="34" spans="1:11" ht="18" customHeight="1" x14ac:dyDescent="0.25">
      <c r="A34" s="24">
        <v>14</v>
      </c>
      <c r="B34" s="23" t="s">
        <v>28</v>
      </c>
      <c r="C34" s="28" t="s">
        <v>29</v>
      </c>
      <c r="D34" s="23" t="s">
        <v>67</v>
      </c>
      <c r="E34" s="26">
        <v>78</v>
      </c>
      <c r="G34" s="24">
        <v>1</v>
      </c>
      <c r="H34" s="23" t="s">
        <v>274</v>
      </c>
      <c r="I34" s="23" t="s">
        <v>41</v>
      </c>
      <c r="J34" s="23" t="s">
        <v>275</v>
      </c>
      <c r="K34" s="26">
        <v>0</v>
      </c>
    </row>
    <row r="35" spans="1:11" ht="18" customHeight="1" x14ac:dyDescent="0.25">
      <c r="A35" s="24">
        <v>15</v>
      </c>
      <c r="B35" s="23" t="s">
        <v>28</v>
      </c>
      <c r="C35" s="28" t="s">
        <v>1</v>
      </c>
      <c r="D35" s="23" t="s">
        <v>68</v>
      </c>
      <c r="E35" s="26">
        <v>90</v>
      </c>
      <c r="G35" s="24">
        <v>2</v>
      </c>
      <c r="H35" s="23" t="s">
        <v>37</v>
      </c>
      <c r="I35" s="23" t="s">
        <v>64</v>
      </c>
      <c r="J35" s="23" t="s">
        <v>276</v>
      </c>
      <c r="K35" s="26">
        <v>36</v>
      </c>
    </row>
    <row r="36" spans="1:11" ht="18" customHeight="1" x14ac:dyDescent="0.25">
      <c r="A36" s="24">
        <v>16</v>
      </c>
      <c r="B36" s="23"/>
      <c r="C36" s="28" t="s">
        <v>35</v>
      </c>
      <c r="D36" s="23" t="s">
        <v>71</v>
      </c>
      <c r="E36" s="26">
        <v>112</v>
      </c>
      <c r="G36" s="24">
        <v>3</v>
      </c>
      <c r="H36" s="23" t="s">
        <v>37</v>
      </c>
      <c r="I36" s="23" t="s">
        <v>35</v>
      </c>
      <c r="J36" s="23" t="s">
        <v>277</v>
      </c>
      <c r="K36" s="26">
        <v>212</v>
      </c>
    </row>
    <row r="37" spans="1:11" ht="18" customHeight="1" x14ac:dyDescent="0.25">
      <c r="A37" s="24">
        <v>17</v>
      </c>
      <c r="B37" s="23"/>
      <c r="C37" s="28" t="s">
        <v>35</v>
      </c>
      <c r="D37" s="23" t="s">
        <v>72</v>
      </c>
      <c r="E37" s="26">
        <v>108</v>
      </c>
      <c r="G37" s="24">
        <v>4</v>
      </c>
      <c r="H37" s="23" t="s">
        <v>37</v>
      </c>
      <c r="I37" s="23" t="s">
        <v>35</v>
      </c>
      <c r="J37" s="23" t="s">
        <v>278</v>
      </c>
      <c r="K37" s="26">
        <v>248</v>
      </c>
    </row>
    <row r="38" spans="1:11" ht="18" customHeight="1" x14ac:dyDescent="0.25">
      <c r="A38" s="24">
        <v>18</v>
      </c>
      <c r="B38" s="23" t="s">
        <v>28</v>
      </c>
      <c r="C38" s="28" t="s">
        <v>1</v>
      </c>
      <c r="D38" s="23" t="s">
        <v>73</v>
      </c>
      <c r="E38" s="26">
        <v>354</v>
      </c>
      <c r="G38" s="24">
        <v>5</v>
      </c>
      <c r="H38" s="23" t="s">
        <v>28</v>
      </c>
      <c r="I38" s="23" t="s">
        <v>35</v>
      </c>
      <c r="J38" s="23" t="s">
        <v>280</v>
      </c>
      <c r="K38" s="26">
        <v>154</v>
      </c>
    </row>
    <row r="39" spans="1:11" ht="18" customHeight="1" x14ac:dyDescent="0.25">
      <c r="A39" s="24">
        <v>19</v>
      </c>
      <c r="B39" s="23" t="s">
        <v>37</v>
      </c>
      <c r="C39" s="28" t="s">
        <v>29</v>
      </c>
      <c r="D39" s="23" t="s">
        <v>74</v>
      </c>
      <c r="E39" s="26">
        <v>172</v>
      </c>
      <c r="G39" s="24">
        <v>6</v>
      </c>
      <c r="H39" s="23" t="s">
        <v>28</v>
      </c>
      <c r="I39" s="23" t="s">
        <v>29</v>
      </c>
      <c r="J39" s="23" t="s">
        <v>281</v>
      </c>
      <c r="K39" s="26">
        <v>10</v>
      </c>
    </row>
    <row r="40" spans="1:11" ht="18" customHeight="1" x14ac:dyDescent="0.25">
      <c r="A40" s="24">
        <v>20</v>
      </c>
      <c r="B40" s="23" t="s">
        <v>37</v>
      </c>
      <c r="C40" s="28" t="s">
        <v>29</v>
      </c>
      <c r="D40" s="23" t="s">
        <v>75</v>
      </c>
      <c r="E40" s="26">
        <v>118</v>
      </c>
      <c r="G40" s="24">
        <v>7</v>
      </c>
      <c r="H40" s="23" t="s">
        <v>37</v>
      </c>
      <c r="I40" s="23" t="s">
        <v>1</v>
      </c>
      <c r="J40" s="23" t="s">
        <v>283</v>
      </c>
      <c r="K40" s="26">
        <v>112</v>
      </c>
    </row>
    <row r="41" spans="1:11" ht="18" customHeight="1" x14ac:dyDescent="0.25">
      <c r="A41" s="24">
        <v>21</v>
      </c>
      <c r="B41" s="23"/>
      <c r="C41" s="28" t="s">
        <v>1</v>
      </c>
      <c r="D41" s="23" t="s">
        <v>76</v>
      </c>
      <c r="E41" s="26">
        <v>26</v>
      </c>
      <c r="G41" s="24">
        <v>8</v>
      </c>
      <c r="H41" s="23" t="s">
        <v>37</v>
      </c>
      <c r="I41" s="23" t="s">
        <v>1</v>
      </c>
      <c r="J41" s="23" t="s">
        <v>323</v>
      </c>
      <c r="K41" s="26">
        <v>166</v>
      </c>
    </row>
    <row r="42" spans="1:11" ht="18" customHeight="1" x14ac:dyDescent="0.25">
      <c r="A42" s="24">
        <v>22</v>
      </c>
      <c r="B42" s="23"/>
      <c r="C42" s="28" t="s">
        <v>1</v>
      </c>
      <c r="D42" s="23" t="s">
        <v>77</v>
      </c>
      <c r="E42" s="26">
        <v>218</v>
      </c>
      <c r="G42" s="24">
        <v>9</v>
      </c>
      <c r="H42" s="23" t="s">
        <v>28</v>
      </c>
      <c r="I42" s="23" t="s">
        <v>1</v>
      </c>
      <c r="J42" s="23" t="s">
        <v>284</v>
      </c>
      <c r="K42" s="26">
        <v>394</v>
      </c>
    </row>
    <row r="43" spans="1:11" ht="18" customHeight="1" x14ac:dyDescent="0.25">
      <c r="A43" s="24">
        <v>23</v>
      </c>
      <c r="B43" s="23" t="s">
        <v>78</v>
      </c>
      <c r="C43" s="28" t="s">
        <v>1</v>
      </c>
      <c r="D43" s="23" t="s">
        <v>79</v>
      </c>
      <c r="E43" s="26">
        <v>0</v>
      </c>
      <c r="G43" s="24">
        <v>10</v>
      </c>
      <c r="H43" s="23" t="s">
        <v>28</v>
      </c>
      <c r="I43" s="23" t="s">
        <v>1</v>
      </c>
      <c r="J43" s="23" t="s">
        <v>285</v>
      </c>
      <c r="K43" s="26">
        <v>178</v>
      </c>
    </row>
    <row r="44" spans="1:11" ht="18" customHeight="1" x14ac:dyDescent="0.25">
      <c r="A44" s="24">
        <v>24</v>
      </c>
      <c r="B44" s="23" t="s">
        <v>28</v>
      </c>
      <c r="C44" s="28" t="s">
        <v>1</v>
      </c>
      <c r="D44" s="23" t="s">
        <v>80</v>
      </c>
      <c r="E44" s="26">
        <v>0</v>
      </c>
      <c r="G44" s="24">
        <v>11</v>
      </c>
      <c r="H44" s="23" t="s">
        <v>28</v>
      </c>
      <c r="I44" s="23" t="s">
        <v>1</v>
      </c>
      <c r="J44" s="23" t="s">
        <v>286</v>
      </c>
      <c r="K44" s="26">
        <v>252</v>
      </c>
    </row>
    <row r="45" spans="1:11" ht="18" customHeight="1" x14ac:dyDescent="0.25">
      <c r="A45" s="24">
        <v>25</v>
      </c>
      <c r="B45" s="23" t="s">
        <v>28</v>
      </c>
      <c r="C45" s="28" t="s">
        <v>1</v>
      </c>
      <c r="D45" s="23" t="s">
        <v>81</v>
      </c>
      <c r="E45" s="26">
        <v>84</v>
      </c>
      <c r="G45" s="24">
        <v>12</v>
      </c>
      <c r="H45" s="23" t="s">
        <v>28</v>
      </c>
      <c r="I45" s="23" t="s">
        <v>1</v>
      </c>
      <c r="J45" s="23" t="s">
        <v>322</v>
      </c>
      <c r="K45" s="26">
        <v>320</v>
      </c>
    </row>
    <row r="46" spans="1:11" ht="18" customHeight="1" x14ac:dyDescent="0.25">
      <c r="A46" s="24">
        <v>26</v>
      </c>
      <c r="B46" s="23" t="s">
        <v>37</v>
      </c>
      <c r="C46" s="28" t="s">
        <v>46</v>
      </c>
      <c r="D46" s="23" t="s">
        <v>82</v>
      </c>
      <c r="E46" s="26">
        <v>164</v>
      </c>
      <c r="G46" s="24">
        <v>13</v>
      </c>
      <c r="H46" s="23"/>
      <c r="I46" s="23" t="s">
        <v>46</v>
      </c>
      <c r="J46" s="23" t="s">
        <v>272</v>
      </c>
      <c r="K46" s="26">
        <v>154</v>
      </c>
    </row>
    <row r="47" spans="1:11" ht="18" customHeight="1" x14ac:dyDescent="0.25">
      <c r="A47" s="24">
        <v>27</v>
      </c>
      <c r="B47" s="23" t="s">
        <v>28</v>
      </c>
      <c r="C47" s="28" t="s">
        <v>1</v>
      </c>
      <c r="D47" s="23" t="s">
        <v>329</v>
      </c>
      <c r="E47" s="26">
        <v>64</v>
      </c>
      <c r="G47" s="24">
        <v>14</v>
      </c>
      <c r="H47" s="23"/>
      <c r="I47" s="23" t="s">
        <v>35</v>
      </c>
      <c r="J47" s="23" t="s">
        <v>273</v>
      </c>
      <c r="K47" s="26">
        <v>318</v>
      </c>
    </row>
    <row r="48" spans="1:11" ht="18" customHeight="1" x14ac:dyDescent="0.25">
      <c r="A48" s="24">
        <v>28</v>
      </c>
      <c r="B48" s="23"/>
      <c r="C48" s="28" t="s">
        <v>35</v>
      </c>
      <c r="D48" s="23" t="s">
        <v>83</v>
      </c>
      <c r="E48" s="26">
        <v>246</v>
      </c>
      <c r="G48" s="24">
        <v>15</v>
      </c>
      <c r="H48" s="23"/>
      <c r="I48" s="23" t="s">
        <v>35</v>
      </c>
      <c r="J48" s="23" t="s">
        <v>287</v>
      </c>
      <c r="K48" s="26">
        <v>204</v>
      </c>
    </row>
    <row r="49" spans="1:11" ht="18" customHeight="1" thickBot="1" x14ac:dyDescent="0.3">
      <c r="A49" s="85" t="s">
        <v>53</v>
      </c>
      <c r="B49" s="86"/>
      <c r="C49" s="86"/>
      <c r="D49" s="86"/>
      <c r="E49" s="27">
        <f>AVERAGE(E21:E48)</f>
        <v>134.71428571428572</v>
      </c>
      <c r="G49" s="24">
        <v>16</v>
      </c>
      <c r="H49" s="23"/>
      <c r="I49" s="23" t="s">
        <v>35</v>
      </c>
      <c r="J49" s="23" t="s">
        <v>321</v>
      </c>
      <c r="K49" s="26">
        <v>300</v>
      </c>
    </row>
    <row r="50" spans="1:11" ht="18" customHeight="1" x14ac:dyDescent="0.25">
      <c r="A50" s="87" t="s">
        <v>84</v>
      </c>
      <c r="B50" s="88"/>
      <c r="C50" s="88"/>
      <c r="D50" s="88"/>
      <c r="E50" s="89"/>
      <c r="G50" s="24">
        <v>17</v>
      </c>
      <c r="H50" s="23"/>
      <c r="I50" s="23" t="s">
        <v>29</v>
      </c>
      <c r="J50" s="23" t="s">
        <v>288</v>
      </c>
      <c r="K50" s="26">
        <v>184</v>
      </c>
    </row>
    <row r="51" spans="1:11" ht="18" customHeight="1" x14ac:dyDescent="0.25">
      <c r="A51" s="24">
        <v>1</v>
      </c>
      <c r="B51" s="23"/>
      <c r="C51" s="28" t="s">
        <v>1</v>
      </c>
      <c r="D51" s="23" t="s">
        <v>85</v>
      </c>
      <c r="E51" s="26">
        <v>122</v>
      </c>
      <c r="G51" s="24">
        <v>18</v>
      </c>
      <c r="H51" s="23"/>
      <c r="I51" s="23" t="s">
        <v>29</v>
      </c>
      <c r="J51" s="23" t="s">
        <v>289</v>
      </c>
      <c r="K51" s="26">
        <v>224</v>
      </c>
    </row>
    <row r="52" spans="1:11" ht="18" customHeight="1" x14ac:dyDescent="0.25">
      <c r="A52" s="24">
        <v>2</v>
      </c>
      <c r="B52" s="23"/>
      <c r="C52" s="28" t="s">
        <v>35</v>
      </c>
      <c r="D52" s="23" t="s">
        <v>86</v>
      </c>
      <c r="E52" s="26">
        <v>134</v>
      </c>
      <c r="G52" s="24">
        <v>19</v>
      </c>
      <c r="H52" s="23"/>
      <c r="I52" s="23" t="s">
        <v>29</v>
      </c>
      <c r="J52" s="23" t="s">
        <v>290</v>
      </c>
      <c r="K52" s="26">
        <v>164</v>
      </c>
    </row>
    <row r="53" spans="1:11" ht="18" customHeight="1" x14ac:dyDescent="0.25">
      <c r="A53" s="24">
        <v>3</v>
      </c>
      <c r="B53" s="23" t="s">
        <v>28</v>
      </c>
      <c r="C53" s="28" t="s">
        <v>1</v>
      </c>
      <c r="D53" s="23" t="s">
        <v>87</v>
      </c>
      <c r="E53" s="26">
        <v>112</v>
      </c>
      <c r="G53" s="24">
        <v>20</v>
      </c>
      <c r="H53" s="23"/>
      <c r="I53" s="23" t="s">
        <v>29</v>
      </c>
      <c r="J53" s="23" t="s">
        <v>291</v>
      </c>
      <c r="K53" s="26">
        <v>0</v>
      </c>
    </row>
    <row r="54" spans="1:11" ht="18" customHeight="1" x14ac:dyDescent="0.25">
      <c r="A54" s="24">
        <v>4</v>
      </c>
      <c r="B54" s="23" t="s">
        <v>28</v>
      </c>
      <c r="C54" s="28" t="s">
        <v>1</v>
      </c>
      <c r="D54" s="23" t="s">
        <v>88</v>
      </c>
      <c r="E54" s="26">
        <v>196</v>
      </c>
      <c r="G54" s="24">
        <v>21</v>
      </c>
      <c r="H54" s="23"/>
      <c r="I54" s="23" t="s">
        <v>1</v>
      </c>
      <c r="J54" s="23" t="s">
        <v>282</v>
      </c>
      <c r="K54" s="26">
        <v>0</v>
      </c>
    </row>
    <row r="55" spans="1:11" ht="18" customHeight="1" x14ac:dyDescent="0.25">
      <c r="A55" s="24">
        <v>5</v>
      </c>
      <c r="B55" s="23" t="s">
        <v>28</v>
      </c>
      <c r="C55" s="28" t="s">
        <v>1</v>
      </c>
      <c r="D55" s="23" t="s">
        <v>89</v>
      </c>
      <c r="E55" s="26">
        <v>202</v>
      </c>
      <c r="G55" s="24">
        <v>22</v>
      </c>
      <c r="H55" s="23"/>
      <c r="I55" s="23" t="s">
        <v>1</v>
      </c>
      <c r="J55" s="23" t="s">
        <v>320</v>
      </c>
      <c r="K55" s="26">
        <v>60</v>
      </c>
    </row>
    <row r="56" spans="1:11" ht="18" customHeight="1" thickBot="1" x14ac:dyDescent="0.3">
      <c r="A56" s="24">
        <v>6</v>
      </c>
      <c r="B56" s="23"/>
      <c r="C56" s="28" t="s">
        <v>46</v>
      </c>
      <c r="D56" s="23" t="s">
        <v>90</v>
      </c>
      <c r="E56" s="26">
        <v>86</v>
      </c>
      <c r="G56" s="85" t="s">
        <v>53</v>
      </c>
      <c r="H56" s="86"/>
      <c r="I56" s="86"/>
      <c r="J56" s="86"/>
      <c r="K56" s="27">
        <f>AVERAGE(K34:K55)</f>
        <v>167.72727272727272</v>
      </c>
    </row>
    <row r="57" spans="1:11" ht="18" customHeight="1" x14ac:dyDescent="0.25">
      <c r="A57" s="24">
        <v>7</v>
      </c>
      <c r="B57" s="23" t="s">
        <v>28</v>
      </c>
      <c r="C57" s="28" t="s">
        <v>29</v>
      </c>
      <c r="D57" s="23" t="s">
        <v>91</v>
      </c>
      <c r="E57" s="26">
        <v>220</v>
      </c>
      <c r="G57" s="87" t="s">
        <v>212</v>
      </c>
      <c r="H57" s="88"/>
      <c r="I57" s="88"/>
      <c r="J57" s="88"/>
      <c r="K57" s="89"/>
    </row>
    <row r="58" spans="1:11" ht="18" customHeight="1" x14ac:dyDescent="0.25">
      <c r="A58" s="24">
        <v>8</v>
      </c>
      <c r="B58" s="23" t="s">
        <v>28</v>
      </c>
      <c r="C58" s="28" t="s">
        <v>1</v>
      </c>
      <c r="D58" s="23" t="s">
        <v>92</v>
      </c>
      <c r="E58" s="26">
        <v>22</v>
      </c>
      <c r="G58" s="24">
        <v>1</v>
      </c>
      <c r="H58" s="23" t="s">
        <v>37</v>
      </c>
      <c r="I58" s="23" t="s">
        <v>64</v>
      </c>
      <c r="J58" s="23" t="s">
        <v>220</v>
      </c>
      <c r="K58" s="26">
        <v>20</v>
      </c>
    </row>
    <row r="59" spans="1:11" ht="18" customHeight="1" x14ac:dyDescent="0.25">
      <c r="A59" s="24">
        <v>9</v>
      </c>
      <c r="B59" s="23"/>
      <c r="C59" s="28" t="s">
        <v>46</v>
      </c>
      <c r="D59" s="23" t="s">
        <v>93</v>
      </c>
      <c r="E59" s="26">
        <v>10</v>
      </c>
      <c r="G59" s="24">
        <v>2</v>
      </c>
      <c r="H59" s="23" t="s">
        <v>28</v>
      </c>
      <c r="I59" s="23" t="s">
        <v>46</v>
      </c>
      <c r="J59" s="23" t="s">
        <v>326</v>
      </c>
      <c r="K59" s="26">
        <v>60</v>
      </c>
    </row>
    <row r="60" spans="1:11" ht="18" customHeight="1" x14ac:dyDescent="0.25">
      <c r="A60" s="24">
        <v>10</v>
      </c>
      <c r="B60" s="23" t="s">
        <v>28</v>
      </c>
      <c r="C60" s="28" t="s">
        <v>35</v>
      </c>
      <c r="D60" s="23" t="s">
        <v>94</v>
      </c>
      <c r="E60" s="26">
        <v>62</v>
      </c>
      <c r="G60" s="24">
        <v>3</v>
      </c>
      <c r="H60" s="23" t="s">
        <v>37</v>
      </c>
      <c r="I60" s="23" t="s">
        <v>35</v>
      </c>
      <c r="J60" s="23" t="s">
        <v>215</v>
      </c>
      <c r="K60" s="26">
        <v>36</v>
      </c>
    </row>
    <row r="61" spans="1:11" ht="18" customHeight="1" x14ac:dyDescent="0.25">
      <c r="A61" s="24">
        <v>11</v>
      </c>
      <c r="B61" s="23" t="s">
        <v>37</v>
      </c>
      <c r="C61" s="28" t="s">
        <v>35</v>
      </c>
      <c r="D61" s="23" t="s">
        <v>95</v>
      </c>
      <c r="E61" s="26">
        <v>96</v>
      </c>
      <c r="G61" s="24">
        <v>4</v>
      </c>
      <c r="H61" s="23" t="s">
        <v>28</v>
      </c>
      <c r="I61" s="23" t="s">
        <v>35</v>
      </c>
      <c r="J61" s="23" t="s">
        <v>233</v>
      </c>
      <c r="K61" s="26">
        <v>14</v>
      </c>
    </row>
    <row r="62" spans="1:11" ht="18" customHeight="1" x14ac:dyDescent="0.25">
      <c r="A62" s="24">
        <v>12</v>
      </c>
      <c r="B62" s="23" t="s">
        <v>37</v>
      </c>
      <c r="C62" s="28" t="s">
        <v>29</v>
      </c>
      <c r="D62" s="23" t="s">
        <v>96</v>
      </c>
      <c r="E62" s="26">
        <v>64</v>
      </c>
      <c r="G62" s="24">
        <v>5</v>
      </c>
      <c r="H62" s="23" t="s">
        <v>28</v>
      </c>
      <c r="I62" s="23" t="s">
        <v>29</v>
      </c>
      <c r="J62" s="23" t="s">
        <v>229</v>
      </c>
      <c r="K62" s="26">
        <v>118</v>
      </c>
    </row>
    <row r="63" spans="1:11" ht="18" customHeight="1" x14ac:dyDescent="0.25">
      <c r="A63" s="24">
        <v>13</v>
      </c>
      <c r="B63" s="23" t="s">
        <v>28</v>
      </c>
      <c r="C63" s="28" t="s">
        <v>35</v>
      </c>
      <c r="D63" s="23" t="s">
        <v>97</v>
      </c>
      <c r="E63" s="26">
        <v>100</v>
      </c>
      <c r="G63" s="24">
        <v>6</v>
      </c>
      <c r="H63" s="23" t="s">
        <v>37</v>
      </c>
      <c r="I63" s="23" t="s">
        <v>1</v>
      </c>
      <c r="J63" s="33" t="s">
        <v>227</v>
      </c>
      <c r="K63" s="26">
        <v>24</v>
      </c>
    </row>
    <row r="64" spans="1:11" ht="18" customHeight="1" x14ac:dyDescent="0.25">
      <c r="A64" s="24">
        <v>14</v>
      </c>
      <c r="B64" s="23" t="s">
        <v>37</v>
      </c>
      <c r="C64" s="28" t="s">
        <v>1</v>
      </c>
      <c r="D64" s="23" t="s">
        <v>98</v>
      </c>
      <c r="E64" s="26">
        <v>206</v>
      </c>
      <c r="G64" s="24">
        <v>7</v>
      </c>
      <c r="H64" s="23" t="s">
        <v>37</v>
      </c>
      <c r="I64" s="23" t="s">
        <v>1</v>
      </c>
      <c r="J64" s="23" t="s">
        <v>325</v>
      </c>
      <c r="K64" s="26">
        <v>78</v>
      </c>
    </row>
    <row r="65" spans="1:11" ht="18" customHeight="1" x14ac:dyDescent="0.25">
      <c r="A65" s="24">
        <v>15</v>
      </c>
      <c r="B65" s="23" t="s">
        <v>37</v>
      </c>
      <c r="C65" s="28" t="s">
        <v>64</v>
      </c>
      <c r="D65" s="23" t="s">
        <v>99</v>
      </c>
      <c r="E65" s="26">
        <v>50</v>
      </c>
      <c r="G65" s="24">
        <v>8</v>
      </c>
      <c r="H65" s="23" t="s">
        <v>28</v>
      </c>
      <c r="I65" s="23" t="s">
        <v>1</v>
      </c>
      <c r="J65" s="23" t="s">
        <v>213</v>
      </c>
      <c r="K65" s="26">
        <v>44</v>
      </c>
    </row>
    <row r="66" spans="1:11" ht="18" customHeight="1" x14ac:dyDescent="0.25">
      <c r="A66" s="24">
        <v>16</v>
      </c>
      <c r="B66" s="23" t="s">
        <v>37</v>
      </c>
      <c r="C66" s="28" t="s">
        <v>41</v>
      </c>
      <c r="D66" s="23" t="s">
        <v>100</v>
      </c>
      <c r="E66" s="26">
        <v>22</v>
      </c>
      <c r="G66" s="24">
        <v>9</v>
      </c>
      <c r="H66" s="23" t="s">
        <v>28</v>
      </c>
      <c r="I66" s="23" t="s">
        <v>1</v>
      </c>
      <c r="J66" s="23" t="s">
        <v>217</v>
      </c>
      <c r="K66" s="26">
        <v>66</v>
      </c>
    </row>
    <row r="67" spans="1:11" ht="18" customHeight="1" x14ac:dyDescent="0.25">
      <c r="A67" s="24">
        <v>17</v>
      </c>
      <c r="B67" s="23" t="s">
        <v>37</v>
      </c>
      <c r="C67" s="28" t="s">
        <v>29</v>
      </c>
      <c r="D67" s="23" t="s">
        <v>101</v>
      </c>
      <c r="E67" s="26">
        <v>56</v>
      </c>
      <c r="G67" s="24">
        <v>10</v>
      </c>
      <c r="H67" s="23" t="s">
        <v>28</v>
      </c>
      <c r="I67" s="23" t="s">
        <v>1</v>
      </c>
      <c r="J67" s="23" t="s">
        <v>219</v>
      </c>
      <c r="K67" s="26">
        <v>86</v>
      </c>
    </row>
    <row r="68" spans="1:11" ht="18" customHeight="1" x14ac:dyDescent="0.25">
      <c r="A68" s="24">
        <v>18</v>
      </c>
      <c r="B68" s="23"/>
      <c r="C68" s="28" t="s">
        <v>1</v>
      </c>
      <c r="D68" s="23" t="s">
        <v>102</v>
      </c>
      <c r="E68" s="26">
        <v>0</v>
      </c>
      <c r="G68" s="24">
        <v>11</v>
      </c>
      <c r="H68" s="23" t="s">
        <v>28</v>
      </c>
      <c r="I68" s="23" t="s">
        <v>1</v>
      </c>
      <c r="J68" s="23" t="s">
        <v>223</v>
      </c>
      <c r="K68" s="26">
        <v>162</v>
      </c>
    </row>
    <row r="69" spans="1:11" ht="18" customHeight="1" thickBot="1" x14ac:dyDescent="0.3">
      <c r="A69" s="85" t="s">
        <v>53</v>
      </c>
      <c r="B69" s="86"/>
      <c r="C69" s="86"/>
      <c r="D69" s="86"/>
      <c r="E69" s="30">
        <f>AVERAGE(E51:E68)</f>
        <v>97.777777777777771</v>
      </c>
      <c r="G69" s="24">
        <v>12</v>
      </c>
      <c r="H69" s="23" t="s">
        <v>28</v>
      </c>
      <c r="I69" s="23" t="s">
        <v>1</v>
      </c>
      <c r="J69" s="23" t="s">
        <v>226</v>
      </c>
      <c r="K69" s="26">
        <v>106</v>
      </c>
    </row>
    <row r="70" spans="1:11" ht="18" customHeight="1" x14ac:dyDescent="0.25">
      <c r="A70" s="101" t="s">
        <v>103</v>
      </c>
      <c r="B70" s="102"/>
      <c r="C70" s="102"/>
      <c r="D70" s="102"/>
      <c r="E70" s="103"/>
      <c r="G70" s="24">
        <v>13</v>
      </c>
      <c r="H70" s="23"/>
      <c r="I70" s="23" t="s">
        <v>46</v>
      </c>
      <c r="J70" s="23" t="s">
        <v>221</v>
      </c>
      <c r="K70" s="26">
        <v>42</v>
      </c>
    </row>
    <row r="71" spans="1:11" ht="18" customHeight="1" x14ac:dyDescent="0.25">
      <c r="A71" s="24">
        <v>1</v>
      </c>
      <c r="B71" s="23"/>
      <c r="C71" s="23"/>
      <c r="D71" s="23" t="s">
        <v>104</v>
      </c>
      <c r="E71" s="31">
        <v>160</v>
      </c>
      <c r="G71" s="24">
        <v>14</v>
      </c>
      <c r="H71" s="23"/>
      <c r="I71" s="23" t="s">
        <v>35</v>
      </c>
      <c r="J71" s="23" t="s">
        <v>222</v>
      </c>
      <c r="K71" s="26">
        <v>128</v>
      </c>
    </row>
    <row r="72" spans="1:11" ht="18" customHeight="1" x14ac:dyDescent="0.25">
      <c r="A72" s="24">
        <v>2</v>
      </c>
      <c r="B72" s="23"/>
      <c r="C72" s="23"/>
      <c r="D72" s="23" t="s">
        <v>105</v>
      </c>
      <c r="E72" s="31">
        <v>86</v>
      </c>
      <c r="G72" s="24">
        <v>15</v>
      </c>
      <c r="H72" s="23"/>
      <c r="I72" s="23" t="s">
        <v>35</v>
      </c>
      <c r="J72" s="23" t="s">
        <v>225</v>
      </c>
      <c r="K72" s="26">
        <v>8</v>
      </c>
    </row>
    <row r="73" spans="1:11" ht="18" customHeight="1" x14ac:dyDescent="0.25">
      <c r="A73" s="24">
        <v>3</v>
      </c>
      <c r="B73" s="23"/>
      <c r="C73" s="23"/>
      <c r="D73" s="23" t="s">
        <v>106</v>
      </c>
      <c r="E73" s="31">
        <v>174</v>
      </c>
      <c r="G73" s="24">
        <v>16</v>
      </c>
      <c r="H73" s="23"/>
      <c r="I73" s="23" t="s">
        <v>35</v>
      </c>
      <c r="J73" s="23" t="s">
        <v>232</v>
      </c>
      <c r="K73" s="26">
        <v>28</v>
      </c>
    </row>
    <row r="74" spans="1:11" ht="18" customHeight="1" x14ac:dyDescent="0.25">
      <c r="A74" s="24">
        <v>4</v>
      </c>
      <c r="B74" s="23"/>
      <c r="C74" s="23"/>
      <c r="D74" s="23" t="s">
        <v>107</v>
      </c>
      <c r="E74" s="31">
        <v>198</v>
      </c>
      <c r="G74" s="24">
        <v>17</v>
      </c>
      <c r="H74" s="23"/>
      <c r="I74" s="23" t="s">
        <v>35</v>
      </c>
      <c r="J74" s="23" t="s">
        <v>324</v>
      </c>
      <c r="K74" s="26">
        <v>112</v>
      </c>
    </row>
    <row r="75" spans="1:11" ht="18" customHeight="1" x14ac:dyDescent="0.25">
      <c r="A75" s="24">
        <v>5</v>
      </c>
      <c r="B75" s="23"/>
      <c r="C75" s="23"/>
      <c r="D75" s="23" t="s">
        <v>108</v>
      </c>
      <c r="E75" s="31">
        <v>84</v>
      </c>
      <c r="G75" s="24">
        <v>18</v>
      </c>
      <c r="H75" s="23"/>
      <c r="I75" s="23" t="s">
        <v>35</v>
      </c>
      <c r="J75" s="43" t="s">
        <v>216</v>
      </c>
      <c r="K75" s="26">
        <v>78</v>
      </c>
    </row>
    <row r="76" spans="1:11" ht="18" customHeight="1" x14ac:dyDescent="0.25">
      <c r="A76" s="24">
        <v>6</v>
      </c>
      <c r="B76" s="23"/>
      <c r="C76" s="23"/>
      <c r="D76" s="23" t="s">
        <v>109</v>
      </c>
      <c r="E76" s="31">
        <v>112</v>
      </c>
      <c r="G76" s="24">
        <v>19</v>
      </c>
      <c r="H76" s="23"/>
      <c r="I76" s="23" t="s">
        <v>29</v>
      </c>
      <c r="J76" s="23" t="s">
        <v>218</v>
      </c>
      <c r="K76" s="26">
        <v>72</v>
      </c>
    </row>
    <row r="77" spans="1:11" ht="18" customHeight="1" thickBot="1" x14ac:dyDescent="0.3">
      <c r="A77" s="85" t="s">
        <v>53</v>
      </c>
      <c r="B77" s="86"/>
      <c r="C77" s="86"/>
      <c r="D77" s="86"/>
      <c r="E77" s="32">
        <f>AVERAGE(E71:E76)</f>
        <v>135.66666666666666</v>
      </c>
      <c r="G77" s="24">
        <v>20</v>
      </c>
      <c r="H77" s="23"/>
      <c r="I77" s="23" t="s">
        <v>29</v>
      </c>
      <c r="J77" s="23" t="s">
        <v>228</v>
      </c>
      <c r="K77" s="26">
        <v>18</v>
      </c>
    </row>
    <row r="78" spans="1:11" ht="18" customHeight="1" x14ac:dyDescent="0.25">
      <c r="A78" s="87" t="s">
        <v>122</v>
      </c>
      <c r="B78" s="88"/>
      <c r="C78" s="88"/>
      <c r="D78" s="88"/>
      <c r="E78" s="89"/>
      <c r="G78" s="24">
        <v>21</v>
      </c>
      <c r="H78" s="23"/>
      <c r="I78" s="23" t="s">
        <v>29</v>
      </c>
      <c r="J78" s="23" t="s">
        <v>231</v>
      </c>
      <c r="K78" s="26">
        <v>76</v>
      </c>
    </row>
    <row r="79" spans="1:11" ht="18" customHeight="1" x14ac:dyDescent="0.25">
      <c r="A79" s="24">
        <v>1</v>
      </c>
      <c r="B79" s="23" t="s">
        <v>28</v>
      </c>
      <c r="C79" s="23" t="s">
        <v>1</v>
      </c>
      <c r="D79" s="23" t="s">
        <v>110</v>
      </c>
      <c r="E79" s="31">
        <v>198</v>
      </c>
      <c r="G79" s="24">
        <v>22</v>
      </c>
      <c r="H79" s="23"/>
      <c r="I79" s="23" t="s">
        <v>1</v>
      </c>
      <c r="J79" s="23" t="s">
        <v>214</v>
      </c>
      <c r="K79" s="26">
        <v>6</v>
      </c>
    </row>
    <row r="80" spans="1:11" ht="18" customHeight="1" x14ac:dyDescent="0.25">
      <c r="A80" s="24">
        <v>2</v>
      </c>
      <c r="B80" s="23"/>
      <c r="C80" s="23" t="s">
        <v>1</v>
      </c>
      <c r="D80" s="23" t="s">
        <v>111</v>
      </c>
      <c r="E80" s="31">
        <v>10</v>
      </c>
      <c r="G80" s="24">
        <v>23</v>
      </c>
      <c r="H80" s="23"/>
      <c r="I80" s="23" t="s">
        <v>1</v>
      </c>
      <c r="J80" s="23" t="s">
        <v>224</v>
      </c>
      <c r="K80" s="26">
        <v>16</v>
      </c>
    </row>
    <row r="81" spans="1:11" ht="18" customHeight="1" x14ac:dyDescent="0.25">
      <c r="A81" s="24">
        <v>3</v>
      </c>
      <c r="B81" s="23"/>
      <c r="C81" s="23" t="s">
        <v>29</v>
      </c>
      <c r="D81" s="23" t="s">
        <v>112</v>
      </c>
      <c r="E81" s="26">
        <v>236</v>
      </c>
      <c r="G81" s="24">
        <v>24</v>
      </c>
      <c r="H81" s="23"/>
      <c r="I81" s="23" t="s">
        <v>1</v>
      </c>
      <c r="J81" s="23" t="s">
        <v>230</v>
      </c>
      <c r="K81" s="26">
        <v>70</v>
      </c>
    </row>
    <row r="82" spans="1:11" ht="18" customHeight="1" thickBot="1" x14ac:dyDescent="0.3">
      <c r="A82" s="24">
        <v>4</v>
      </c>
      <c r="B82" s="23"/>
      <c r="C82" s="23" t="s">
        <v>35</v>
      </c>
      <c r="D82" s="23" t="s">
        <v>113</v>
      </c>
      <c r="E82" s="26">
        <v>62</v>
      </c>
      <c r="G82" s="85" t="s">
        <v>53</v>
      </c>
      <c r="H82" s="86"/>
      <c r="I82" s="86"/>
      <c r="J82" s="86"/>
      <c r="K82" s="27">
        <f>AVERAGE(K58:K81)</f>
        <v>61.166666666666664</v>
      </c>
    </row>
    <row r="83" spans="1:11" ht="18" customHeight="1" x14ac:dyDescent="0.25">
      <c r="A83" s="24">
        <v>5</v>
      </c>
      <c r="B83" s="23"/>
      <c r="C83" s="23" t="s">
        <v>29</v>
      </c>
      <c r="D83" s="23" t="s">
        <v>114</v>
      </c>
      <c r="E83" s="26">
        <v>100</v>
      </c>
      <c r="G83" s="87" t="s">
        <v>84</v>
      </c>
      <c r="H83" s="88"/>
      <c r="I83" s="88"/>
      <c r="J83" s="88"/>
      <c r="K83" s="89"/>
    </row>
    <row r="84" spans="1:11" ht="18" customHeight="1" x14ac:dyDescent="0.25">
      <c r="A84" s="24">
        <v>6</v>
      </c>
      <c r="B84" s="23"/>
      <c r="C84" s="23" t="s">
        <v>35</v>
      </c>
      <c r="D84" s="23" t="s">
        <v>115</v>
      </c>
      <c r="E84" s="26">
        <v>112</v>
      </c>
      <c r="G84" s="24">
        <v>1</v>
      </c>
      <c r="H84" s="23" t="s">
        <v>37</v>
      </c>
      <c r="I84" s="28" t="s">
        <v>41</v>
      </c>
      <c r="J84" s="23" t="s">
        <v>100</v>
      </c>
      <c r="K84" s="26">
        <v>22</v>
      </c>
    </row>
    <row r="85" spans="1:11" ht="18" customHeight="1" x14ac:dyDescent="0.25">
      <c r="A85" s="24">
        <v>7</v>
      </c>
      <c r="B85" s="23"/>
      <c r="C85" s="23" t="s">
        <v>35</v>
      </c>
      <c r="D85" s="23" t="s">
        <v>116</v>
      </c>
      <c r="E85" s="26">
        <v>192</v>
      </c>
      <c r="G85" s="24">
        <v>2</v>
      </c>
      <c r="H85" s="23" t="s">
        <v>37</v>
      </c>
      <c r="I85" s="28" t="s">
        <v>64</v>
      </c>
      <c r="J85" s="23" t="s">
        <v>99</v>
      </c>
      <c r="K85" s="26">
        <v>50</v>
      </c>
    </row>
    <row r="86" spans="1:11" ht="18" customHeight="1" x14ac:dyDescent="0.25">
      <c r="A86" s="24">
        <v>8</v>
      </c>
      <c r="B86" s="23"/>
      <c r="C86" s="23" t="s">
        <v>35</v>
      </c>
      <c r="D86" s="23" t="s">
        <v>117</v>
      </c>
      <c r="E86" s="26">
        <v>148</v>
      </c>
      <c r="G86" s="24">
        <v>3</v>
      </c>
      <c r="H86" s="23" t="s">
        <v>37</v>
      </c>
      <c r="I86" s="28" t="s">
        <v>35</v>
      </c>
      <c r="J86" s="23" t="s">
        <v>95</v>
      </c>
      <c r="K86" s="26">
        <v>96</v>
      </c>
    </row>
    <row r="87" spans="1:11" ht="18" customHeight="1" x14ac:dyDescent="0.25">
      <c r="A87" s="24">
        <v>9</v>
      </c>
      <c r="B87" s="23"/>
      <c r="C87" s="23" t="s">
        <v>1</v>
      </c>
      <c r="D87" s="23" t="s">
        <v>118</v>
      </c>
      <c r="E87" s="26">
        <v>158</v>
      </c>
      <c r="G87" s="24">
        <v>4</v>
      </c>
      <c r="H87" s="23" t="s">
        <v>28</v>
      </c>
      <c r="I87" s="28" t="s">
        <v>35</v>
      </c>
      <c r="J87" s="23" t="s">
        <v>94</v>
      </c>
      <c r="K87" s="26">
        <v>62</v>
      </c>
    </row>
    <row r="88" spans="1:11" ht="18" customHeight="1" x14ac:dyDescent="0.25">
      <c r="A88" s="24">
        <v>10</v>
      </c>
      <c r="B88" s="23"/>
      <c r="C88" s="23" t="s">
        <v>1</v>
      </c>
      <c r="D88" s="23" t="s">
        <v>119</v>
      </c>
      <c r="E88" s="26">
        <v>58</v>
      </c>
      <c r="G88" s="24">
        <v>5</v>
      </c>
      <c r="H88" s="23" t="s">
        <v>28</v>
      </c>
      <c r="I88" s="28" t="s">
        <v>35</v>
      </c>
      <c r="J88" s="23" t="s">
        <v>97</v>
      </c>
      <c r="K88" s="26">
        <v>100</v>
      </c>
    </row>
    <row r="89" spans="1:11" ht="18" customHeight="1" x14ac:dyDescent="0.25">
      <c r="A89" s="24">
        <v>11</v>
      </c>
      <c r="B89" s="23" t="s">
        <v>28</v>
      </c>
      <c r="C89" s="23" t="s">
        <v>1</v>
      </c>
      <c r="D89" s="23" t="s">
        <v>120</v>
      </c>
      <c r="E89" s="26">
        <v>36</v>
      </c>
      <c r="G89" s="24">
        <v>6</v>
      </c>
      <c r="H89" s="23" t="s">
        <v>37</v>
      </c>
      <c r="I89" s="28" t="s">
        <v>29</v>
      </c>
      <c r="J89" s="23" t="s">
        <v>96</v>
      </c>
      <c r="K89" s="26">
        <v>64</v>
      </c>
    </row>
    <row r="90" spans="1:11" ht="18" customHeight="1" x14ac:dyDescent="0.25">
      <c r="A90" s="24">
        <v>12</v>
      </c>
      <c r="B90" s="23" t="s">
        <v>28</v>
      </c>
      <c r="C90" s="23" t="s">
        <v>1</v>
      </c>
      <c r="D90" s="23" t="s">
        <v>121</v>
      </c>
      <c r="E90" s="26">
        <v>146</v>
      </c>
      <c r="G90" s="24">
        <v>7</v>
      </c>
      <c r="H90" s="23" t="s">
        <v>37</v>
      </c>
      <c r="I90" s="28" t="s">
        <v>29</v>
      </c>
      <c r="J90" s="23" t="s">
        <v>101</v>
      </c>
      <c r="K90" s="26">
        <v>56</v>
      </c>
    </row>
    <row r="91" spans="1:11" ht="18" customHeight="1" x14ac:dyDescent="0.25">
      <c r="A91" s="24">
        <v>13</v>
      </c>
      <c r="B91" s="23" t="s">
        <v>28</v>
      </c>
      <c r="C91" s="23" t="s">
        <v>29</v>
      </c>
      <c r="D91" s="23" t="s">
        <v>123</v>
      </c>
      <c r="E91" s="26">
        <v>116</v>
      </c>
      <c r="G91" s="24">
        <v>8</v>
      </c>
      <c r="H91" s="23" t="s">
        <v>28</v>
      </c>
      <c r="I91" s="28" t="s">
        <v>29</v>
      </c>
      <c r="J91" s="23" t="s">
        <v>91</v>
      </c>
      <c r="K91" s="26">
        <v>220</v>
      </c>
    </row>
    <row r="92" spans="1:11" ht="18" customHeight="1" x14ac:dyDescent="0.25">
      <c r="A92" s="24">
        <v>14</v>
      </c>
      <c r="B92" s="23"/>
      <c r="C92" s="23" t="s">
        <v>46</v>
      </c>
      <c r="D92" s="23" t="s">
        <v>124</v>
      </c>
      <c r="E92" s="26">
        <v>116</v>
      </c>
      <c r="G92" s="24">
        <v>9</v>
      </c>
      <c r="H92" s="23" t="s">
        <v>37</v>
      </c>
      <c r="I92" s="28" t="s">
        <v>1</v>
      </c>
      <c r="J92" s="23" t="s">
        <v>98</v>
      </c>
      <c r="K92" s="26">
        <v>206</v>
      </c>
    </row>
    <row r="93" spans="1:11" ht="18" customHeight="1" x14ac:dyDescent="0.25">
      <c r="A93" s="24">
        <v>15</v>
      </c>
      <c r="B93" s="23" t="s">
        <v>37</v>
      </c>
      <c r="C93" s="23" t="s">
        <v>35</v>
      </c>
      <c r="D93" s="23" t="s">
        <v>125</v>
      </c>
      <c r="E93" s="26">
        <v>90</v>
      </c>
      <c r="G93" s="24">
        <v>10</v>
      </c>
      <c r="H93" s="23" t="s">
        <v>28</v>
      </c>
      <c r="I93" s="28" t="s">
        <v>1</v>
      </c>
      <c r="J93" s="23" t="s">
        <v>87</v>
      </c>
      <c r="K93" s="26">
        <v>112</v>
      </c>
    </row>
    <row r="94" spans="1:11" ht="18" customHeight="1" x14ac:dyDescent="0.25">
      <c r="A94" s="24">
        <v>16</v>
      </c>
      <c r="B94" s="23" t="s">
        <v>37</v>
      </c>
      <c r="C94" s="23" t="s">
        <v>41</v>
      </c>
      <c r="D94" s="23" t="s">
        <v>126</v>
      </c>
      <c r="E94" s="26">
        <v>86</v>
      </c>
      <c r="G94" s="24">
        <v>11</v>
      </c>
      <c r="H94" s="23" t="s">
        <v>28</v>
      </c>
      <c r="I94" s="28" t="s">
        <v>1</v>
      </c>
      <c r="J94" s="23" t="s">
        <v>88</v>
      </c>
      <c r="K94" s="26">
        <v>196</v>
      </c>
    </row>
    <row r="95" spans="1:11" ht="18" customHeight="1" x14ac:dyDescent="0.25">
      <c r="A95" s="24">
        <v>17</v>
      </c>
      <c r="B95" s="23" t="s">
        <v>37</v>
      </c>
      <c r="C95" s="23" t="s">
        <v>64</v>
      </c>
      <c r="D95" s="23" t="s">
        <v>127</v>
      </c>
      <c r="E95" s="26">
        <v>28</v>
      </c>
      <c r="G95" s="24">
        <v>12</v>
      </c>
      <c r="H95" s="23" t="s">
        <v>28</v>
      </c>
      <c r="I95" s="28" t="s">
        <v>1</v>
      </c>
      <c r="J95" s="23" t="s">
        <v>89</v>
      </c>
      <c r="K95" s="26">
        <v>202</v>
      </c>
    </row>
    <row r="96" spans="1:11" ht="18" customHeight="1" x14ac:dyDescent="0.25">
      <c r="A96" s="24">
        <v>18</v>
      </c>
      <c r="B96" s="23"/>
      <c r="C96" s="23" t="s">
        <v>1</v>
      </c>
      <c r="D96" s="23" t="s">
        <v>128</v>
      </c>
      <c r="E96" s="26">
        <v>0</v>
      </c>
      <c r="G96" s="24">
        <v>13</v>
      </c>
      <c r="H96" s="23" t="s">
        <v>28</v>
      </c>
      <c r="I96" s="28" t="s">
        <v>1</v>
      </c>
      <c r="J96" s="23" t="s">
        <v>92</v>
      </c>
      <c r="K96" s="26">
        <v>22</v>
      </c>
    </row>
    <row r="97" spans="1:11" ht="18" customHeight="1" thickBot="1" x14ac:dyDescent="0.3">
      <c r="A97" s="85" t="s">
        <v>53</v>
      </c>
      <c r="B97" s="86"/>
      <c r="C97" s="86"/>
      <c r="D97" s="86"/>
      <c r="E97" s="30">
        <f>AVERAGE(E79:E96)</f>
        <v>105.11111111111111</v>
      </c>
      <c r="G97" s="24">
        <v>14</v>
      </c>
      <c r="H97" s="23"/>
      <c r="I97" s="28" t="s">
        <v>46</v>
      </c>
      <c r="J97" s="23" t="s">
        <v>90</v>
      </c>
      <c r="K97" s="26">
        <v>86</v>
      </c>
    </row>
    <row r="98" spans="1:11" ht="18" customHeight="1" x14ac:dyDescent="0.25">
      <c r="A98" s="87" t="s">
        <v>129</v>
      </c>
      <c r="B98" s="88"/>
      <c r="C98" s="88"/>
      <c r="D98" s="88"/>
      <c r="E98" s="89"/>
      <c r="G98" s="24">
        <v>15</v>
      </c>
      <c r="H98" s="23"/>
      <c r="I98" s="28" t="s">
        <v>46</v>
      </c>
      <c r="J98" s="23" t="s">
        <v>93</v>
      </c>
      <c r="K98" s="26">
        <v>10</v>
      </c>
    </row>
    <row r="99" spans="1:11" ht="18" customHeight="1" x14ac:dyDescent="0.25">
      <c r="A99" s="24">
        <v>1</v>
      </c>
      <c r="B99" s="23"/>
      <c r="C99" s="23" t="s">
        <v>41</v>
      </c>
      <c r="D99" s="23" t="s">
        <v>130</v>
      </c>
      <c r="E99" s="26">
        <v>34</v>
      </c>
      <c r="G99" s="24">
        <v>16</v>
      </c>
      <c r="H99" s="23"/>
      <c r="I99" s="28" t="s">
        <v>35</v>
      </c>
      <c r="J99" s="23" t="s">
        <v>86</v>
      </c>
      <c r="K99" s="26">
        <v>134</v>
      </c>
    </row>
    <row r="100" spans="1:11" ht="18" customHeight="1" x14ac:dyDescent="0.25">
      <c r="A100" s="24">
        <v>2</v>
      </c>
      <c r="B100" s="23"/>
      <c r="C100" s="23" t="s">
        <v>35</v>
      </c>
      <c r="D100" s="23" t="s">
        <v>131</v>
      </c>
      <c r="E100" s="26">
        <v>258</v>
      </c>
      <c r="G100" s="24">
        <v>17</v>
      </c>
      <c r="H100" s="23"/>
      <c r="I100" s="28" t="s">
        <v>1</v>
      </c>
      <c r="J100" s="23" t="s">
        <v>85</v>
      </c>
      <c r="K100" s="26">
        <v>122</v>
      </c>
    </row>
    <row r="101" spans="1:11" ht="18" customHeight="1" x14ac:dyDescent="0.25">
      <c r="A101" s="24">
        <v>3</v>
      </c>
      <c r="B101" s="23"/>
      <c r="C101" s="23" t="s">
        <v>35</v>
      </c>
      <c r="D101" s="23" t="s">
        <v>132</v>
      </c>
      <c r="E101" s="26">
        <v>316</v>
      </c>
      <c r="G101" s="24">
        <v>18</v>
      </c>
      <c r="H101" s="23"/>
      <c r="I101" s="28" t="s">
        <v>1</v>
      </c>
      <c r="J101" s="23" t="s">
        <v>102</v>
      </c>
      <c r="K101" s="26">
        <v>0</v>
      </c>
    </row>
    <row r="102" spans="1:11" ht="18" customHeight="1" thickBot="1" x14ac:dyDescent="0.3">
      <c r="A102" s="24">
        <v>4</v>
      </c>
      <c r="B102" s="23"/>
      <c r="C102" s="23" t="s">
        <v>35</v>
      </c>
      <c r="D102" s="23" t="s">
        <v>133</v>
      </c>
      <c r="E102" s="26">
        <v>112</v>
      </c>
      <c r="G102" s="85" t="s">
        <v>53</v>
      </c>
      <c r="H102" s="86"/>
      <c r="I102" s="86"/>
      <c r="J102" s="86"/>
      <c r="K102" s="27">
        <f>AVERAGE(K84:K101)</f>
        <v>97.777777777777771</v>
      </c>
    </row>
    <row r="103" spans="1:11" ht="18" customHeight="1" x14ac:dyDescent="0.25">
      <c r="A103" s="24">
        <v>5</v>
      </c>
      <c r="B103" s="23"/>
      <c r="C103" s="23" t="s">
        <v>46</v>
      </c>
      <c r="D103" s="23" t="s">
        <v>134</v>
      </c>
      <c r="E103" s="26">
        <v>102</v>
      </c>
      <c r="G103" s="87" t="s">
        <v>206</v>
      </c>
      <c r="H103" s="88"/>
      <c r="I103" s="88"/>
      <c r="J103" s="88"/>
      <c r="K103" s="89"/>
    </row>
    <row r="104" spans="1:11" ht="18" customHeight="1" x14ac:dyDescent="0.25">
      <c r="A104" s="24">
        <v>6</v>
      </c>
      <c r="B104" s="23"/>
      <c r="C104" s="23" t="s">
        <v>35</v>
      </c>
      <c r="D104" s="23" t="s">
        <v>135</v>
      </c>
      <c r="E104" s="26">
        <v>124</v>
      </c>
      <c r="G104" s="24">
        <v>1</v>
      </c>
      <c r="H104" s="23" t="s">
        <v>199</v>
      </c>
      <c r="I104" s="23" t="s">
        <v>41</v>
      </c>
      <c r="J104" s="23" t="s">
        <v>200</v>
      </c>
      <c r="K104" s="26">
        <v>20</v>
      </c>
    </row>
    <row r="105" spans="1:11" ht="18" customHeight="1" x14ac:dyDescent="0.25">
      <c r="A105" s="24">
        <v>7</v>
      </c>
      <c r="B105" s="23"/>
      <c r="C105" s="23" t="s">
        <v>35</v>
      </c>
      <c r="D105" s="23" t="s">
        <v>136</v>
      </c>
      <c r="E105" s="26">
        <v>106</v>
      </c>
      <c r="G105" s="24">
        <v>2</v>
      </c>
      <c r="H105" s="23" t="s">
        <v>199</v>
      </c>
      <c r="I105" s="23" t="s">
        <v>64</v>
      </c>
      <c r="J105" s="23" t="s">
        <v>202</v>
      </c>
      <c r="K105" s="26">
        <v>32</v>
      </c>
    </row>
    <row r="106" spans="1:11" ht="18" customHeight="1" x14ac:dyDescent="0.25">
      <c r="A106" s="24">
        <v>8</v>
      </c>
      <c r="B106" s="23"/>
      <c r="C106" s="23" t="s">
        <v>1</v>
      </c>
      <c r="D106" s="23" t="s">
        <v>137</v>
      </c>
      <c r="E106" s="26">
        <v>130</v>
      </c>
      <c r="G106" s="24">
        <v>3</v>
      </c>
      <c r="H106" s="23" t="s">
        <v>37</v>
      </c>
      <c r="I106" s="23" t="s">
        <v>35</v>
      </c>
      <c r="J106" s="23" t="s">
        <v>207</v>
      </c>
      <c r="K106" s="26">
        <v>68</v>
      </c>
    </row>
    <row r="107" spans="1:11" ht="18" customHeight="1" x14ac:dyDescent="0.25">
      <c r="A107" s="24">
        <v>9</v>
      </c>
      <c r="B107" s="23"/>
      <c r="C107" s="23" t="s">
        <v>29</v>
      </c>
      <c r="D107" s="23" t="s">
        <v>138</v>
      </c>
      <c r="E107" s="26">
        <v>260</v>
      </c>
      <c r="G107" s="24">
        <v>4</v>
      </c>
      <c r="H107" s="23" t="s">
        <v>28</v>
      </c>
      <c r="I107" s="23" t="s">
        <v>29</v>
      </c>
      <c r="J107" s="23" t="s">
        <v>203</v>
      </c>
      <c r="K107" s="26">
        <v>76</v>
      </c>
    </row>
    <row r="108" spans="1:11" ht="18" customHeight="1" x14ac:dyDescent="0.25">
      <c r="A108" s="24">
        <v>10</v>
      </c>
      <c r="B108" s="23"/>
      <c r="C108" s="23" t="s">
        <v>1</v>
      </c>
      <c r="D108" s="23" t="s">
        <v>139</v>
      </c>
      <c r="E108" s="26">
        <v>174</v>
      </c>
      <c r="G108" s="24">
        <v>5</v>
      </c>
      <c r="H108" s="23" t="s">
        <v>37</v>
      </c>
      <c r="I108" s="23" t="s">
        <v>1</v>
      </c>
      <c r="J108" s="23" t="s">
        <v>205</v>
      </c>
      <c r="K108" s="26">
        <v>62</v>
      </c>
    </row>
    <row r="109" spans="1:11" ht="18" customHeight="1" x14ac:dyDescent="0.25">
      <c r="A109" s="24">
        <v>11</v>
      </c>
      <c r="B109" s="23"/>
      <c r="C109" s="23" t="s">
        <v>29</v>
      </c>
      <c r="D109" s="23" t="s">
        <v>140</v>
      </c>
      <c r="E109" s="26">
        <v>118</v>
      </c>
      <c r="G109" s="24">
        <v>6</v>
      </c>
      <c r="H109" s="23"/>
      <c r="I109" s="23" t="s">
        <v>46</v>
      </c>
      <c r="J109" s="23" t="s">
        <v>204</v>
      </c>
      <c r="K109" s="26">
        <v>108</v>
      </c>
    </row>
    <row r="110" spans="1:11" ht="18" customHeight="1" x14ac:dyDescent="0.25">
      <c r="A110" s="24">
        <v>12</v>
      </c>
      <c r="B110" s="23"/>
      <c r="C110" s="23" t="s">
        <v>1</v>
      </c>
      <c r="D110" s="23" t="s">
        <v>141</v>
      </c>
      <c r="E110" s="26">
        <v>230</v>
      </c>
      <c r="G110" s="24">
        <v>7</v>
      </c>
      <c r="H110" s="23"/>
      <c r="I110" s="23" t="s">
        <v>35</v>
      </c>
      <c r="J110" s="23" t="s">
        <v>211</v>
      </c>
      <c r="K110" s="26">
        <v>80</v>
      </c>
    </row>
    <row r="111" spans="1:11" ht="18" customHeight="1" x14ac:dyDescent="0.25">
      <c r="A111" s="24">
        <v>13</v>
      </c>
      <c r="B111" s="23"/>
      <c r="C111" s="23" t="s">
        <v>35</v>
      </c>
      <c r="D111" s="23" t="s">
        <v>142</v>
      </c>
      <c r="E111" s="26">
        <v>26</v>
      </c>
      <c r="G111" s="24">
        <v>8</v>
      </c>
      <c r="H111" s="23"/>
      <c r="I111" s="23" t="s">
        <v>29</v>
      </c>
      <c r="J111" s="23" t="s">
        <v>198</v>
      </c>
      <c r="K111" s="26">
        <v>54</v>
      </c>
    </row>
    <row r="112" spans="1:11" ht="18" customHeight="1" x14ac:dyDescent="0.25">
      <c r="A112" s="24">
        <v>14</v>
      </c>
      <c r="B112" s="23"/>
      <c r="C112" s="23" t="s">
        <v>1</v>
      </c>
      <c r="D112" s="23" t="s">
        <v>143</v>
      </c>
      <c r="E112" s="26">
        <v>8</v>
      </c>
      <c r="G112" s="24">
        <v>9</v>
      </c>
      <c r="H112" s="23"/>
      <c r="I112" s="23" t="s">
        <v>1</v>
      </c>
      <c r="J112" s="23" t="s">
        <v>201</v>
      </c>
      <c r="K112" s="26">
        <v>28</v>
      </c>
    </row>
    <row r="113" spans="1:11" ht="18" customHeight="1" x14ac:dyDescent="0.25">
      <c r="A113" s="24">
        <v>15</v>
      </c>
      <c r="B113" s="23"/>
      <c r="C113" s="23" t="s">
        <v>46</v>
      </c>
      <c r="D113" s="23" t="s">
        <v>144</v>
      </c>
      <c r="E113" s="26">
        <v>0</v>
      </c>
      <c r="G113" s="24">
        <v>10</v>
      </c>
      <c r="H113" s="23"/>
      <c r="I113" s="23" t="s">
        <v>1</v>
      </c>
      <c r="J113" s="23" t="s">
        <v>208</v>
      </c>
      <c r="K113" s="26">
        <v>62</v>
      </c>
    </row>
    <row r="114" spans="1:11" ht="18" customHeight="1" x14ac:dyDescent="0.25">
      <c r="A114" s="24">
        <v>16</v>
      </c>
      <c r="B114" s="23"/>
      <c r="C114" s="23" t="s">
        <v>29</v>
      </c>
      <c r="D114" s="23" t="s">
        <v>145</v>
      </c>
      <c r="E114" s="26">
        <v>278</v>
      </c>
      <c r="G114" s="24">
        <v>11</v>
      </c>
      <c r="H114" s="23"/>
      <c r="I114" s="23" t="s">
        <v>1</v>
      </c>
      <c r="J114" s="23" t="s">
        <v>209</v>
      </c>
      <c r="K114" s="26">
        <v>0</v>
      </c>
    </row>
    <row r="115" spans="1:11" ht="18" customHeight="1" thickBot="1" x14ac:dyDescent="0.3">
      <c r="A115" s="85" t="s">
        <v>53</v>
      </c>
      <c r="B115" s="86"/>
      <c r="C115" s="86"/>
      <c r="D115" s="86"/>
      <c r="E115" s="30">
        <f>AVERAGE(E99:E114)</f>
        <v>142.25</v>
      </c>
      <c r="G115" s="24">
        <v>12</v>
      </c>
      <c r="H115" s="23"/>
      <c r="I115" s="23" t="s">
        <v>1</v>
      </c>
      <c r="J115" s="23" t="s">
        <v>210</v>
      </c>
      <c r="K115" s="26">
        <v>56</v>
      </c>
    </row>
    <row r="116" spans="1:11" ht="18" customHeight="1" thickBot="1" x14ac:dyDescent="0.3">
      <c r="A116" s="87" t="s">
        <v>154</v>
      </c>
      <c r="B116" s="88"/>
      <c r="C116" s="88"/>
      <c r="D116" s="88"/>
      <c r="E116" s="89"/>
      <c r="G116" s="85" t="s">
        <v>53</v>
      </c>
      <c r="H116" s="86"/>
      <c r="I116" s="86"/>
      <c r="J116" s="86"/>
      <c r="K116" s="27">
        <f>AVERAGE(K104:K115)</f>
        <v>53.833333333333336</v>
      </c>
    </row>
    <row r="117" spans="1:11" ht="18" customHeight="1" x14ac:dyDescent="0.25">
      <c r="A117" s="24">
        <v>1</v>
      </c>
      <c r="B117" s="23"/>
      <c r="C117" s="23" t="s">
        <v>29</v>
      </c>
      <c r="D117" s="23" t="s">
        <v>146</v>
      </c>
      <c r="E117" s="26">
        <v>78</v>
      </c>
      <c r="G117" s="87" t="s">
        <v>234</v>
      </c>
      <c r="H117" s="88"/>
      <c r="I117" s="88"/>
      <c r="J117" s="88"/>
      <c r="K117" s="89"/>
    </row>
    <row r="118" spans="1:11" ht="18" customHeight="1" x14ac:dyDescent="0.25">
      <c r="A118" s="24">
        <v>2</v>
      </c>
      <c r="B118" s="23"/>
      <c r="C118" s="23" t="s">
        <v>35</v>
      </c>
      <c r="D118" s="23" t="s">
        <v>147</v>
      </c>
      <c r="E118" s="26">
        <v>0</v>
      </c>
      <c r="G118" s="24">
        <v>1</v>
      </c>
      <c r="H118" s="23" t="s">
        <v>37</v>
      </c>
      <c r="I118" s="23" t="s">
        <v>41</v>
      </c>
      <c r="J118" s="23" t="s">
        <v>328</v>
      </c>
      <c r="K118" s="26">
        <v>18</v>
      </c>
    </row>
    <row r="119" spans="1:11" ht="18" customHeight="1" x14ac:dyDescent="0.25">
      <c r="A119" s="24">
        <v>3</v>
      </c>
      <c r="B119" s="23" t="s">
        <v>28</v>
      </c>
      <c r="C119" s="23" t="s">
        <v>1</v>
      </c>
      <c r="D119" s="23" t="s">
        <v>148</v>
      </c>
      <c r="E119" s="26">
        <v>294</v>
      </c>
      <c r="G119" s="24">
        <v>2</v>
      </c>
      <c r="H119" s="23" t="s">
        <v>37</v>
      </c>
      <c r="I119" s="23" t="s">
        <v>64</v>
      </c>
      <c r="J119" s="23" t="s">
        <v>244</v>
      </c>
      <c r="K119" s="26">
        <v>18</v>
      </c>
    </row>
    <row r="120" spans="1:11" ht="18" customHeight="1" x14ac:dyDescent="0.25">
      <c r="A120" s="24">
        <v>4</v>
      </c>
      <c r="B120" s="23"/>
      <c r="C120" s="23" t="s">
        <v>35</v>
      </c>
      <c r="D120" s="23" t="s">
        <v>149</v>
      </c>
      <c r="E120" s="26">
        <v>158</v>
      </c>
      <c r="G120" s="24">
        <v>3</v>
      </c>
      <c r="H120" s="23" t="s">
        <v>28</v>
      </c>
      <c r="I120" s="23" t="s">
        <v>35</v>
      </c>
      <c r="J120" s="23" t="s">
        <v>240</v>
      </c>
      <c r="K120" s="26">
        <v>34</v>
      </c>
    </row>
    <row r="121" spans="1:11" ht="18" customHeight="1" x14ac:dyDescent="0.25">
      <c r="A121" s="24">
        <v>5</v>
      </c>
      <c r="B121" s="23" t="s">
        <v>28</v>
      </c>
      <c r="C121" s="23" t="s">
        <v>29</v>
      </c>
      <c r="D121" s="23" t="s">
        <v>150</v>
      </c>
      <c r="E121" s="26">
        <v>94</v>
      </c>
      <c r="G121" s="24">
        <v>4</v>
      </c>
      <c r="H121" s="23" t="s">
        <v>28</v>
      </c>
      <c r="I121" s="23" t="s">
        <v>35</v>
      </c>
      <c r="J121" s="23" t="s">
        <v>245</v>
      </c>
      <c r="K121" s="26">
        <v>58</v>
      </c>
    </row>
    <row r="122" spans="1:11" ht="18" customHeight="1" x14ac:dyDescent="0.25">
      <c r="A122" s="24">
        <v>6</v>
      </c>
      <c r="B122" s="23"/>
      <c r="C122" s="23" t="s">
        <v>1</v>
      </c>
      <c r="D122" s="23" t="s">
        <v>151</v>
      </c>
      <c r="E122" s="26">
        <v>90</v>
      </c>
      <c r="G122" s="24">
        <v>5</v>
      </c>
      <c r="H122" s="23" t="s">
        <v>28</v>
      </c>
      <c r="I122" s="23" t="s">
        <v>29</v>
      </c>
      <c r="J122" s="23" t="s">
        <v>237</v>
      </c>
      <c r="K122" s="26">
        <v>60</v>
      </c>
    </row>
    <row r="123" spans="1:11" ht="18" customHeight="1" x14ac:dyDescent="0.25">
      <c r="A123" s="24">
        <v>7</v>
      </c>
      <c r="B123" s="23" t="s">
        <v>37</v>
      </c>
      <c r="C123" s="23" t="s">
        <v>35</v>
      </c>
      <c r="D123" s="23" t="s">
        <v>152</v>
      </c>
      <c r="E123" s="26">
        <v>152</v>
      </c>
      <c r="G123" s="24">
        <v>6</v>
      </c>
      <c r="H123" s="23" t="s">
        <v>28</v>
      </c>
      <c r="I123" s="23" t="s">
        <v>29</v>
      </c>
      <c r="J123" s="23" t="s">
        <v>239</v>
      </c>
      <c r="K123" s="26">
        <v>96</v>
      </c>
    </row>
    <row r="124" spans="1:11" ht="18" customHeight="1" x14ac:dyDescent="0.25">
      <c r="A124" s="24">
        <v>8</v>
      </c>
      <c r="B124" s="23" t="s">
        <v>28</v>
      </c>
      <c r="C124" s="23" t="s">
        <v>35</v>
      </c>
      <c r="D124" s="23" t="s">
        <v>153</v>
      </c>
      <c r="E124" s="26">
        <v>82</v>
      </c>
      <c r="G124" s="24">
        <v>7</v>
      </c>
      <c r="H124" s="23" t="s">
        <v>28</v>
      </c>
      <c r="I124" s="23" t="s">
        <v>1</v>
      </c>
      <c r="J124" s="23" t="s">
        <v>243</v>
      </c>
      <c r="K124" s="26">
        <v>92</v>
      </c>
    </row>
    <row r="125" spans="1:11" ht="18" customHeight="1" x14ac:dyDescent="0.25">
      <c r="A125" s="24">
        <v>9</v>
      </c>
      <c r="B125" s="23"/>
      <c r="C125" s="23" t="s">
        <v>1</v>
      </c>
      <c r="D125" s="23" t="s">
        <v>155</v>
      </c>
      <c r="E125" s="26">
        <v>114</v>
      </c>
      <c r="G125" s="24">
        <v>8</v>
      </c>
      <c r="H125" s="23"/>
      <c r="I125" s="23" t="s">
        <v>46</v>
      </c>
      <c r="J125" s="23" t="s">
        <v>246</v>
      </c>
      <c r="K125" s="26">
        <v>92</v>
      </c>
    </row>
    <row r="126" spans="1:11" ht="18" customHeight="1" x14ac:dyDescent="0.25">
      <c r="A126" s="24">
        <v>10</v>
      </c>
      <c r="B126" s="23" t="s">
        <v>28</v>
      </c>
      <c r="C126" s="23" t="s">
        <v>1</v>
      </c>
      <c r="D126" s="23" t="s">
        <v>156</v>
      </c>
      <c r="E126" s="26">
        <v>94</v>
      </c>
      <c r="G126" s="24">
        <v>9</v>
      </c>
      <c r="H126" s="23"/>
      <c r="I126" s="23" t="s">
        <v>35</v>
      </c>
      <c r="J126" s="23" t="s">
        <v>241</v>
      </c>
      <c r="K126" s="26">
        <v>90</v>
      </c>
    </row>
    <row r="127" spans="1:11" ht="18" customHeight="1" x14ac:dyDescent="0.25">
      <c r="A127" s="24">
        <v>12</v>
      </c>
      <c r="B127" s="23"/>
      <c r="C127" s="23" t="s">
        <v>29</v>
      </c>
      <c r="D127" s="23" t="s">
        <v>158</v>
      </c>
      <c r="E127" s="26">
        <v>116</v>
      </c>
      <c r="G127" s="24">
        <v>11</v>
      </c>
      <c r="H127" s="23"/>
      <c r="I127" s="23" t="s">
        <v>35</v>
      </c>
      <c r="J127" s="23" t="s">
        <v>248</v>
      </c>
      <c r="K127" s="26">
        <v>38</v>
      </c>
    </row>
    <row r="128" spans="1:11" ht="18" customHeight="1" x14ac:dyDescent="0.25">
      <c r="A128" s="24">
        <v>13</v>
      </c>
      <c r="B128" s="23"/>
      <c r="C128" s="23" t="s">
        <v>35</v>
      </c>
      <c r="D128" s="23" t="s">
        <v>159</v>
      </c>
      <c r="E128" s="26">
        <v>92</v>
      </c>
      <c r="G128" s="24">
        <v>12</v>
      </c>
      <c r="H128" s="23"/>
      <c r="I128" s="23" t="s">
        <v>29</v>
      </c>
      <c r="J128" s="23" t="s">
        <v>242</v>
      </c>
      <c r="K128" s="26">
        <v>56</v>
      </c>
    </row>
    <row r="129" spans="1:11" ht="18" customHeight="1" x14ac:dyDescent="0.25">
      <c r="A129" s="24">
        <v>14</v>
      </c>
      <c r="B129" s="23"/>
      <c r="C129" s="23" t="s">
        <v>46</v>
      </c>
      <c r="D129" s="23" t="s">
        <v>160</v>
      </c>
      <c r="E129" s="26">
        <v>44</v>
      </c>
      <c r="G129" s="24">
        <v>13</v>
      </c>
      <c r="H129" s="23"/>
      <c r="I129" s="23" t="s">
        <v>1</v>
      </c>
      <c r="J129" s="23" t="s">
        <v>235</v>
      </c>
      <c r="K129" s="26">
        <v>0</v>
      </c>
    </row>
    <row r="130" spans="1:11" ht="18" customHeight="1" x14ac:dyDescent="0.25">
      <c r="A130" s="24">
        <v>15</v>
      </c>
      <c r="B130" s="23" t="s">
        <v>37</v>
      </c>
      <c r="C130" s="23" t="s">
        <v>41</v>
      </c>
      <c r="D130" s="23" t="s">
        <v>161</v>
      </c>
      <c r="E130" s="26">
        <v>64</v>
      </c>
      <c r="G130" s="24">
        <v>14</v>
      </c>
      <c r="H130" s="23"/>
      <c r="I130" s="23" t="s">
        <v>1</v>
      </c>
      <c r="J130" s="23" t="s">
        <v>236</v>
      </c>
      <c r="K130" s="26">
        <v>54</v>
      </c>
    </row>
    <row r="131" spans="1:11" ht="18" customHeight="1" x14ac:dyDescent="0.25">
      <c r="A131" s="24">
        <v>16</v>
      </c>
      <c r="B131" s="23" t="s">
        <v>37</v>
      </c>
      <c r="C131" s="23" t="s">
        <v>64</v>
      </c>
      <c r="D131" s="23" t="s">
        <v>162</v>
      </c>
      <c r="E131" s="26">
        <v>98</v>
      </c>
      <c r="G131" s="24">
        <v>15</v>
      </c>
      <c r="H131" s="23"/>
      <c r="I131" s="23" t="s">
        <v>1</v>
      </c>
      <c r="J131" s="23" t="s">
        <v>238</v>
      </c>
      <c r="K131" s="26">
        <v>56</v>
      </c>
    </row>
    <row r="132" spans="1:11" ht="18" customHeight="1" x14ac:dyDescent="0.25">
      <c r="A132" s="24">
        <v>17</v>
      </c>
      <c r="B132" s="23"/>
      <c r="C132" s="23" t="s">
        <v>1</v>
      </c>
      <c r="D132" s="23" t="s">
        <v>163</v>
      </c>
      <c r="E132" s="26">
        <v>16</v>
      </c>
      <c r="G132" s="24">
        <v>16</v>
      </c>
      <c r="H132" s="23"/>
      <c r="I132" s="23" t="s">
        <v>1</v>
      </c>
      <c r="J132" s="23" t="s">
        <v>247</v>
      </c>
      <c r="K132" s="26">
        <v>92</v>
      </c>
    </row>
    <row r="133" spans="1:11" ht="18" customHeight="1" x14ac:dyDescent="0.25">
      <c r="A133" s="24">
        <v>18</v>
      </c>
      <c r="B133" s="23" t="s">
        <v>28</v>
      </c>
      <c r="C133" s="23" t="s">
        <v>29</v>
      </c>
      <c r="D133" s="23" t="s">
        <v>164</v>
      </c>
      <c r="E133" s="26">
        <v>84</v>
      </c>
      <c r="G133" s="24">
        <v>17</v>
      </c>
      <c r="H133" s="23"/>
      <c r="I133" s="23" t="s">
        <v>1</v>
      </c>
      <c r="J133" s="23" t="s">
        <v>327</v>
      </c>
      <c r="K133" s="26">
        <v>22</v>
      </c>
    </row>
    <row r="134" spans="1:11" ht="18" customHeight="1" x14ac:dyDescent="0.25">
      <c r="A134" s="24">
        <v>19</v>
      </c>
      <c r="B134" s="23" t="s">
        <v>28</v>
      </c>
      <c r="C134" s="23" t="s">
        <v>1</v>
      </c>
      <c r="D134" s="23" t="s">
        <v>165</v>
      </c>
      <c r="E134" s="26">
        <v>70</v>
      </c>
      <c r="G134" s="24">
        <v>18</v>
      </c>
      <c r="H134" s="23"/>
      <c r="I134" s="23" t="s">
        <v>1</v>
      </c>
      <c r="J134" s="23" t="s">
        <v>249</v>
      </c>
      <c r="K134" s="26">
        <v>58</v>
      </c>
    </row>
    <row r="135" spans="1:11" ht="18" customHeight="1" thickBot="1" x14ac:dyDescent="0.3">
      <c r="A135" s="85" t="s">
        <v>53</v>
      </c>
      <c r="B135" s="86"/>
      <c r="C135" s="86"/>
      <c r="D135" s="86"/>
      <c r="E135" s="30">
        <f>AVERAGE(E117:E134)</f>
        <v>96.666666666666671</v>
      </c>
      <c r="G135" s="85" t="s">
        <v>53</v>
      </c>
      <c r="H135" s="86"/>
      <c r="I135" s="86"/>
      <c r="J135" s="86"/>
      <c r="K135" s="27">
        <f>AVERAGE(K118:K134)</f>
        <v>54.941176470588232</v>
      </c>
    </row>
    <row r="136" spans="1:11" ht="18" customHeight="1" x14ac:dyDescent="0.25">
      <c r="A136" s="87" t="s">
        <v>171</v>
      </c>
      <c r="B136" s="88"/>
      <c r="C136" s="88"/>
      <c r="D136" s="88"/>
      <c r="E136" s="89"/>
      <c r="G136" s="112" t="s">
        <v>70</v>
      </c>
      <c r="H136" s="113"/>
      <c r="I136" s="113"/>
      <c r="J136" s="113"/>
      <c r="K136" s="114"/>
    </row>
    <row r="137" spans="1:11" ht="18" customHeight="1" x14ac:dyDescent="0.25">
      <c r="A137" s="24">
        <v>1</v>
      </c>
      <c r="B137" s="23"/>
      <c r="C137" s="23" t="s">
        <v>1</v>
      </c>
      <c r="D137" s="23" t="s">
        <v>166</v>
      </c>
      <c r="E137" s="26">
        <v>244</v>
      </c>
      <c r="G137" s="24">
        <v>1</v>
      </c>
      <c r="H137" s="23" t="s">
        <v>37</v>
      </c>
      <c r="I137" s="28" t="s">
        <v>41</v>
      </c>
      <c r="J137" s="23" t="s">
        <v>63</v>
      </c>
      <c r="K137" s="26">
        <v>32</v>
      </c>
    </row>
    <row r="138" spans="1:11" ht="18" customHeight="1" x14ac:dyDescent="0.25">
      <c r="A138" s="24">
        <v>2</v>
      </c>
      <c r="B138" s="23" t="s">
        <v>37</v>
      </c>
      <c r="C138" s="23" t="s">
        <v>41</v>
      </c>
      <c r="D138" s="23" t="s">
        <v>167</v>
      </c>
      <c r="E138" s="26">
        <v>54</v>
      </c>
      <c r="G138" s="24">
        <v>2</v>
      </c>
      <c r="H138" s="23" t="s">
        <v>37</v>
      </c>
      <c r="I138" s="28" t="s">
        <v>64</v>
      </c>
      <c r="J138" s="23" t="s">
        <v>65</v>
      </c>
      <c r="K138" s="26">
        <v>36</v>
      </c>
    </row>
    <row r="139" spans="1:11" ht="18" customHeight="1" x14ac:dyDescent="0.25">
      <c r="A139" s="24">
        <v>3</v>
      </c>
      <c r="B139" s="23" t="s">
        <v>37</v>
      </c>
      <c r="C139" s="23" t="s">
        <v>64</v>
      </c>
      <c r="D139" s="23" t="s">
        <v>168</v>
      </c>
      <c r="E139" s="26">
        <v>24</v>
      </c>
      <c r="G139" s="24">
        <v>3</v>
      </c>
      <c r="H139" s="23" t="s">
        <v>37</v>
      </c>
      <c r="I139" s="28" t="s">
        <v>46</v>
      </c>
      <c r="J139" s="23" t="s">
        <v>82</v>
      </c>
      <c r="K139" s="26">
        <v>164</v>
      </c>
    </row>
    <row r="140" spans="1:11" ht="18" customHeight="1" x14ac:dyDescent="0.25">
      <c r="A140" s="24">
        <v>4</v>
      </c>
      <c r="B140" s="23" t="s">
        <v>37</v>
      </c>
      <c r="C140" s="23" t="s">
        <v>46</v>
      </c>
      <c r="D140" s="23" t="s">
        <v>169</v>
      </c>
      <c r="E140" s="26">
        <v>100</v>
      </c>
      <c r="G140" s="24">
        <v>4</v>
      </c>
      <c r="H140" s="23" t="s">
        <v>37</v>
      </c>
      <c r="I140" s="28" t="s">
        <v>35</v>
      </c>
      <c r="J140" s="23" t="s">
        <v>58</v>
      </c>
      <c r="K140" s="26">
        <v>280</v>
      </c>
    </row>
    <row r="141" spans="1:11" ht="18" customHeight="1" x14ac:dyDescent="0.25">
      <c r="A141" s="24">
        <v>5</v>
      </c>
      <c r="B141" s="23" t="s">
        <v>37</v>
      </c>
      <c r="C141" s="23" t="s">
        <v>35</v>
      </c>
      <c r="D141" s="23" t="s">
        <v>170</v>
      </c>
      <c r="E141" s="26">
        <v>158</v>
      </c>
      <c r="G141" s="24">
        <v>5</v>
      </c>
      <c r="H141" s="23" t="s">
        <v>37</v>
      </c>
      <c r="I141" s="28" t="s">
        <v>29</v>
      </c>
      <c r="J141" s="23" t="s">
        <v>52</v>
      </c>
      <c r="K141" s="26">
        <v>126</v>
      </c>
    </row>
    <row r="142" spans="1:11" ht="18" customHeight="1" x14ac:dyDescent="0.25">
      <c r="A142" s="24">
        <v>6</v>
      </c>
      <c r="B142" s="23" t="s">
        <v>37</v>
      </c>
      <c r="C142" s="23" t="s">
        <v>35</v>
      </c>
      <c r="D142" s="23" t="s">
        <v>172</v>
      </c>
      <c r="E142" s="26">
        <v>188</v>
      </c>
      <c r="G142" s="24">
        <v>6</v>
      </c>
      <c r="H142" s="23" t="s">
        <v>37</v>
      </c>
      <c r="I142" s="28" t="s">
        <v>29</v>
      </c>
      <c r="J142" s="23" t="s">
        <v>74</v>
      </c>
      <c r="K142" s="26">
        <v>172</v>
      </c>
    </row>
    <row r="143" spans="1:11" ht="18" customHeight="1" x14ac:dyDescent="0.25">
      <c r="A143" s="24">
        <v>7</v>
      </c>
      <c r="B143" s="23" t="s">
        <v>37</v>
      </c>
      <c r="C143" s="23" t="s">
        <v>29</v>
      </c>
      <c r="D143" s="23" t="s">
        <v>173</v>
      </c>
      <c r="E143" s="26">
        <v>72</v>
      </c>
      <c r="G143" s="24">
        <v>7</v>
      </c>
      <c r="H143" s="23" t="s">
        <v>37</v>
      </c>
      <c r="I143" s="28" t="s">
        <v>29</v>
      </c>
      <c r="J143" s="23" t="s">
        <v>75</v>
      </c>
      <c r="K143" s="26">
        <v>118</v>
      </c>
    </row>
    <row r="144" spans="1:11" ht="18" customHeight="1" x14ac:dyDescent="0.25">
      <c r="A144" s="24">
        <v>8</v>
      </c>
      <c r="B144" s="23" t="s">
        <v>28</v>
      </c>
      <c r="C144" s="23" t="s">
        <v>29</v>
      </c>
      <c r="D144" s="23" t="s">
        <v>174</v>
      </c>
      <c r="E144" s="26">
        <v>166</v>
      </c>
      <c r="G144" s="24">
        <v>8</v>
      </c>
      <c r="H144" s="23" t="s">
        <v>28</v>
      </c>
      <c r="I144" s="28" t="s">
        <v>29</v>
      </c>
      <c r="J144" s="23" t="s">
        <v>59</v>
      </c>
      <c r="K144" s="26">
        <v>222</v>
      </c>
    </row>
    <row r="145" spans="1:11" ht="18" customHeight="1" x14ac:dyDescent="0.25">
      <c r="A145" s="24">
        <v>9</v>
      </c>
      <c r="B145" s="23" t="s">
        <v>37</v>
      </c>
      <c r="C145" s="23" t="s">
        <v>29</v>
      </c>
      <c r="D145" s="23" t="s">
        <v>175</v>
      </c>
      <c r="E145" s="26">
        <v>110</v>
      </c>
      <c r="G145" s="24">
        <v>9</v>
      </c>
      <c r="H145" s="23" t="s">
        <v>28</v>
      </c>
      <c r="I145" s="28" t="s">
        <v>29</v>
      </c>
      <c r="J145" s="23" t="s">
        <v>67</v>
      </c>
      <c r="K145" s="26">
        <v>78</v>
      </c>
    </row>
    <row r="146" spans="1:11" ht="18" customHeight="1" x14ac:dyDescent="0.25">
      <c r="A146" s="24">
        <v>10</v>
      </c>
      <c r="B146" s="23" t="s">
        <v>28</v>
      </c>
      <c r="C146" s="23" t="s">
        <v>35</v>
      </c>
      <c r="D146" s="23" t="s">
        <v>176</v>
      </c>
      <c r="E146" s="26">
        <v>128</v>
      </c>
      <c r="G146" s="24">
        <v>10</v>
      </c>
      <c r="H146" s="23" t="s">
        <v>37</v>
      </c>
      <c r="I146" s="28" t="s">
        <v>1</v>
      </c>
      <c r="J146" s="23" t="s">
        <v>56</v>
      </c>
      <c r="K146" s="26">
        <v>88</v>
      </c>
    </row>
    <row r="147" spans="1:11" ht="18" customHeight="1" x14ac:dyDescent="0.25">
      <c r="A147" s="24">
        <v>11</v>
      </c>
      <c r="B147" s="23" t="s">
        <v>37</v>
      </c>
      <c r="C147" s="23" t="s">
        <v>29</v>
      </c>
      <c r="D147" s="23" t="s">
        <v>177</v>
      </c>
      <c r="E147" s="26">
        <v>196</v>
      </c>
      <c r="G147" s="24">
        <v>11</v>
      </c>
      <c r="H147" s="23" t="s">
        <v>37</v>
      </c>
      <c r="I147" s="28" t="s">
        <v>1</v>
      </c>
      <c r="J147" s="23" t="s">
        <v>57</v>
      </c>
      <c r="K147" s="26">
        <v>216</v>
      </c>
    </row>
    <row r="148" spans="1:11" ht="18" customHeight="1" x14ac:dyDescent="0.25">
      <c r="A148" s="24">
        <v>12</v>
      </c>
      <c r="B148" s="23" t="s">
        <v>37</v>
      </c>
      <c r="C148" s="23" t="s">
        <v>1</v>
      </c>
      <c r="D148" s="23" t="s">
        <v>178</v>
      </c>
      <c r="E148" s="26">
        <v>228</v>
      </c>
      <c r="G148" s="24">
        <v>12</v>
      </c>
      <c r="H148" s="23" t="s">
        <v>28</v>
      </c>
      <c r="I148" s="28" t="s">
        <v>1</v>
      </c>
      <c r="J148" s="23" t="s">
        <v>68</v>
      </c>
      <c r="K148" s="26">
        <v>90</v>
      </c>
    </row>
    <row r="149" spans="1:11" ht="18" customHeight="1" x14ac:dyDescent="0.25">
      <c r="A149" s="24">
        <v>13</v>
      </c>
      <c r="B149" s="23" t="s">
        <v>37</v>
      </c>
      <c r="C149" s="23" t="s">
        <v>1</v>
      </c>
      <c r="D149" s="23" t="s">
        <v>179</v>
      </c>
      <c r="E149" s="26">
        <v>68</v>
      </c>
      <c r="G149" s="24">
        <v>13</v>
      </c>
      <c r="H149" s="23" t="s">
        <v>28</v>
      </c>
      <c r="I149" s="28" t="s">
        <v>1</v>
      </c>
      <c r="J149" s="23" t="s">
        <v>73</v>
      </c>
      <c r="K149" s="26">
        <v>354</v>
      </c>
    </row>
    <row r="150" spans="1:11" ht="18" customHeight="1" x14ac:dyDescent="0.25">
      <c r="A150" s="24">
        <v>14</v>
      </c>
      <c r="B150" s="23"/>
      <c r="C150" s="23" t="s">
        <v>1</v>
      </c>
      <c r="D150" s="23" t="s">
        <v>180</v>
      </c>
      <c r="E150" s="26">
        <v>96</v>
      </c>
      <c r="G150" s="24">
        <v>14</v>
      </c>
      <c r="H150" s="23" t="s">
        <v>28</v>
      </c>
      <c r="I150" s="28" t="s">
        <v>1</v>
      </c>
      <c r="J150" s="23" t="s">
        <v>80</v>
      </c>
      <c r="K150" s="26">
        <v>0</v>
      </c>
    </row>
    <row r="151" spans="1:11" ht="18" customHeight="1" x14ac:dyDescent="0.25">
      <c r="A151" s="24">
        <v>15</v>
      </c>
      <c r="B151" s="23"/>
      <c r="C151" s="23" t="s">
        <v>29</v>
      </c>
      <c r="D151" s="23" t="s">
        <v>181</v>
      </c>
      <c r="E151" s="26">
        <v>106</v>
      </c>
      <c r="G151" s="24">
        <v>15</v>
      </c>
      <c r="H151" s="23" t="s">
        <v>28</v>
      </c>
      <c r="I151" s="28" t="s">
        <v>1</v>
      </c>
      <c r="J151" s="23" t="s">
        <v>81</v>
      </c>
      <c r="K151" s="26">
        <v>84</v>
      </c>
    </row>
    <row r="152" spans="1:11" ht="18" customHeight="1" x14ac:dyDescent="0.25">
      <c r="A152" s="24">
        <v>16</v>
      </c>
      <c r="B152" s="23" t="s">
        <v>28</v>
      </c>
      <c r="C152" s="23" t="s">
        <v>1</v>
      </c>
      <c r="D152" s="23" t="s">
        <v>182</v>
      </c>
      <c r="E152" s="26">
        <v>142</v>
      </c>
      <c r="G152" s="24">
        <v>16</v>
      </c>
      <c r="H152" s="23" t="s">
        <v>28</v>
      </c>
      <c r="I152" s="28" t="s">
        <v>1</v>
      </c>
      <c r="J152" s="23" t="s">
        <v>329</v>
      </c>
      <c r="K152" s="26">
        <v>64</v>
      </c>
    </row>
    <row r="153" spans="1:11" ht="18" customHeight="1" x14ac:dyDescent="0.25">
      <c r="A153" s="24">
        <v>17</v>
      </c>
      <c r="B153" s="23"/>
      <c r="C153" s="23" t="s">
        <v>46</v>
      </c>
      <c r="D153" s="23" t="s">
        <v>183</v>
      </c>
      <c r="E153" s="26">
        <v>128</v>
      </c>
      <c r="G153" s="24">
        <v>17</v>
      </c>
      <c r="H153" s="23" t="s">
        <v>78</v>
      </c>
      <c r="I153" s="28" t="s">
        <v>1</v>
      </c>
      <c r="J153" s="23" t="s">
        <v>79</v>
      </c>
      <c r="K153" s="26">
        <v>0</v>
      </c>
    </row>
    <row r="154" spans="1:11" ht="18" customHeight="1" x14ac:dyDescent="0.25">
      <c r="A154" s="24">
        <v>18</v>
      </c>
      <c r="B154" s="23"/>
      <c r="C154" s="23" t="s">
        <v>35</v>
      </c>
      <c r="D154" s="23" t="s">
        <v>184</v>
      </c>
      <c r="E154" s="26">
        <v>96</v>
      </c>
      <c r="G154" s="24">
        <v>18</v>
      </c>
      <c r="H154" s="23"/>
      <c r="I154" s="28" t="s">
        <v>35</v>
      </c>
      <c r="J154" s="23" t="s">
        <v>55</v>
      </c>
      <c r="K154" s="26">
        <v>218</v>
      </c>
    </row>
    <row r="155" spans="1:11" ht="18" customHeight="1" x14ac:dyDescent="0.25">
      <c r="A155" s="24">
        <v>19</v>
      </c>
      <c r="B155" s="23"/>
      <c r="C155" s="23" t="s">
        <v>35</v>
      </c>
      <c r="D155" s="23" t="s">
        <v>185</v>
      </c>
      <c r="E155" s="26">
        <v>182</v>
      </c>
      <c r="G155" s="24">
        <v>19</v>
      </c>
      <c r="H155" s="23"/>
      <c r="I155" s="28" t="s">
        <v>35</v>
      </c>
      <c r="J155" s="23" t="s">
        <v>60</v>
      </c>
      <c r="K155" s="26">
        <v>144</v>
      </c>
    </row>
    <row r="156" spans="1:11" ht="18" customHeight="1" x14ac:dyDescent="0.25">
      <c r="A156" s="24">
        <v>20</v>
      </c>
      <c r="B156" s="23"/>
      <c r="C156" s="23" t="s">
        <v>35</v>
      </c>
      <c r="D156" s="23" t="s">
        <v>186</v>
      </c>
      <c r="E156" s="26">
        <v>274</v>
      </c>
      <c r="G156" s="24">
        <v>20</v>
      </c>
      <c r="H156" s="23"/>
      <c r="I156" s="28" t="s">
        <v>35</v>
      </c>
      <c r="J156" s="23" t="s">
        <v>66</v>
      </c>
      <c r="K156" s="26">
        <v>172</v>
      </c>
    </row>
    <row r="157" spans="1:11" ht="18" customHeight="1" x14ac:dyDescent="0.25">
      <c r="A157" s="24">
        <v>21</v>
      </c>
      <c r="B157" s="23"/>
      <c r="C157" s="23" t="s">
        <v>35</v>
      </c>
      <c r="D157" s="23" t="s">
        <v>187</v>
      </c>
      <c r="E157" s="26">
        <v>32</v>
      </c>
      <c r="G157" s="24">
        <v>21</v>
      </c>
      <c r="H157" s="23"/>
      <c r="I157" s="28" t="s">
        <v>35</v>
      </c>
      <c r="J157" s="23" t="s">
        <v>71</v>
      </c>
      <c r="K157" s="26">
        <v>112</v>
      </c>
    </row>
    <row r="158" spans="1:11" ht="18" customHeight="1" x14ac:dyDescent="0.25">
      <c r="A158" s="24">
        <v>22</v>
      </c>
      <c r="B158" s="23"/>
      <c r="C158" s="23" t="s">
        <v>1</v>
      </c>
      <c r="D158" s="23" t="s">
        <v>188</v>
      </c>
      <c r="E158" s="26">
        <v>0</v>
      </c>
      <c r="G158" s="24">
        <v>22</v>
      </c>
      <c r="H158" s="23"/>
      <c r="I158" s="28" t="s">
        <v>35</v>
      </c>
      <c r="J158" s="23" t="s">
        <v>72</v>
      </c>
      <c r="K158" s="26">
        <v>108</v>
      </c>
    </row>
    <row r="159" spans="1:11" ht="18" customHeight="1" x14ac:dyDescent="0.25">
      <c r="A159" s="24">
        <v>23</v>
      </c>
      <c r="B159" s="23"/>
      <c r="C159" s="23" t="s">
        <v>29</v>
      </c>
      <c r="D159" s="23" t="s">
        <v>189</v>
      </c>
      <c r="E159" s="26">
        <v>24</v>
      </c>
      <c r="G159" s="24">
        <v>23</v>
      </c>
      <c r="H159" s="23"/>
      <c r="I159" s="28" t="s">
        <v>35</v>
      </c>
      <c r="J159" s="23" t="s">
        <v>83</v>
      </c>
      <c r="K159" s="26">
        <v>246</v>
      </c>
    </row>
    <row r="160" spans="1:11" ht="18" customHeight="1" x14ac:dyDescent="0.25">
      <c r="A160" s="24">
        <v>24</v>
      </c>
      <c r="B160" s="23"/>
      <c r="C160" s="23" t="s">
        <v>1</v>
      </c>
      <c r="D160" s="23" t="s">
        <v>190</v>
      </c>
      <c r="E160" s="26">
        <v>84</v>
      </c>
      <c r="G160" s="24">
        <v>24</v>
      </c>
      <c r="H160" s="23"/>
      <c r="I160" s="28" t="s">
        <v>29</v>
      </c>
      <c r="J160" s="23" t="s">
        <v>54</v>
      </c>
      <c r="K160" s="26">
        <v>128</v>
      </c>
    </row>
    <row r="161" spans="1:11" ht="18" customHeight="1" x14ac:dyDescent="0.25">
      <c r="A161" s="24">
        <v>25</v>
      </c>
      <c r="B161" s="23"/>
      <c r="C161" s="23" t="s">
        <v>1</v>
      </c>
      <c r="D161" s="23" t="s">
        <v>319</v>
      </c>
      <c r="E161" s="26">
        <v>144</v>
      </c>
      <c r="G161" s="24">
        <v>25</v>
      </c>
      <c r="H161" s="23"/>
      <c r="I161" s="28" t="s">
        <v>1</v>
      </c>
      <c r="J161" s="23" t="s">
        <v>61</v>
      </c>
      <c r="K161" s="26">
        <v>52</v>
      </c>
    </row>
    <row r="162" spans="1:11" ht="18" customHeight="1" x14ac:dyDescent="0.25">
      <c r="A162" s="24">
        <v>26</v>
      </c>
      <c r="B162" s="23"/>
      <c r="C162" s="23"/>
      <c r="D162" s="23" t="s">
        <v>191</v>
      </c>
      <c r="E162" s="26">
        <v>66</v>
      </c>
      <c r="G162" s="24">
        <v>26</v>
      </c>
      <c r="H162" s="23"/>
      <c r="I162" s="28" t="s">
        <v>1</v>
      </c>
      <c r="J162" s="23" t="s">
        <v>62</v>
      </c>
      <c r="K162" s="26">
        <v>224</v>
      </c>
    </row>
    <row r="163" spans="1:11" ht="18" customHeight="1" thickBot="1" x14ac:dyDescent="0.3">
      <c r="A163" s="85" t="s">
        <v>53</v>
      </c>
      <c r="B163" s="86"/>
      <c r="C163" s="86"/>
      <c r="D163" s="86"/>
      <c r="E163" s="30">
        <f>AVERAGE(E137:E162)</f>
        <v>119.61538461538461</v>
      </c>
      <c r="G163" s="24">
        <v>27</v>
      </c>
      <c r="H163" s="23"/>
      <c r="I163" s="28" t="s">
        <v>1</v>
      </c>
      <c r="J163" s="23" t="s">
        <v>76</v>
      </c>
      <c r="K163" s="26">
        <v>26</v>
      </c>
    </row>
    <row r="164" spans="1:11" ht="18" customHeight="1" x14ac:dyDescent="0.25">
      <c r="A164" s="87" t="s">
        <v>197</v>
      </c>
      <c r="B164" s="88"/>
      <c r="C164" s="88"/>
      <c r="D164" s="88"/>
      <c r="E164" s="89"/>
      <c r="G164" s="24">
        <v>28</v>
      </c>
      <c r="H164" s="23"/>
      <c r="I164" s="28" t="s">
        <v>1</v>
      </c>
      <c r="J164" s="23" t="s">
        <v>77</v>
      </c>
      <c r="K164" s="26">
        <v>218</v>
      </c>
    </row>
    <row r="165" spans="1:11" ht="18" customHeight="1" thickBot="1" x14ac:dyDescent="0.3">
      <c r="A165" s="24">
        <v>1</v>
      </c>
      <c r="B165" s="23" t="s">
        <v>37</v>
      </c>
      <c r="C165" s="23" t="s">
        <v>29</v>
      </c>
      <c r="D165" s="23" t="s">
        <v>192</v>
      </c>
      <c r="E165" s="26">
        <v>42</v>
      </c>
      <c r="G165" s="85" t="s">
        <v>53</v>
      </c>
      <c r="H165" s="86"/>
      <c r="I165" s="86"/>
      <c r="J165" s="86"/>
      <c r="K165" s="27">
        <f>AVERAGE(K137:K164)</f>
        <v>134.71428571428572</v>
      </c>
    </row>
    <row r="166" spans="1:11" ht="18" customHeight="1" x14ac:dyDescent="0.25">
      <c r="A166" s="24">
        <v>2</v>
      </c>
      <c r="B166" s="23" t="s">
        <v>37</v>
      </c>
      <c r="C166" s="23" t="s">
        <v>41</v>
      </c>
      <c r="D166" s="23" t="s">
        <v>193</v>
      </c>
      <c r="E166" s="26">
        <v>20</v>
      </c>
      <c r="G166" s="115" t="s">
        <v>69</v>
      </c>
      <c r="H166" s="116"/>
      <c r="I166" s="116"/>
      <c r="J166" s="116"/>
      <c r="K166" s="117"/>
    </row>
    <row r="167" spans="1:11" ht="18" customHeight="1" x14ac:dyDescent="0.25">
      <c r="A167" s="24">
        <v>3</v>
      </c>
      <c r="B167" s="23" t="s">
        <v>37</v>
      </c>
      <c r="C167" s="23" t="s">
        <v>1</v>
      </c>
      <c r="D167" s="23" t="s">
        <v>194</v>
      </c>
      <c r="E167" s="26">
        <v>2</v>
      </c>
      <c r="G167" s="24">
        <v>1</v>
      </c>
      <c r="H167" s="23" t="s">
        <v>40</v>
      </c>
      <c r="I167" s="23" t="s">
        <v>41</v>
      </c>
      <c r="J167" s="23" t="s">
        <v>42</v>
      </c>
      <c r="K167" s="26">
        <v>34</v>
      </c>
    </row>
    <row r="168" spans="1:11" ht="18" customHeight="1" x14ac:dyDescent="0.25">
      <c r="A168" s="24">
        <v>4</v>
      </c>
      <c r="B168" s="23"/>
      <c r="C168" s="23" t="s">
        <v>35</v>
      </c>
      <c r="D168" s="23" t="s">
        <v>195</v>
      </c>
      <c r="E168" s="26">
        <v>46</v>
      </c>
      <c r="G168" s="24">
        <v>2</v>
      </c>
      <c r="H168" s="23" t="s">
        <v>28</v>
      </c>
      <c r="I168" s="23" t="s">
        <v>35</v>
      </c>
      <c r="J168" s="23" t="s">
        <v>36</v>
      </c>
      <c r="K168" s="26">
        <v>126</v>
      </c>
    </row>
    <row r="169" spans="1:11" ht="18" customHeight="1" x14ac:dyDescent="0.25">
      <c r="A169" s="24">
        <v>5</v>
      </c>
      <c r="B169" s="23"/>
      <c r="C169" s="23" t="s">
        <v>1</v>
      </c>
      <c r="D169" s="23" t="s">
        <v>196</v>
      </c>
      <c r="E169" s="26">
        <v>32</v>
      </c>
      <c r="G169" s="24">
        <v>3</v>
      </c>
      <c r="H169" s="23" t="s">
        <v>37</v>
      </c>
      <c r="I169" s="23" t="s">
        <v>29</v>
      </c>
      <c r="J169" s="23" t="s">
        <v>38</v>
      </c>
      <c r="K169" s="26">
        <v>128</v>
      </c>
    </row>
    <row r="170" spans="1:11" ht="18" customHeight="1" thickBot="1" x14ac:dyDescent="0.3">
      <c r="A170" s="85" t="s">
        <v>53</v>
      </c>
      <c r="B170" s="86"/>
      <c r="C170" s="86"/>
      <c r="D170" s="86"/>
      <c r="E170" s="30">
        <f>AVERAGE(E165:E169)</f>
        <v>28.4</v>
      </c>
      <c r="G170" s="24">
        <v>4</v>
      </c>
      <c r="H170" s="23" t="s">
        <v>28</v>
      </c>
      <c r="I170" s="23" t="s">
        <v>29</v>
      </c>
      <c r="J170" s="23" t="s">
        <v>43</v>
      </c>
      <c r="K170" s="26">
        <v>116</v>
      </c>
    </row>
    <row r="171" spans="1:11" ht="18" customHeight="1" x14ac:dyDescent="0.25">
      <c r="A171" s="87" t="s">
        <v>206</v>
      </c>
      <c r="B171" s="88"/>
      <c r="C171" s="88"/>
      <c r="D171" s="88"/>
      <c r="E171" s="89"/>
      <c r="G171" s="24">
        <v>5</v>
      </c>
      <c r="H171" s="23" t="s">
        <v>28</v>
      </c>
      <c r="I171" s="23" t="s">
        <v>1</v>
      </c>
      <c r="J171" s="23" t="s">
        <v>34</v>
      </c>
      <c r="K171" s="26">
        <v>16</v>
      </c>
    </row>
    <row r="172" spans="1:11" ht="18" customHeight="1" x14ac:dyDescent="0.25">
      <c r="A172" s="24">
        <v>1</v>
      </c>
      <c r="B172" s="23"/>
      <c r="C172" s="23" t="s">
        <v>29</v>
      </c>
      <c r="D172" s="23" t="s">
        <v>198</v>
      </c>
      <c r="E172" s="26">
        <v>54</v>
      </c>
      <c r="G172" s="24">
        <v>6</v>
      </c>
      <c r="H172" s="23" t="s">
        <v>28</v>
      </c>
      <c r="I172" s="23" t="s">
        <v>1</v>
      </c>
      <c r="J172" s="23" t="s">
        <v>39</v>
      </c>
      <c r="K172" s="26">
        <v>44</v>
      </c>
    </row>
    <row r="173" spans="1:11" ht="18" customHeight="1" x14ac:dyDescent="0.25">
      <c r="A173" s="24">
        <v>2</v>
      </c>
      <c r="B173" s="23" t="s">
        <v>199</v>
      </c>
      <c r="C173" s="23" t="s">
        <v>41</v>
      </c>
      <c r="D173" s="23" t="s">
        <v>200</v>
      </c>
      <c r="E173" s="26">
        <v>20</v>
      </c>
      <c r="G173" s="24">
        <v>7</v>
      </c>
      <c r="H173" s="23" t="s">
        <v>28</v>
      </c>
      <c r="I173" s="23" t="s">
        <v>1</v>
      </c>
      <c r="J173" s="23" t="s">
        <v>44</v>
      </c>
      <c r="K173" s="26">
        <v>116</v>
      </c>
    </row>
    <row r="174" spans="1:11" ht="18" customHeight="1" x14ac:dyDescent="0.25">
      <c r="A174" s="24">
        <v>3</v>
      </c>
      <c r="B174" s="23"/>
      <c r="C174" s="23" t="s">
        <v>1</v>
      </c>
      <c r="D174" s="23" t="s">
        <v>201</v>
      </c>
      <c r="E174" s="26">
        <v>28</v>
      </c>
      <c r="G174" s="24">
        <v>8</v>
      </c>
      <c r="H174" s="23" t="s">
        <v>28</v>
      </c>
      <c r="I174" s="23" t="s">
        <v>1</v>
      </c>
      <c r="J174" s="23" t="s">
        <v>45</v>
      </c>
      <c r="K174" s="26">
        <v>96</v>
      </c>
    </row>
    <row r="175" spans="1:11" ht="18" customHeight="1" x14ac:dyDescent="0.25">
      <c r="A175" s="24">
        <v>4</v>
      </c>
      <c r="B175" s="23" t="s">
        <v>199</v>
      </c>
      <c r="C175" s="23" t="s">
        <v>64</v>
      </c>
      <c r="D175" s="23" t="s">
        <v>202</v>
      </c>
      <c r="E175" s="26">
        <v>32</v>
      </c>
      <c r="G175" s="24">
        <v>9</v>
      </c>
      <c r="H175" s="23"/>
      <c r="I175" s="23" t="s">
        <v>46</v>
      </c>
      <c r="J175" s="23" t="s">
        <v>47</v>
      </c>
      <c r="K175" s="26">
        <v>36</v>
      </c>
    </row>
    <row r="176" spans="1:11" ht="18" customHeight="1" x14ac:dyDescent="0.25">
      <c r="A176" s="24">
        <v>5</v>
      </c>
      <c r="B176" s="23" t="s">
        <v>28</v>
      </c>
      <c r="C176" s="23" t="s">
        <v>29</v>
      </c>
      <c r="D176" s="23" t="s">
        <v>203</v>
      </c>
      <c r="E176" s="26">
        <v>76</v>
      </c>
      <c r="G176" s="24">
        <v>10</v>
      </c>
      <c r="H176" s="23"/>
      <c r="I176" s="23" t="s">
        <v>35</v>
      </c>
      <c r="J176" s="23" t="s">
        <v>48</v>
      </c>
      <c r="K176" s="26">
        <v>110</v>
      </c>
    </row>
    <row r="177" spans="1:11" ht="18" customHeight="1" x14ac:dyDescent="0.25">
      <c r="A177" s="24">
        <v>6</v>
      </c>
      <c r="B177" s="23"/>
      <c r="C177" s="23" t="s">
        <v>46</v>
      </c>
      <c r="D177" s="23" t="s">
        <v>204</v>
      </c>
      <c r="E177" s="26">
        <v>108</v>
      </c>
      <c r="G177" s="24">
        <v>11</v>
      </c>
      <c r="H177" s="23"/>
      <c r="I177" s="23" t="s">
        <v>35</v>
      </c>
      <c r="J177" s="23" t="s">
        <v>49</v>
      </c>
      <c r="K177" s="26">
        <v>96</v>
      </c>
    </row>
    <row r="178" spans="1:11" ht="18" customHeight="1" x14ac:dyDescent="0.25">
      <c r="A178" s="24">
        <v>7</v>
      </c>
      <c r="B178" s="23" t="s">
        <v>37</v>
      </c>
      <c r="C178" s="23" t="s">
        <v>1</v>
      </c>
      <c r="D178" s="23" t="s">
        <v>205</v>
      </c>
      <c r="E178" s="26">
        <v>62</v>
      </c>
      <c r="G178" s="24">
        <v>12</v>
      </c>
      <c r="H178" s="23"/>
      <c r="I178" s="23" t="s">
        <v>29</v>
      </c>
      <c r="J178" s="23" t="s">
        <v>50</v>
      </c>
      <c r="K178" s="26">
        <v>106</v>
      </c>
    </row>
    <row r="179" spans="1:11" ht="18" customHeight="1" x14ac:dyDescent="0.25">
      <c r="A179" s="24">
        <v>8</v>
      </c>
      <c r="B179" s="23" t="s">
        <v>37</v>
      </c>
      <c r="C179" s="23" t="s">
        <v>35</v>
      </c>
      <c r="D179" s="23" t="s">
        <v>207</v>
      </c>
      <c r="E179" s="26">
        <v>68</v>
      </c>
      <c r="G179" s="24">
        <v>13</v>
      </c>
      <c r="H179" s="23"/>
      <c r="I179" s="23" t="s">
        <v>1</v>
      </c>
      <c r="J179" s="23" t="s">
        <v>51</v>
      </c>
      <c r="K179" s="26">
        <v>18</v>
      </c>
    </row>
    <row r="180" spans="1:11" ht="18" customHeight="1" thickBot="1" x14ac:dyDescent="0.3">
      <c r="A180" s="24">
        <v>9</v>
      </c>
      <c r="B180" s="23"/>
      <c r="C180" s="23" t="s">
        <v>1</v>
      </c>
      <c r="D180" s="23" t="s">
        <v>208</v>
      </c>
      <c r="E180" s="26">
        <v>62</v>
      </c>
      <c r="G180" s="85" t="s">
        <v>53</v>
      </c>
      <c r="H180" s="86"/>
      <c r="I180" s="86"/>
      <c r="J180" s="86"/>
      <c r="K180" s="27">
        <f>AVERAGE(K167:K179)</f>
        <v>80.15384615384616</v>
      </c>
    </row>
    <row r="181" spans="1:11" ht="18" customHeight="1" x14ac:dyDescent="0.25">
      <c r="A181" s="24">
        <v>10</v>
      </c>
      <c r="B181" s="23"/>
      <c r="C181" s="23" t="s">
        <v>1</v>
      </c>
      <c r="D181" s="23" t="s">
        <v>209</v>
      </c>
      <c r="E181" s="26">
        <v>0</v>
      </c>
      <c r="G181" s="87" t="s">
        <v>122</v>
      </c>
      <c r="H181" s="88"/>
      <c r="I181" s="88"/>
      <c r="J181" s="88"/>
      <c r="K181" s="89"/>
    </row>
    <row r="182" spans="1:11" ht="18" customHeight="1" x14ac:dyDescent="0.25">
      <c r="A182" s="24">
        <v>11</v>
      </c>
      <c r="B182" s="23"/>
      <c r="C182" s="23" t="s">
        <v>1</v>
      </c>
      <c r="D182" s="23" t="s">
        <v>210</v>
      </c>
      <c r="E182" s="26">
        <v>56</v>
      </c>
      <c r="G182" s="24">
        <v>1</v>
      </c>
      <c r="H182" s="23" t="s">
        <v>37</v>
      </c>
      <c r="I182" s="23" t="s">
        <v>41</v>
      </c>
      <c r="J182" s="23" t="s">
        <v>126</v>
      </c>
      <c r="K182" s="26">
        <v>86</v>
      </c>
    </row>
    <row r="183" spans="1:11" ht="18" customHeight="1" x14ac:dyDescent="0.25">
      <c r="A183" s="24">
        <v>12</v>
      </c>
      <c r="B183" s="23"/>
      <c r="C183" s="23" t="s">
        <v>35</v>
      </c>
      <c r="D183" s="23" t="s">
        <v>211</v>
      </c>
      <c r="E183" s="26">
        <v>80</v>
      </c>
      <c r="G183" s="24">
        <v>2</v>
      </c>
      <c r="H183" s="23" t="s">
        <v>37</v>
      </c>
      <c r="I183" s="23" t="s">
        <v>64</v>
      </c>
      <c r="J183" s="23" t="s">
        <v>127</v>
      </c>
      <c r="K183" s="26">
        <v>28</v>
      </c>
    </row>
    <row r="184" spans="1:11" ht="18" customHeight="1" thickBot="1" x14ac:dyDescent="0.3">
      <c r="A184" s="85" t="s">
        <v>53</v>
      </c>
      <c r="B184" s="86"/>
      <c r="C184" s="86"/>
      <c r="D184" s="86"/>
      <c r="E184" s="30">
        <f>AVERAGE(E172:E183)</f>
        <v>53.833333333333336</v>
      </c>
      <c r="G184" s="24">
        <v>3</v>
      </c>
      <c r="H184" s="23" t="s">
        <v>37</v>
      </c>
      <c r="I184" s="23" t="s">
        <v>35</v>
      </c>
      <c r="J184" s="23" t="s">
        <v>125</v>
      </c>
      <c r="K184" s="26">
        <v>90</v>
      </c>
    </row>
    <row r="185" spans="1:11" ht="18" customHeight="1" x14ac:dyDescent="0.25">
      <c r="A185" s="87" t="s">
        <v>212</v>
      </c>
      <c r="B185" s="88"/>
      <c r="C185" s="88"/>
      <c r="D185" s="88"/>
      <c r="E185" s="89"/>
      <c r="G185" s="24">
        <v>4</v>
      </c>
      <c r="H185" s="23" t="s">
        <v>28</v>
      </c>
      <c r="I185" s="23" t="s">
        <v>29</v>
      </c>
      <c r="J185" s="23" t="s">
        <v>123</v>
      </c>
      <c r="K185" s="26">
        <v>116</v>
      </c>
    </row>
    <row r="186" spans="1:11" ht="18" customHeight="1" x14ac:dyDescent="0.25">
      <c r="A186" s="24">
        <v>1</v>
      </c>
      <c r="B186" s="23" t="s">
        <v>28</v>
      </c>
      <c r="C186" s="23" t="s">
        <v>1</v>
      </c>
      <c r="D186" s="23" t="s">
        <v>213</v>
      </c>
      <c r="E186" s="26">
        <v>44</v>
      </c>
      <c r="G186" s="24">
        <v>5</v>
      </c>
      <c r="H186" s="23" t="s">
        <v>28</v>
      </c>
      <c r="I186" s="23" t="s">
        <v>1</v>
      </c>
      <c r="J186" s="23" t="s">
        <v>110</v>
      </c>
      <c r="K186" s="31">
        <v>198</v>
      </c>
    </row>
    <row r="187" spans="1:11" ht="18" customHeight="1" x14ac:dyDescent="0.25">
      <c r="A187" s="24">
        <v>2</v>
      </c>
      <c r="B187" s="23"/>
      <c r="C187" s="23" t="s">
        <v>1</v>
      </c>
      <c r="D187" s="23" t="s">
        <v>214</v>
      </c>
      <c r="E187" s="26">
        <v>6</v>
      </c>
      <c r="G187" s="24">
        <v>6</v>
      </c>
      <c r="H187" s="23" t="s">
        <v>28</v>
      </c>
      <c r="I187" s="23" t="s">
        <v>1</v>
      </c>
      <c r="J187" s="23" t="s">
        <v>120</v>
      </c>
      <c r="K187" s="26">
        <v>36</v>
      </c>
    </row>
    <row r="188" spans="1:11" ht="18" customHeight="1" x14ac:dyDescent="0.25">
      <c r="A188" s="24">
        <v>3</v>
      </c>
      <c r="B188" s="23" t="s">
        <v>37</v>
      </c>
      <c r="C188" s="23" t="s">
        <v>35</v>
      </c>
      <c r="D188" s="23" t="s">
        <v>215</v>
      </c>
      <c r="E188" s="26">
        <v>36</v>
      </c>
      <c r="G188" s="24">
        <v>7</v>
      </c>
      <c r="H188" s="23" t="s">
        <v>28</v>
      </c>
      <c r="I188" s="23" t="s">
        <v>1</v>
      </c>
      <c r="J188" s="23" t="s">
        <v>121</v>
      </c>
      <c r="K188" s="26">
        <v>146</v>
      </c>
    </row>
    <row r="189" spans="1:11" ht="18" customHeight="1" x14ac:dyDescent="0.25">
      <c r="A189" s="24">
        <v>4</v>
      </c>
      <c r="B189" s="23"/>
      <c r="C189" s="23"/>
      <c r="D189" s="23" t="s">
        <v>216</v>
      </c>
      <c r="E189" s="26">
        <v>78</v>
      </c>
      <c r="G189" s="24">
        <v>8</v>
      </c>
      <c r="H189" s="23"/>
      <c r="I189" s="23" t="s">
        <v>46</v>
      </c>
      <c r="J189" s="23" t="s">
        <v>124</v>
      </c>
      <c r="K189" s="26">
        <v>116</v>
      </c>
    </row>
    <row r="190" spans="1:11" ht="18" customHeight="1" x14ac:dyDescent="0.25">
      <c r="A190" s="24">
        <v>5</v>
      </c>
      <c r="B190" s="23" t="s">
        <v>28</v>
      </c>
      <c r="C190" s="23" t="s">
        <v>1</v>
      </c>
      <c r="D190" s="23" t="s">
        <v>217</v>
      </c>
      <c r="E190" s="26">
        <v>66</v>
      </c>
      <c r="G190" s="24">
        <v>9</v>
      </c>
      <c r="H190" s="23"/>
      <c r="I190" s="23" t="s">
        <v>35</v>
      </c>
      <c r="J190" s="23" t="s">
        <v>113</v>
      </c>
      <c r="K190" s="26">
        <v>62</v>
      </c>
    </row>
    <row r="191" spans="1:11" ht="18" customHeight="1" x14ac:dyDescent="0.25">
      <c r="A191" s="24">
        <v>6</v>
      </c>
      <c r="B191" s="23"/>
      <c r="C191" s="23" t="s">
        <v>29</v>
      </c>
      <c r="D191" s="23" t="s">
        <v>218</v>
      </c>
      <c r="E191" s="26">
        <v>72</v>
      </c>
      <c r="G191" s="24">
        <v>10</v>
      </c>
      <c r="H191" s="23"/>
      <c r="I191" s="23" t="s">
        <v>35</v>
      </c>
      <c r="J191" s="23" t="s">
        <v>115</v>
      </c>
      <c r="K191" s="26">
        <v>112</v>
      </c>
    </row>
    <row r="192" spans="1:11" ht="18" customHeight="1" x14ac:dyDescent="0.25">
      <c r="A192" s="24">
        <v>7</v>
      </c>
      <c r="B192" s="23" t="s">
        <v>28</v>
      </c>
      <c r="C192" s="23" t="s">
        <v>1</v>
      </c>
      <c r="D192" s="23" t="s">
        <v>219</v>
      </c>
      <c r="E192" s="26">
        <v>86</v>
      </c>
      <c r="G192" s="24">
        <v>11</v>
      </c>
      <c r="H192" s="23"/>
      <c r="I192" s="23" t="s">
        <v>35</v>
      </c>
      <c r="J192" s="23" t="s">
        <v>116</v>
      </c>
      <c r="K192" s="26">
        <v>192</v>
      </c>
    </row>
    <row r="193" spans="1:11" ht="18" customHeight="1" x14ac:dyDescent="0.25">
      <c r="A193" s="24">
        <v>8</v>
      </c>
      <c r="B193" s="23" t="s">
        <v>37</v>
      </c>
      <c r="C193" s="23" t="s">
        <v>64</v>
      </c>
      <c r="D193" s="23" t="s">
        <v>220</v>
      </c>
      <c r="E193" s="26">
        <v>20</v>
      </c>
      <c r="G193" s="24">
        <v>12</v>
      </c>
      <c r="H193" s="23"/>
      <c r="I193" s="23" t="s">
        <v>35</v>
      </c>
      <c r="J193" s="23" t="s">
        <v>117</v>
      </c>
      <c r="K193" s="26">
        <v>148</v>
      </c>
    </row>
    <row r="194" spans="1:11" ht="18" customHeight="1" x14ac:dyDescent="0.25">
      <c r="A194" s="24">
        <v>9</v>
      </c>
      <c r="B194" s="23"/>
      <c r="C194" s="23" t="s">
        <v>46</v>
      </c>
      <c r="D194" s="23" t="s">
        <v>221</v>
      </c>
      <c r="E194" s="26">
        <v>42</v>
      </c>
      <c r="G194" s="24">
        <v>13</v>
      </c>
      <c r="H194" s="23"/>
      <c r="I194" s="23" t="s">
        <v>29</v>
      </c>
      <c r="J194" s="23" t="s">
        <v>112</v>
      </c>
      <c r="K194" s="26">
        <v>236</v>
      </c>
    </row>
    <row r="195" spans="1:11" ht="18" customHeight="1" x14ac:dyDescent="0.25">
      <c r="A195" s="24">
        <v>10</v>
      </c>
      <c r="B195" s="23"/>
      <c r="C195" s="23" t="s">
        <v>35</v>
      </c>
      <c r="D195" s="23" t="s">
        <v>222</v>
      </c>
      <c r="E195" s="26">
        <v>18</v>
      </c>
      <c r="G195" s="24">
        <v>14</v>
      </c>
      <c r="H195" s="23"/>
      <c r="I195" s="23" t="s">
        <v>29</v>
      </c>
      <c r="J195" s="23" t="s">
        <v>114</v>
      </c>
      <c r="K195" s="26">
        <v>100</v>
      </c>
    </row>
    <row r="196" spans="1:11" ht="18" customHeight="1" x14ac:dyDescent="0.25">
      <c r="A196" s="24">
        <v>11</v>
      </c>
      <c r="B196" s="23" t="s">
        <v>28</v>
      </c>
      <c r="C196" s="23" t="s">
        <v>1</v>
      </c>
      <c r="D196" s="23" t="s">
        <v>223</v>
      </c>
      <c r="E196" s="26">
        <v>162</v>
      </c>
      <c r="G196" s="24">
        <v>15</v>
      </c>
      <c r="H196" s="23"/>
      <c r="I196" s="23" t="s">
        <v>1</v>
      </c>
      <c r="J196" s="23" t="s">
        <v>111</v>
      </c>
      <c r="K196" s="31">
        <v>10</v>
      </c>
    </row>
    <row r="197" spans="1:11" ht="18" customHeight="1" x14ac:dyDescent="0.25">
      <c r="A197" s="24">
        <v>12</v>
      </c>
      <c r="B197" s="23"/>
      <c r="C197" s="23" t="s">
        <v>1</v>
      </c>
      <c r="D197" s="23" t="s">
        <v>224</v>
      </c>
      <c r="E197" s="26">
        <v>16</v>
      </c>
      <c r="G197" s="24">
        <v>16</v>
      </c>
      <c r="H197" s="23"/>
      <c r="I197" s="23" t="s">
        <v>1</v>
      </c>
      <c r="J197" s="23" t="s">
        <v>118</v>
      </c>
      <c r="K197" s="26">
        <v>158</v>
      </c>
    </row>
    <row r="198" spans="1:11" ht="18" customHeight="1" x14ac:dyDescent="0.25">
      <c r="A198" s="24">
        <v>13</v>
      </c>
      <c r="B198" s="23"/>
      <c r="C198" s="23" t="s">
        <v>35</v>
      </c>
      <c r="D198" s="23" t="s">
        <v>225</v>
      </c>
      <c r="E198" s="26">
        <v>8</v>
      </c>
      <c r="G198" s="24">
        <v>17</v>
      </c>
      <c r="H198" s="23"/>
      <c r="I198" s="23" t="s">
        <v>1</v>
      </c>
      <c r="J198" s="23" t="s">
        <v>119</v>
      </c>
      <c r="K198" s="26">
        <v>58</v>
      </c>
    </row>
    <row r="199" spans="1:11" ht="18" customHeight="1" x14ac:dyDescent="0.25">
      <c r="A199" s="24">
        <v>14</v>
      </c>
      <c r="B199" s="23" t="s">
        <v>28</v>
      </c>
      <c r="C199" s="23" t="s">
        <v>1</v>
      </c>
      <c r="D199" s="23" t="s">
        <v>226</v>
      </c>
      <c r="E199" s="26">
        <v>106</v>
      </c>
      <c r="G199" s="24">
        <v>18</v>
      </c>
      <c r="H199" s="23"/>
      <c r="I199" s="23" t="s">
        <v>1</v>
      </c>
      <c r="J199" s="23" t="s">
        <v>128</v>
      </c>
      <c r="K199" s="26">
        <v>0</v>
      </c>
    </row>
    <row r="200" spans="1:11" ht="18" customHeight="1" thickBot="1" x14ac:dyDescent="0.3">
      <c r="A200" s="24">
        <v>15</v>
      </c>
      <c r="B200" s="23" t="s">
        <v>37</v>
      </c>
      <c r="C200" s="23" t="s">
        <v>1</v>
      </c>
      <c r="D200" s="33" t="s">
        <v>227</v>
      </c>
      <c r="E200" s="26">
        <v>24</v>
      </c>
      <c r="G200" s="85" t="s">
        <v>53</v>
      </c>
      <c r="H200" s="86"/>
      <c r="I200" s="86"/>
      <c r="J200" s="86"/>
      <c r="K200" s="27">
        <f>AVERAGE(K182:K199)</f>
        <v>105.11111111111111</v>
      </c>
    </row>
    <row r="201" spans="1:11" ht="18" customHeight="1" x14ac:dyDescent="0.25">
      <c r="A201" s="24">
        <v>16</v>
      </c>
      <c r="B201" s="23"/>
      <c r="C201" s="23" t="s">
        <v>29</v>
      </c>
      <c r="D201" s="23" t="s">
        <v>228</v>
      </c>
      <c r="E201" s="26">
        <v>18</v>
      </c>
      <c r="G201" s="87" t="s">
        <v>154</v>
      </c>
      <c r="H201" s="88"/>
      <c r="I201" s="88"/>
      <c r="J201" s="88"/>
      <c r="K201" s="89"/>
    </row>
    <row r="202" spans="1:11" ht="18" customHeight="1" x14ac:dyDescent="0.25">
      <c r="A202" s="24">
        <v>17</v>
      </c>
      <c r="B202" s="23" t="s">
        <v>28</v>
      </c>
      <c r="C202" s="23" t="s">
        <v>29</v>
      </c>
      <c r="D202" s="23" t="s">
        <v>229</v>
      </c>
      <c r="E202" s="26">
        <v>118</v>
      </c>
      <c r="G202" s="24">
        <v>1</v>
      </c>
      <c r="H202" s="23" t="s">
        <v>37</v>
      </c>
      <c r="I202" s="23" t="s">
        <v>41</v>
      </c>
      <c r="J202" s="23" t="s">
        <v>161</v>
      </c>
      <c r="K202" s="26">
        <v>64</v>
      </c>
    </row>
    <row r="203" spans="1:11" ht="18" customHeight="1" x14ac:dyDescent="0.25">
      <c r="A203" s="24">
        <v>18</v>
      </c>
      <c r="B203" s="23"/>
      <c r="C203" s="23" t="s">
        <v>1</v>
      </c>
      <c r="D203" s="23" t="s">
        <v>230</v>
      </c>
      <c r="E203" s="26">
        <v>70</v>
      </c>
      <c r="G203" s="24">
        <v>2</v>
      </c>
      <c r="H203" s="23" t="s">
        <v>37</v>
      </c>
      <c r="I203" s="23" t="s">
        <v>64</v>
      </c>
      <c r="J203" s="23" t="s">
        <v>162</v>
      </c>
      <c r="K203" s="26">
        <v>98</v>
      </c>
    </row>
    <row r="204" spans="1:11" ht="18" customHeight="1" x14ac:dyDescent="0.25">
      <c r="A204" s="24">
        <v>19</v>
      </c>
      <c r="B204" s="23"/>
      <c r="C204" s="23" t="s">
        <v>29</v>
      </c>
      <c r="D204" s="23" t="s">
        <v>231</v>
      </c>
      <c r="E204" s="26">
        <v>76</v>
      </c>
      <c r="G204" s="24">
        <v>3</v>
      </c>
      <c r="H204" s="23" t="s">
        <v>37</v>
      </c>
      <c r="I204" s="23" t="s">
        <v>35</v>
      </c>
      <c r="J204" s="23" t="s">
        <v>152</v>
      </c>
      <c r="K204" s="26">
        <v>152</v>
      </c>
    </row>
    <row r="205" spans="1:11" ht="18" customHeight="1" x14ac:dyDescent="0.25">
      <c r="A205" s="24">
        <v>20</v>
      </c>
      <c r="B205" s="23"/>
      <c r="C205" s="23" t="s">
        <v>35</v>
      </c>
      <c r="D205" s="23" t="s">
        <v>232</v>
      </c>
      <c r="E205" s="26">
        <v>28</v>
      </c>
      <c r="G205" s="24">
        <v>4</v>
      </c>
      <c r="H205" s="23" t="s">
        <v>28</v>
      </c>
      <c r="I205" s="23" t="s">
        <v>35</v>
      </c>
      <c r="J205" s="23" t="s">
        <v>153</v>
      </c>
      <c r="K205" s="26">
        <v>82</v>
      </c>
    </row>
    <row r="206" spans="1:11" ht="18" customHeight="1" x14ac:dyDescent="0.25">
      <c r="A206" s="24">
        <v>21</v>
      </c>
      <c r="B206" s="23" t="s">
        <v>37</v>
      </c>
      <c r="C206" s="23" t="s">
        <v>1</v>
      </c>
      <c r="D206" s="23" t="s">
        <v>325</v>
      </c>
      <c r="E206" s="26">
        <v>78</v>
      </c>
      <c r="G206" s="24">
        <v>5</v>
      </c>
      <c r="H206" s="23" t="s">
        <v>28</v>
      </c>
      <c r="I206" s="23" t="s">
        <v>29</v>
      </c>
      <c r="J206" s="23" t="s">
        <v>150</v>
      </c>
      <c r="K206" s="26">
        <v>94</v>
      </c>
    </row>
    <row r="207" spans="1:11" ht="18" customHeight="1" x14ac:dyDescent="0.25">
      <c r="A207" s="24">
        <v>22</v>
      </c>
      <c r="B207" s="23"/>
      <c r="C207" s="23" t="s">
        <v>35</v>
      </c>
      <c r="D207" s="23" t="s">
        <v>324</v>
      </c>
      <c r="E207" s="26">
        <v>112</v>
      </c>
      <c r="G207" s="24">
        <v>6</v>
      </c>
      <c r="H207" s="23" t="s">
        <v>28</v>
      </c>
      <c r="I207" s="23" t="s">
        <v>29</v>
      </c>
      <c r="J207" s="23" t="s">
        <v>164</v>
      </c>
      <c r="K207" s="26">
        <v>84</v>
      </c>
    </row>
    <row r="208" spans="1:11" ht="18" customHeight="1" x14ac:dyDescent="0.25">
      <c r="A208" s="24">
        <v>23</v>
      </c>
      <c r="B208" s="23" t="s">
        <v>28</v>
      </c>
      <c r="C208" s="23" t="s">
        <v>46</v>
      </c>
      <c r="D208" s="23" t="s">
        <v>326</v>
      </c>
      <c r="E208" s="26">
        <v>60</v>
      </c>
      <c r="G208" s="24">
        <v>7</v>
      </c>
      <c r="H208" s="23" t="s">
        <v>28</v>
      </c>
      <c r="I208" s="23" t="s">
        <v>1</v>
      </c>
      <c r="J208" s="23" t="s">
        <v>148</v>
      </c>
      <c r="K208" s="26">
        <v>294</v>
      </c>
    </row>
    <row r="209" spans="1:11" ht="18" customHeight="1" x14ac:dyDescent="0.25">
      <c r="A209" s="24">
        <v>24</v>
      </c>
      <c r="B209" s="23" t="s">
        <v>28</v>
      </c>
      <c r="C209" s="23" t="s">
        <v>35</v>
      </c>
      <c r="D209" s="23" t="s">
        <v>233</v>
      </c>
      <c r="E209" s="26">
        <v>14</v>
      </c>
      <c r="G209" s="24">
        <v>8</v>
      </c>
      <c r="H209" s="23" t="s">
        <v>28</v>
      </c>
      <c r="I209" s="23" t="s">
        <v>1</v>
      </c>
      <c r="J209" s="23" t="s">
        <v>156</v>
      </c>
      <c r="K209" s="26">
        <v>94</v>
      </c>
    </row>
    <row r="210" spans="1:11" ht="18" customHeight="1" thickBot="1" x14ac:dyDescent="0.3">
      <c r="A210" s="85" t="s">
        <v>53</v>
      </c>
      <c r="B210" s="86"/>
      <c r="C210" s="86"/>
      <c r="D210" s="86"/>
      <c r="E210" s="30">
        <f>AVERAGE(E186:E209)</f>
        <v>56.583333333333336</v>
      </c>
      <c r="G210" s="24">
        <v>9</v>
      </c>
      <c r="H210" s="23" t="s">
        <v>28</v>
      </c>
      <c r="I210" s="23" t="s">
        <v>1</v>
      </c>
      <c r="J210" s="23" t="s">
        <v>157</v>
      </c>
      <c r="K210" s="26">
        <v>50</v>
      </c>
    </row>
    <row r="211" spans="1:11" ht="18" customHeight="1" x14ac:dyDescent="0.25">
      <c r="A211" s="87" t="s">
        <v>234</v>
      </c>
      <c r="B211" s="88"/>
      <c r="C211" s="88"/>
      <c r="D211" s="88"/>
      <c r="E211" s="89"/>
      <c r="G211" s="24">
        <v>10</v>
      </c>
      <c r="H211" s="23" t="s">
        <v>28</v>
      </c>
      <c r="I211" s="23" t="s">
        <v>1</v>
      </c>
      <c r="J211" s="23" t="s">
        <v>165</v>
      </c>
      <c r="K211" s="26">
        <v>70</v>
      </c>
    </row>
    <row r="212" spans="1:11" ht="18" customHeight="1" x14ac:dyDescent="0.25">
      <c r="A212" s="24">
        <v>1</v>
      </c>
      <c r="B212" s="23"/>
      <c r="C212" s="23" t="s">
        <v>1</v>
      </c>
      <c r="D212" s="23" t="s">
        <v>235</v>
      </c>
      <c r="E212" s="26">
        <v>0</v>
      </c>
      <c r="G212" s="24">
        <v>11</v>
      </c>
      <c r="H212" s="23"/>
      <c r="I212" s="23" t="s">
        <v>46</v>
      </c>
      <c r="J212" s="23" t="s">
        <v>160</v>
      </c>
      <c r="K212" s="26">
        <v>44</v>
      </c>
    </row>
    <row r="213" spans="1:11" ht="18" customHeight="1" x14ac:dyDescent="0.25">
      <c r="A213" s="24">
        <v>2</v>
      </c>
      <c r="B213" s="23"/>
      <c r="C213" s="23" t="s">
        <v>1</v>
      </c>
      <c r="D213" s="23" t="s">
        <v>236</v>
      </c>
      <c r="E213" s="26">
        <v>54</v>
      </c>
      <c r="G213" s="24">
        <v>12</v>
      </c>
      <c r="H213" s="23"/>
      <c r="I213" s="23" t="s">
        <v>35</v>
      </c>
      <c r="J213" s="23" t="s">
        <v>147</v>
      </c>
      <c r="K213" s="26">
        <v>132</v>
      </c>
    </row>
    <row r="214" spans="1:11" ht="18" customHeight="1" x14ac:dyDescent="0.25">
      <c r="A214" s="24">
        <v>3</v>
      </c>
      <c r="B214" s="23" t="s">
        <v>28</v>
      </c>
      <c r="C214" s="23" t="s">
        <v>29</v>
      </c>
      <c r="D214" s="23" t="s">
        <v>237</v>
      </c>
      <c r="E214" s="26">
        <v>60</v>
      </c>
      <c r="G214" s="24">
        <v>13</v>
      </c>
      <c r="H214" s="23"/>
      <c r="I214" s="23" t="s">
        <v>35</v>
      </c>
      <c r="J214" s="23" t="s">
        <v>149</v>
      </c>
      <c r="K214" s="26">
        <v>158</v>
      </c>
    </row>
    <row r="215" spans="1:11" ht="18" customHeight="1" x14ac:dyDescent="0.25">
      <c r="A215" s="24">
        <v>4</v>
      </c>
      <c r="B215" s="23"/>
      <c r="C215" s="23" t="s">
        <v>1</v>
      </c>
      <c r="D215" s="23" t="s">
        <v>238</v>
      </c>
      <c r="E215" s="26">
        <v>56</v>
      </c>
      <c r="G215" s="24">
        <v>14</v>
      </c>
      <c r="H215" s="23"/>
      <c r="I215" s="23" t="s">
        <v>35</v>
      </c>
      <c r="J215" s="23" t="s">
        <v>159</v>
      </c>
      <c r="K215" s="26">
        <v>92</v>
      </c>
    </row>
    <row r="216" spans="1:11" ht="18" customHeight="1" x14ac:dyDescent="0.25">
      <c r="A216" s="24">
        <v>5</v>
      </c>
      <c r="B216" s="23" t="s">
        <v>28</v>
      </c>
      <c r="C216" s="23" t="s">
        <v>29</v>
      </c>
      <c r="D216" s="23" t="s">
        <v>239</v>
      </c>
      <c r="E216" s="26">
        <v>96</v>
      </c>
      <c r="G216" s="24">
        <v>15</v>
      </c>
      <c r="H216" s="23"/>
      <c r="I216" s="23" t="s">
        <v>29</v>
      </c>
      <c r="J216" s="23" t="s">
        <v>146</v>
      </c>
      <c r="K216" s="26">
        <v>82</v>
      </c>
    </row>
    <row r="217" spans="1:11" ht="18" customHeight="1" x14ac:dyDescent="0.25">
      <c r="A217" s="24">
        <v>6</v>
      </c>
      <c r="B217" s="23" t="s">
        <v>28</v>
      </c>
      <c r="C217" s="23" t="s">
        <v>35</v>
      </c>
      <c r="D217" s="23" t="s">
        <v>240</v>
      </c>
      <c r="E217" s="26">
        <v>34</v>
      </c>
      <c r="G217" s="24">
        <v>16</v>
      </c>
      <c r="H217" s="23"/>
      <c r="I217" s="23" t="s">
        <v>29</v>
      </c>
      <c r="J217" s="23" t="s">
        <v>158</v>
      </c>
      <c r="K217" s="26">
        <v>116</v>
      </c>
    </row>
    <row r="218" spans="1:11" ht="18" customHeight="1" x14ac:dyDescent="0.25">
      <c r="A218" s="24">
        <v>7</v>
      </c>
      <c r="B218" s="23"/>
      <c r="C218" s="23" t="s">
        <v>35</v>
      </c>
      <c r="D218" s="23" t="s">
        <v>241</v>
      </c>
      <c r="E218" s="26">
        <v>90</v>
      </c>
      <c r="G218" s="24">
        <v>17</v>
      </c>
      <c r="H218" s="23"/>
      <c r="I218" s="23" t="s">
        <v>1</v>
      </c>
      <c r="J218" s="23" t="s">
        <v>151</v>
      </c>
      <c r="K218" s="26">
        <v>90</v>
      </c>
    </row>
    <row r="219" spans="1:11" ht="18" customHeight="1" x14ac:dyDescent="0.25">
      <c r="A219" s="24">
        <v>8</v>
      </c>
      <c r="B219" s="23"/>
      <c r="C219" s="23" t="s">
        <v>29</v>
      </c>
      <c r="D219" s="23" t="s">
        <v>242</v>
      </c>
      <c r="E219" s="26">
        <v>56</v>
      </c>
      <c r="G219" s="24">
        <v>18</v>
      </c>
      <c r="H219" s="23"/>
      <c r="I219" s="23" t="s">
        <v>1</v>
      </c>
      <c r="J219" s="23" t="s">
        <v>155</v>
      </c>
      <c r="K219" s="26">
        <v>114</v>
      </c>
    </row>
    <row r="220" spans="1:11" ht="18" customHeight="1" x14ac:dyDescent="0.25">
      <c r="A220" s="24">
        <v>9</v>
      </c>
      <c r="B220" s="23" t="s">
        <v>28</v>
      </c>
      <c r="C220" s="23" t="s">
        <v>1</v>
      </c>
      <c r="D220" s="23" t="s">
        <v>243</v>
      </c>
      <c r="E220" s="26">
        <v>92</v>
      </c>
      <c r="G220" s="24">
        <v>19</v>
      </c>
      <c r="H220" s="23"/>
      <c r="I220" s="23" t="s">
        <v>1</v>
      </c>
      <c r="J220" s="23" t="s">
        <v>163</v>
      </c>
      <c r="K220" s="26">
        <v>16</v>
      </c>
    </row>
    <row r="221" spans="1:11" ht="18" customHeight="1" thickBot="1" x14ac:dyDescent="0.3">
      <c r="A221" s="24">
        <v>10</v>
      </c>
      <c r="B221" s="23" t="s">
        <v>37</v>
      </c>
      <c r="C221" s="23" t="s">
        <v>64</v>
      </c>
      <c r="D221" s="23" t="s">
        <v>244</v>
      </c>
      <c r="E221" s="26">
        <v>18</v>
      </c>
      <c r="G221" s="85" t="s">
        <v>53</v>
      </c>
      <c r="H221" s="86"/>
      <c r="I221" s="86"/>
      <c r="J221" s="86"/>
      <c r="K221" s="27">
        <f>AVERAGE(K202:K220)</f>
        <v>101.36842105263158</v>
      </c>
    </row>
    <row r="222" spans="1:11" ht="18" customHeight="1" x14ac:dyDescent="0.25">
      <c r="A222" s="24">
        <v>11</v>
      </c>
      <c r="B222" s="23" t="s">
        <v>28</v>
      </c>
      <c r="C222" s="23" t="s">
        <v>35</v>
      </c>
      <c r="D222" s="23" t="s">
        <v>245</v>
      </c>
      <c r="E222" s="26">
        <v>58</v>
      </c>
      <c r="G222" s="87" t="s">
        <v>250</v>
      </c>
      <c r="H222" s="88"/>
      <c r="I222" s="88"/>
      <c r="J222" s="88"/>
      <c r="K222" s="89"/>
    </row>
    <row r="223" spans="1:11" ht="18" customHeight="1" x14ac:dyDescent="0.25">
      <c r="A223" s="24">
        <v>12</v>
      </c>
      <c r="B223" s="23"/>
      <c r="C223" s="23" t="s">
        <v>46</v>
      </c>
      <c r="D223" s="23" t="s">
        <v>246</v>
      </c>
      <c r="E223" s="26">
        <v>92</v>
      </c>
      <c r="G223" s="24">
        <v>1</v>
      </c>
      <c r="H223" s="23"/>
      <c r="I223" s="23" t="s">
        <v>41</v>
      </c>
      <c r="J223" s="43" t="s">
        <v>363</v>
      </c>
      <c r="K223" s="26">
        <v>122</v>
      </c>
    </row>
    <row r="224" spans="1:11" ht="18" customHeight="1" x14ac:dyDescent="0.25">
      <c r="A224" s="24">
        <v>13</v>
      </c>
      <c r="B224" s="23"/>
      <c r="C224" s="23" t="s">
        <v>1</v>
      </c>
      <c r="D224" s="23" t="s">
        <v>247</v>
      </c>
      <c r="E224" s="26">
        <v>92</v>
      </c>
      <c r="G224" s="24">
        <v>2</v>
      </c>
      <c r="H224" s="23"/>
      <c r="I224" s="23" t="s">
        <v>46</v>
      </c>
      <c r="J224" s="43" t="s">
        <v>364</v>
      </c>
      <c r="K224" s="26">
        <v>176</v>
      </c>
    </row>
    <row r="225" spans="1:11" ht="18" customHeight="1" x14ac:dyDescent="0.25">
      <c r="A225" s="24">
        <v>14</v>
      </c>
      <c r="B225" s="23"/>
      <c r="C225" s="23" t="s">
        <v>35</v>
      </c>
      <c r="D225" s="23" t="s">
        <v>248</v>
      </c>
      <c r="E225" s="26">
        <v>16</v>
      </c>
      <c r="G225" s="24">
        <v>3</v>
      </c>
      <c r="H225" s="23"/>
      <c r="I225" s="23" t="s">
        <v>46</v>
      </c>
      <c r="J225" s="43" t="s">
        <v>365</v>
      </c>
      <c r="K225" s="26">
        <v>70</v>
      </c>
    </row>
    <row r="226" spans="1:11" ht="18" customHeight="1" x14ac:dyDescent="0.25">
      <c r="A226" s="24">
        <v>15</v>
      </c>
      <c r="B226" s="23"/>
      <c r="C226" s="23" t="s">
        <v>1</v>
      </c>
      <c r="D226" s="23" t="s">
        <v>327</v>
      </c>
      <c r="E226" s="26">
        <v>22</v>
      </c>
      <c r="G226" s="24">
        <v>4</v>
      </c>
      <c r="H226" s="23"/>
      <c r="I226" s="23" t="s">
        <v>35</v>
      </c>
      <c r="J226" s="23" t="s">
        <v>251</v>
      </c>
      <c r="K226" s="26">
        <v>166</v>
      </c>
    </row>
    <row r="227" spans="1:11" ht="18" customHeight="1" x14ac:dyDescent="0.25">
      <c r="A227" s="24">
        <v>16</v>
      </c>
      <c r="B227" s="23" t="s">
        <v>37</v>
      </c>
      <c r="C227" s="23" t="s">
        <v>41</v>
      </c>
      <c r="D227" s="23" t="s">
        <v>328</v>
      </c>
      <c r="E227" s="26">
        <v>18</v>
      </c>
      <c r="G227" s="24">
        <v>5</v>
      </c>
      <c r="H227" s="23"/>
      <c r="I227" s="23" t="s">
        <v>35</v>
      </c>
      <c r="J227" s="23" t="s">
        <v>253</v>
      </c>
      <c r="K227" s="26">
        <v>332</v>
      </c>
    </row>
    <row r="228" spans="1:11" ht="18" customHeight="1" x14ac:dyDescent="0.25">
      <c r="A228" s="24">
        <v>17</v>
      </c>
      <c r="B228" s="23"/>
      <c r="C228" s="23" t="s">
        <v>35</v>
      </c>
      <c r="D228" s="23" t="s">
        <v>248</v>
      </c>
      <c r="E228" s="26">
        <v>38</v>
      </c>
      <c r="G228" s="24">
        <v>6</v>
      </c>
      <c r="H228" s="23"/>
      <c r="I228" s="23" t="s">
        <v>35</v>
      </c>
      <c r="J228" s="23" t="s">
        <v>259</v>
      </c>
      <c r="K228" s="26">
        <v>170</v>
      </c>
    </row>
    <row r="229" spans="1:11" ht="18" customHeight="1" x14ac:dyDescent="0.25">
      <c r="A229" s="24">
        <v>18</v>
      </c>
      <c r="B229" s="23"/>
      <c r="C229" s="23" t="s">
        <v>1</v>
      </c>
      <c r="D229" s="23" t="s">
        <v>249</v>
      </c>
      <c r="E229" s="26">
        <v>58</v>
      </c>
      <c r="G229" s="24">
        <v>7</v>
      </c>
      <c r="H229" s="23"/>
      <c r="I229" s="23" t="s">
        <v>35</v>
      </c>
      <c r="J229" s="23" t="s">
        <v>263</v>
      </c>
      <c r="K229" s="26">
        <v>190</v>
      </c>
    </row>
    <row r="230" spans="1:11" ht="18" customHeight="1" thickBot="1" x14ac:dyDescent="0.3">
      <c r="A230" s="85" t="s">
        <v>53</v>
      </c>
      <c r="B230" s="86"/>
      <c r="C230" s="86"/>
      <c r="D230" s="86"/>
      <c r="E230" s="30">
        <f>AVERAGE(E212:E229)</f>
        <v>52.777777777777779</v>
      </c>
      <c r="G230" s="24">
        <v>8</v>
      </c>
      <c r="H230" s="23"/>
      <c r="I230" s="23" t="s">
        <v>35</v>
      </c>
      <c r="J230" s="43" t="s">
        <v>256</v>
      </c>
      <c r="K230" s="26">
        <v>178</v>
      </c>
    </row>
    <row r="231" spans="1:11" ht="18" customHeight="1" x14ac:dyDescent="0.25">
      <c r="A231" s="87" t="s">
        <v>250</v>
      </c>
      <c r="B231" s="88"/>
      <c r="C231" s="88"/>
      <c r="D231" s="88"/>
      <c r="E231" s="89"/>
      <c r="G231" s="24">
        <v>9</v>
      </c>
      <c r="H231" s="23"/>
      <c r="I231" s="23" t="s">
        <v>35</v>
      </c>
      <c r="J231" s="43" t="s">
        <v>258</v>
      </c>
      <c r="K231" s="26">
        <v>238</v>
      </c>
    </row>
    <row r="232" spans="1:11" ht="18" customHeight="1" x14ac:dyDescent="0.25">
      <c r="A232" s="24">
        <v>1</v>
      </c>
      <c r="B232" s="23"/>
      <c r="C232" s="23" t="s">
        <v>35</v>
      </c>
      <c r="D232" s="23" t="s">
        <v>251</v>
      </c>
      <c r="E232" s="26">
        <v>166</v>
      </c>
      <c r="G232" s="24">
        <v>10</v>
      </c>
      <c r="H232" s="23"/>
      <c r="I232" s="23" t="s">
        <v>35</v>
      </c>
      <c r="J232" s="43" t="s">
        <v>366</v>
      </c>
      <c r="K232" s="26">
        <v>198</v>
      </c>
    </row>
    <row r="233" spans="1:11" ht="18" customHeight="1" x14ac:dyDescent="0.25">
      <c r="A233" s="24">
        <v>2</v>
      </c>
      <c r="B233" s="23"/>
      <c r="C233" s="23" t="s">
        <v>1</v>
      </c>
      <c r="D233" s="23" t="s">
        <v>252</v>
      </c>
      <c r="E233" s="26">
        <v>186</v>
      </c>
      <c r="G233" s="24">
        <v>11</v>
      </c>
      <c r="H233" s="23"/>
      <c r="I233" s="23" t="s">
        <v>35</v>
      </c>
      <c r="J233" s="43" t="s">
        <v>374</v>
      </c>
      <c r="K233" s="26">
        <v>270</v>
      </c>
    </row>
    <row r="234" spans="1:11" ht="18" customHeight="1" x14ac:dyDescent="0.25">
      <c r="A234" s="24">
        <v>3</v>
      </c>
      <c r="B234" s="23"/>
      <c r="C234" s="23" t="s">
        <v>35</v>
      </c>
      <c r="D234" s="23" t="s">
        <v>253</v>
      </c>
      <c r="E234" s="26">
        <v>332</v>
      </c>
      <c r="G234" s="24">
        <v>12</v>
      </c>
      <c r="H234" s="23"/>
      <c r="I234" s="23" t="s">
        <v>35</v>
      </c>
      <c r="J234" s="43" t="s">
        <v>377</v>
      </c>
      <c r="K234" s="26">
        <v>160</v>
      </c>
    </row>
    <row r="235" spans="1:11" ht="18" customHeight="1" x14ac:dyDescent="0.25">
      <c r="A235" s="24">
        <v>4</v>
      </c>
      <c r="B235" s="23"/>
      <c r="C235" s="23" t="s">
        <v>1</v>
      </c>
      <c r="D235" s="23" t="s">
        <v>254</v>
      </c>
      <c r="E235" s="26">
        <v>88</v>
      </c>
      <c r="G235" s="24">
        <v>13</v>
      </c>
      <c r="H235" s="23"/>
      <c r="I235" s="23" t="s">
        <v>35</v>
      </c>
      <c r="J235" s="43" t="s">
        <v>378</v>
      </c>
      <c r="K235" s="26">
        <v>192</v>
      </c>
    </row>
    <row r="236" spans="1:11" ht="18" customHeight="1" x14ac:dyDescent="0.25">
      <c r="A236" s="24"/>
      <c r="B236" s="23"/>
      <c r="C236" s="23"/>
      <c r="D236" s="23"/>
      <c r="E236" s="26"/>
      <c r="G236" s="24">
        <v>14</v>
      </c>
      <c r="H236" s="23"/>
      <c r="I236" s="23" t="s">
        <v>29</v>
      </c>
      <c r="J236" s="43" t="s">
        <v>260</v>
      </c>
      <c r="K236" s="26">
        <v>138</v>
      </c>
    </row>
    <row r="237" spans="1:11" ht="18" customHeight="1" x14ac:dyDescent="0.25">
      <c r="A237" s="24"/>
      <c r="B237" s="23"/>
      <c r="C237" s="23"/>
      <c r="D237" s="23"/>
      <c r="E237" s="26"/>
      <c r="G237" s="24">
        <v>15</v>
      </c>
      <c r="H237" s="23"/>
      <c r="I237" s="23" t="s">
        <v>29</v>
      </c>
      <c r="J237" s="43" t="s">
        <v>262</v>
      </c>
      <c r="K237" s="26">
        <v>142</v>
      </c>
    </row>
    <row r="238" spans="1:11" ht="18" customHeight="1" x14ac:dyDescent="0.25">
      <c r="A238" s="24"/>
      <c r="B238" s="23"/>
      <c r="C238" s="23"/>
      <c r="D238" s="23"/>
      <c r="E238" s="26"/>
      <c r="G238" s="24">
        <v>16</v>
      </c>
      <c r="H238" s="23"/>
      <c r="I238" s="23" t="s">
        <v>29</v>
      </c>
      <c r="J238" s="43" t="s">
        <v>264</v>
      </c>
      <c r="K238" s="26">
        <v>304</v>
      </c>
    </row>
    <row r="239" spans="1:11" ht="18" customHeight="1" x14ac:dyDescent="0.25">
      <c r="A239" s="24"/>
      <c r="B239" s="23"/>
      <c r="C239" s="23"/>
      <c r="D239" s="23"/>
      <c r="E239" s="26"/>
      <c r="G239" s="24">
        <v>17</v>
      </c>
      <c r="H239" s="23"/>
      <c r="I239" s="23" t="s">
        <v>29</v>
      </c>
      <c r="J239" s="43" t="s">
        <v>255</v>
      </c>
      <c r="K239" s="26">
        <v>146</v>
      </c>
    </row>
    <row r="240" spans="1:11" ht="18" customHeight="1" x14ac:dyDescent="0.25">
      <c r="A240" s="24"/>
      <c r="B240" s="23"/>
      <c r="C240" s="23"/>
      <c r="D240" s="23"/>
      <c r="E240" s="26"/>
      <c r="G240" s="24">
        <v>18</v>
      </c>
      <c r="H240" s="23"/>
      <c r="I240" s="23" t="s">
        <v>29</v>
      </c>
      <c r="J240" s="43" t="s">
        <v>369</v>
      </c>
      <c r="K240" s="26">
        <v>206</v>
      </c>
    </row>
    <row r="241" spans="1:11" ht="18" customHeight="1" x14ac:dyDescent="0.25">
      <c r="A241" s="24"/>
      <c r="B241" s="23"/>
      <c r="C241" s="23"/>
      <c r="D241" s="23"/>
      <c r="E241" s="26"/>
      <c r="G241" s="24">
        <v>19</v>
      </c>
      <c r="H241" s="23"/>
      <c r="I241" s="23" t="s">
        <v>29</v>
      </c>
      <c r="J241" s="43" t="s">
        <v>370</v>
      </c>
      <c r="K241" s="26">
        <v>72</v>
      </c>
    </row>
    <row r="242" spans="1:11" ht="18" customHeight="1" x14ac:dyDescent="0.25">
      <c r="A242" s="24"/>
      <c r="B242" s="23"/>
      <c r="C242" s="23"/>
      <c r="D242" s="23"/>
      <c r="E242" s="26"/>
      <c r="G242" s="24">
        <v>20</v>
      </c>
      <c r="H242" s="23"/>
      <c r="I242" s="23" t="s">
        <v>29</v>
      </c>
      <c r="J242" s="43" t="s">
        <v>371</v>
      </c>
      <c r="K242" s="26">
        <v>260</v>
      </c>
    </row>
    <row r="243" spans="1:11" ht="18" customHeight="1" x14ac:dyDescent="0.25">
      <c r="A243" s="24"/>
      <c r="B243" s="23"/>
      <c r="C243" s="23"/>
      <c r="D243" s="23"/>
      <c r="E243" s="26"/>
      <c r="G243" s="24">
        <v>21</v>
      </c>
      <c r="H243" s="23"/>
      <c r="I243" s="23" t="s">
        <v>1</v>
      </c>
      <c r="J243" s="43" t="s">
        <v>252</v>
      </c>
      <c r="K243" s="26">
        <v>186</v>
      </c>
    </row>
    <row r="244" spans="1:11" ht="18" customHeight="1" x14ac:dyDescent="0.25">
      <c r="A244" s="24"/>
      <c r="B244" s="23"/>
      <c r="C244" s="23"/>
      <c r="D244" s="23"/>
      <c r="E244" s="26"/>
      <c r="G244" s="24">
        <v>22</v>
      </c>
      <c r="H244" s="23"/>
      <c r="I244" s="23" t="s">
        <v>1</v>
      </c>
      <c r="J244" s="43" t="s">
        <v>254</v>
      </c>
      <c r="K244" s="26">
        <v>88</v>
      </c>
    </row>
    <row r="245" spans="1:11" ht="18" customHeight="1" x14ac:dyDescent="0.25">
      <c r="A245" s="24"/>
      <c r="B245" s="23"/>
      <c r="C245" s="23"/>
      <c r="D245" s="23"/>
      <c r="E245" s="26"/>
      <c r="G245" s="24">
        <v>23</v>
      </c>
      <c r="H245" s="23"/>
      <c r="I245" s="23" t="s">
        <v>1</v>
      </c>
      <c r="J245" s="43" t="s">
        <v>261</v>
      </c>
      <c r="K245" s="26">
        <v>128</v>
      </c>
    </row>
    <row r="246" spans="1:11" ht="18" customHeight="1" x14ac:dyDescent="0.25">
      <c r="A246" s="24"/>
      <c r="B246" s="23"/>
      <c r="C246" s="23"/>
      <c r="D246" s="23"/>
      <c r="E246" s="26"/>
      <c r="G246" s="24">
        <v>24</v>
      </c>
      <c r="H246" s="23"/>
      <c r="I246" s="23" t="s">
        <v>1</v>
      </c>
      <c r="J246" s="43" t="s">
        <v>367</v>
      </c>
      <c r="K246" s="26">
        <v>114</v>
      </c>
    </row>
    <row r="247" spans="1:11" ht="18" customHeight="1" x14ac:dyDescent="0.25">
      <c r="A247" s="24"/>
      <c r="B247" s="23"/>
      <c r="C247" s="23"/>
      <c r="D247" s="23"/>
      <c r="E247" s="26"/>
      <c r="G247" s="24">
        <v>25</v>
      </c>
      <c r="H247" s="23"/>
      <c r="I247" s="23" t="s">
        <v>1</v>
      </c>
      <c r="J247" s="43" t="s">
        <v>368</v>
      </c>
      <c r="K247" s="26">
        <v>124</v>
      </c>
    </row>
    <row r="248" spans="1:11" ht="18" customHeight="1" x14ac:dyDescent="0.25">
      <c r="A248" s="24"/>
      <c r="B248" s="23"/>
      <c r="C248" s="23"/>
      <c r="D248" s="23"/>
      <c r="E248" s="26"/>
      <c r="G248" s="24">
        <v>26</v>
      </c>
      <c r="H248" s="23"/>
      <c r="I248" s="23" t="s">
        <v>1</v>
      </c>
      <c r="J248" s="43" t="s">
        <v>109</v>
      </c>
      <c r="K248" s="26">
        <v>100</v>
      </c>
    </row>
    <row r="249" spans="1:11" ht="18" customHeight="1" x14ac:dyDescent="0.25">
      <c r="A249" s="24"/>
      <c r="B249" s="23"/>
      <c r="C249" s="23"/>
      <c r="D249" s="23"/>
      <c r="E249" s="26"/>
      <c r="G249" s="24">
        <v>27</v>
      </c>
      <c r="H249" s="23"/>
      <c r="I249" s="23" t="s">
        <v>1</v>
      </c>
      <c r="J249" s="43" t="s">
        <v>372</v>
      </c>
      <c r="K249" s="26">
        <v>372</v>
      </c>
    </row>
    <row r="250" spans="1:11" ht="18" customHeight="1" x14ac:dyDescent="0.25">
      <c r="A250" s="24"/>
      <c r="B250" s="23"/>
      <c r="C250" s="23"/>
      <c r="D250" s="23"/>
      <c r="E250" s="26"/>
      <c r="G250" s="24">
        <v>28</v>
      </c>
      <c r="H250" s="23"/>
      <c r="I250" s="23" t="s">
        <v>1</v>
      </c>
      <c r="J250" s="43" t="s">
        <v>373</v>
      </c>
      <c r="K250" s="26">
        <v>214</v>
      </c>
    </row>
    <row r="251" spans="1:11" ht="18" customHeight="1" x14ac:dyDescent="0.25">
      <c r="A251" s="24"/>
      <c r="B251" s="23"/>
      <c r="C251" s="23"/>
      <c r="D251" s="23"/>
      <c r="E251" s="26"/>
      <c r="G251" s="24">
        <v>29</v>
      </c>
      <c r="H251" s="23"/>
      <c r="I251" s="23" t="s">
        <v>1</v>
      </c>
      <c r="J251" s="43" t="s">
        <v>375</v>
      </c>
      <c r="K251" s="26">
        <v>136</v>
      </c>
    </row>
    <row r="252" spans="1:11" ht="18" customHeight="1" x14ac:dyDescent="0.25">
      <c r="A252" s="24"/>
      <c r="B252" s="23"/>
      <c r="C252" s="23"/>
      <c r="D252" s="23"/>
      <c r="E252" s="26"/>
      <c r="G252" s="24">
        <v>30</v>
      </c>
      <c r="H252" s="23"/>
      <c r="I252" s="23" t="s">
        <v>1</v>
      </c>
      <c r="J252" s="43" t="s">
        <v>376</v>
      </c>
      <c r="K252" s="26">
        <v>124</v>
      </c>
    </row>
    <row r="253" spans="1:11" ht="18" customHeight="1" x14ac:dyDescent="0.25">
      <c r="A253" s="24">
        <v>5</v>
      </c>
      <c r="B253" s="23"/>
      <c r="C253" s="23"/>
      <c r="D253" s="23" t="s">
        <v>255</v>
      </c>
      <c r="E253" s="26">
        <v>146</v>
      </c>
      <c r="G253" s="24">
        <v>31</v>
      </c>
      <c r="H253" s="23"/>
      <c r="I253" s="23" t="s">
        <v>1</v>
      </c>
      <c r="J253" s="43" t="s">
        <v>257</v>
      </c>
      <c r="K253" s="26">
        <v>48</v>
      </c>
    </row>
    <row r="254" spans="1:11" ht="18" customHeight="1" thickBot="1" x14ac:dyDescent="0.3">
      <c r="A254" s="24">
        <v>6</v>
      </c>
      <c r="B254" s="23"/>
      <c r="C254" s="23"/>
      <c r="D254" s="23" t="s">
        <v>256</v>
      </c>
      <c r="E254" s="26">
        <v>178</v>
      </c>
      <c r="G254" s="109" t="s">
        <v>53</v>
      </c>
      <c r="H254" s="110"/>
      <c r="I254" s="110"/>
      <c r="J254" s="111"/>
      <c r="K254" s="44">
        <f>AVERAGE(K223:K253)</f>
        <v>173.03225806451613</v>
      </c>
    </row>
    <row r="255" spans="1:11" ht="18" customHeight="1" x14ac:dyDescent="0.25">
      <c r="A255" s="24">
        <v>7</v>
      </c>
      <c r="B255" s="23"/>
      <c r="C255" s="23"/>
      <c r="D255" s="23" t="s">
        <v>257</v>
      </c>
      <c r="E255" s="26">
        <v>48</v>
      </c>
      <c r="G255" s="87" t="s">
        <v>129</v>
      </c>
      <c r="H255" s="88"/>
      <c r="I255" s="88"/>
      <c r="J255" s="88"/>
      <c r="K255" s="89"/>
    </row>
    <row r="256" spans="1:11" x14ac:dyDescent="0.25">
      <c r="A256" s="24">
        <v>8</v>
      </c>
      <c r="B256" s="23"/>
      <c r="C256" s="23"/>
      <c r="D256" s="23" t="s">
        <v>258</v>
      </c>
      <c r="E256" s="26">
        <v>238</v>
      </c>
      <c r="G256" s="24">
        <v>1</v>
      </c>
      <c r="H256" s="23"/>
      <c r="I256" s="23" t="s">
        <v>41</v>
      </c>
      <c r="J256" s="23" t="s">
        <v>130</v>
      </c>
      <c r="K256" s="26">
        <v>46</v>
      </c>
    </row>
    <row r="257" spans="1:11" x14ac:dyDescent="0.25">
      <c r="A257" s="24">
        <v>9</v>
      </c>
      <c r="B257" s="23"/>
      <c r="C257" s="23" t="s">
        <v>35</v>
      </c>
      <c r="D257" s="23" t="s">
        <v>259</v>
      </c>
      <c r="E257" s="26">
        <v>170</v>
      </c>
      <c r="G257" s="24">
        <v>2</v>
      </c>
      <c r="H257" s="23"/>
      <c r="I257" s="23" t="s">
        <v>46</v>
      </c>
      <c r="J257" s="23" t="s">
        <v>134</v>
      </c>
      <c r="K257" s="26">
        <v>102</v>
      </c>
    </row>
    <row r="258" spans="1:11" x14ac:dyDescent="0.25">
      <c r="A258" s="24">
        <v>10</v>
      </c>
      <c r="B258" s="23"/>
      <c r="C258" s="23" t="s">
        <v>29</v>
      </c>
      <c r="D258" s="23" t="s">
        <v>260</v>
      </c>
      <c r="E258" s="26">
        <v>138</v>
      </c>
      <c r="G258" s="24">
        <v>3</v>
      </c>
      <c r="H258" s="23"/>
      <c r="I258" s="23" t="s">
        <v>46</v>
      </c>
      <c r="J258" s="23" t="s">
        <v>144</v>
      </c>
      <c r="K258" s="26">
        <v>0</v>
      </c>
    </row>
    <row r="259" spans="1:11" x14ac:dyDescent="0.25">
      <c r="A259" s="24">
        <v>11</v>
      </c>
      <c r="B259" s="23"/>
      <c r="C259" s="23" t="s">
        <v>1</v>
      </c>
      <c r="D259" s="23" t="s">
        <v>261</v>
      </c>
      <c r="E259" s="26">
        <v>128</v>
      </c>
      <c r="G259" s="24">
        <v>4</v>
      </c>
      <c r="H259" s="23"/>
      <c r="I259" s="23" t="s">
        <v>35</v>
      </c>
      <c r="J259" s="23" t="s">
        <v>131</v>
      </c>
      <c r="K259" s="26">
        <v>258</v>
      </c>
    </row>
    <row r="260" spans="1:11" x14ac:dyDescent="0.25">
      <c r="A260" s="24">
        <v>12</v>
      </c>
      <c r="B260" s="23"/>
      <c r="C260" s="23" t="s">
        <v>29</v>
      </c>
      <c r="D260" s="23" t="s">
        <v>262</v>
      </c>
      <c r="E260" s="26">
        <v>142</v>
      </c>
      <c r="G260" s="24">
        <v>5</v>
      </c>
      <c r="H260" s="23"/>
      <c r="I260" s="23" t="s">
        <v>35</v>
      </c>
      <c r="J260" s="23" t="s">
        <v>132</v>
      </c>
      <c r="K260" s="26">
        <v>316</v>
      </c>
    </row>
    <row r="261" spans="1:11" x14ac:dyDescent="0.25">
      <c r="A261" s="24">
        <v>13</v>
      </c>
      <c r="B261" s="23"/>
      <c r="C261" s="23" t="s">
        <v>35</v>
      </c>
      <c r="D261" s="23" t="s">
        <v>263</v>
      </c>
      <c r="E261" s="26">
        <v>190</v>
      </c>
      <c r="G261" s="24">
        <v>6</v>
      </c>
      <c r="H261" s="23"/>
      <c r="I261" s="23" t="s">
        <v>35</v>
      </c>
      <c r="J261" s="23" t="s">
        <v>133</v>
      </c>
      <c r="K261" s="26">
        <v>112</v>
      </c>
    </row>
    <row r="262" spans="1:11" x14ac:dyDescent="0.25">
      <c r="A262" s="24">
        <v>14</v>
      </c>
      <c r="B262" s="23"/>
      <c r="C262" s="23" t="s">
        <v>29</v>
      </c>
      <c r="D262" s="23" t="s">
        <v>264</v>
      </c>
      <c r="E262" s="26">
        <v>304</v>
      </c>
      <c r="G262" s="24">
        <v>7</v>
      </c>
      <c r="H262" s="23"/>
      <c r="I262" s="23" t="s">
        <v>35</v>
      </c>
      <c r="J262" s="23" t="s">
        <v>135</v>
      </c>
      <c r="K262" s="26">
        <v>124</v>
      </c>
    </row>
    <row r="263" spans="1:11" ht="19.5" thickBot="1" x14ac:dyDescent="0.3">
      <c r="A263" s="109" t="s">
        <v>53</v>
      </c>
      <c r="B263" s="110"/>
      <c r="C263" s="110"/>
      <c r="D263" s="110"/>
      <c r="E263" s="34">
        <f>AVERAGE(E232:E262)</f>
        <v>175.28571428571428</v>
      </c>
      <c r="G263" s="24">
        <v>8</v>
      </c>
      <c r="H263" s="23"/>
      <c r="I263" s="23" t="s">
        <v>35</v>
      </c>
      <c r="J263" s="23" t="s">
        <v>136</v>
      </c>
      <c r="K263" s="26">
        <v>106</v>
      </c>
    </row>
    <row r="264" spans="1:11" x14ac:dyDescent="0.25">
      <c r="A264" s="87" t="s">
        <v>270</v>
      </c>
      <c r="B264" s="88"/>
      <c r="C264" s="88"/>
      <c r="D264" s="88"/>
      <c r="E264" s="89"/>
      <c r="G264" s="24">
        <v>9</v>
      </c>
      <c r="H264" s="23"/>
      <c r="I264" s="23" t="s">
        <v>35</v>
      </c>
      <c r="J264" s="23" t="s">
        <v>142</v>
      </c>
      <c r="K264" s="26">
        <v>26</v>
      </c>
    </row>
    <row r="265" spans="1:11" x14ac:dyDescent="0.25">
      <c r="A265" s="24">
        <v>1</v>
      </c>
      <c r="B265" s="23" t="s">
        <v>37</v>
      </c>
      <c r="C265" s="23" t="s">
        <v>41</v>
      </c>
      <c r="D265" s="23" t="s">
        <v>265</v>
      </c>
      <c r="E265" s="26">
        <v>52</v>
      </c>
      <c r="G265" s="24">
        <v>10</v>
      </c>
      <c r="H265" s="23"/>
      <c r="I265" s="23" t="s">
        <v>29</v>
      </c>
      <c r="J265" s="23" t="s">
        <v>138</v>
      </c>
      <c r="K265" s="26">
        <v>260</v>
      </c>
    </row>
    <row r="266" spans="1:11" x14ac:dyDescent="0.25">
      <c r="A266" s="24">
        <v>2</v>
      </c>
      <c r="B266" s="23" t="s">
        <v>28</v>
      </c>
      <c r="C266" s="23" t="s">
        <v>1</v>
      </c>
      <c r="D266" s="23" t="s">
        <v>266</v>
      </c>
      <c r="E266" s="26">
        <v>102</v>
      </c>
      <c r="G266" s="24">
        <v>11</v>
      </c>
      <c r="H266" s="23"/>
      <c r="I266" s="23" t="s">
        <v>29</v>
      </c>
      <c r="J266" s="23" t="s">
        <v>140</v>
      </c>
      <c r="K266" s="26">
        <v>118</v>
      </c>
    </row>
    <row r="267" spans="1:11" x14ac:dyDescent="0.25">
      <c r="A267" s="24">
        <v>3</v>
      </c>
      <c r="B267" s="23"/>
      <c r="C267" s="23" t="s">
        <v>29</v>
      </c>
      <c r="D267" s="23" t="s">
        <v>267</v>
      </c>
      <c r="E267" s="26">
        <v>80</v>
      </c>
      <c r="G267" s="24">
        <v>12</v>
      </c>
      <c r="H267" s="23"/>
      <c r="I267" s="23" t="s">
        <v>29</v>
      </c>
      <c r="J267" s="23" t="s">
        <v>145</v>
      </c>
      <c r="K267" s="26">
        <v>278</v>
      </c>
    </row>
    <row r="268" spans="1:11" x14ac:dyDescent="0.25">
      <c r="A268" s="24">
        <v>4</v>
      </c>
      <c r="B268" s="23"/>
      <c r="C268" s="23" t="s">
        <v>1</v>
      </c>
      <c r="D268" s="23" t="s">
        <v>268</v>
      </c>
      <c r="E268" s="26">
        <v>96</v>
      </c>
      <c r="G268" s="24">
        <v>13</v>
      </c>
      <c r="H268" s="23"/>
      <c r="I268" s="23" t="s">
        <v>1</v>
      </c>
      <c r="J268" s="23" t="s">
        <v>137</v>
      </c>
      <c r="K268" s="26">
        <v>130</v>
      </c>
    </row>
    <row r="269" spans="1:11" x14ac:dyDescent="0.25">
      <c r="A269" s="24">
        <v>5</v>
      </c>
      <c r="B269" s="23"/>
      <c r="C269" s="23" t="s">
        <v>35</v>
      </c>
      <c r="D269" s="23" t="s">
        <v>269</v>
      </c>
      <c r="E269" s="26">
        <v>56</v>
      </c>
      <c r="G269" s="24">
        <v>14</v>
      </c>
      <c r="H269" s="23"/>
      <c r="I269" s="23" t="s">
        <v>1</v>
      </c>
      <c r="J269" s="23" t="s">
        <v>139</v>
      </c>
      <c r="K269" s="26">
        <v>174</v>
      </c>
    </row>
    <row r="270" spans="1:11" x14ac:dyDescent="0.25">
      <c r="A270" s="24">
        <v>6</v>
      </c>
      <c r="B270" s="23" t="s">
        <v>28</v>
      </c>
      <c r="C270" s="23" t="s">
        <v>29</v>
      </c>
      <c r="D270" s="23" t="s">
        <v>271</v>
      </c>
      <c r="E270" s="26">
        <v>132</v>
      </c>
      <c r="G270" s="24">
        <v>15</v>
      </c>
      <c r="H270" s="23"/>
      <c r="I270" s="23" t="s">
        <v>1</v>
      </c>
      <c r="J270" s="23" t="s">
        <v>141</v>
      </c>
      <c r="K270" s="26">
        <v>230</v>
      </c>
    </row>
    <row r="271" spans="1:11" ht="19.5" thickBot="1" x14ac:dyDescent="0.3">
      <c r="A271" s="85" t="s">
        <v>53</v>
      </c>
      <c r="B271" s="86"/>
      <c r="C271" s="86"/>
      <c r="D271" s="86"/>
      <c r="E271" s="30">
        <f>AVERAGE(E265:E270)</f>
        <v>86.333333333333329</v>
      </c>
      <c r="G271" s="24">
        <v>16</v>
      </c>
      <c r="H271" s="23"/>
      <c r="I271" s="23" t="s">
        <v>1</v>
      </c>
      <c r="J271" s="23" t="s">
        <v>143</v>
      </c>
      <c r="K271" s="26">
        <v>8</v>
      </c>
    </row>
    <row r="272" spans="1:11" ht="19.5" thickBot="1" x14ac:dyDescent="0.3">
      <c r="A272" s="87" t="s">
        <v>279</v>
      </c>
      <c r="B272" s="88"/>
      <c r="C272" s="88"/>
      <c r="D272" s="88"/>
      <c r="E272" s="89"/>
      <c r="G272" s="85" t="s">
        <v>53</v>
      </c>
      <c r="H272" s="86"/>
      <c r="I272" s="86"/>
      <c r="J272" s="86"/>
      <c r="K272" s="27">
        <f>AVERAGE(K256:K271)</f>
        <v>143</v>
      </c>
    </row>
    <row r="273" spans="1:11" x14ac:dyDescent="0.25">
      <c r="A273" s="24">
        <v>1</v>
      </c>
      <c r="B273" s="23"/>
      <c r="C273" s="23" t="s">
        <v>46</v>
      </c>
      <c r="D273" s="23" t="s">
        <v>272</v>
      </c>
      <c r="E273" s="26">
        <v>154</v>
      </c>
      <c r="G273" s="104" t="s">
        <v>346</v>
      </c>
      <c r="H273" s="105"/>
      <c r="I273" s="105"/>
      <c r="J273" s="105"/>
      <c r="K273" s="106"/>
    </row>
    <row r="274" spans="1:11" x14ac:dyDescent="0.25">
      <c r="A274" s="24">
        <v>2</v>
      </c>
      <c r="B274" s="23"/>
      <c r="C274" s="23" t="s">
        <v>35</v>
      </c>
      <c r="D274" s="23" t="s">
        <v>273</v>
      </c>
      <c r="E274" s="26">
        <v>318</v>
      </c>
      <c r="G274" s="40">
        <v>1</v>
      </c>
      <c r="H274" s="39" t="s">
        <v>37</v>
      </c>
      <c r="I274" s="39" t="s">
        <v>41</v>
      </c>
      <c r="J274" s="39" t="s">
        <v>331</v>
      </c>
      <c r="K274" s="41">
        <v>68</v>
      </c>
    </row>
    <row r="275" spans="1:11" x14ac:dyDescent="0.25">
      <c r="A275" s="24">
        <v>3</v>
      </c>
      <c r="B275" s="23" t="s">
        <v>274</v>
      </c>
      <c r="C275" s="23" t="s">
        <v>41</v>
      </c>
      <c r="D275" s="23" t="s">
        <v>275</v>
      </c>
      <c r="E275" s="26">
        <v>0</v>
      </c>
      <c r="G275" s="40">
        <v>2</v>
      </c>
      <c r="H275" s="39" t="s">
        <v>28</v>
      </c>
      <c r="I275" s="39" t="s">
        <v>64</v>
      </c>
      <c r="J275" s="39" t="s">
        <v>332</v>
      </c>
      <c r="K275" s="41">
        <v>136</v>
      </c>
    </row>
    <row r="276" spans="1:11" ht="18" customHeight="1" x14ac:dyDescent="0.25">
      <c r="A276" s="24">
        <v>4</v>
      </c>
      <c r="B276" s="23" t="s">
        <v>37</v>
      </c>
      <c r="C276" s="23" t="s">
        <v>64</v>
      </c>
      <c r="D276" s="23" t="s">
        <v>276</v>
      </c>
      <c r="E276" s="26">
        <v>36</v>
      </c>
      <c r="G276" s="40">
        <v>3</v>
      </c>
      <c r="H276" s="39" t="s">
        <v>28</v>
      </c>
      <c r="I276" s="39" t="s">
        <v>35</v>
      </c>
      <c r="J276" s="39" t="s">
        <v>333</v>
      </c>
      <c r="K276" s="41">
        <v>224</v>
      </c>
    </row>
    <row r="277" spans="1:11" x14ac:dyDescent="0.25">
      <c r="A277" s="24">
        <v>5</v>
      </c>
      <c r="B277" s="23" t="s">
        <v>37</v>
      </c>
      <c r="C277" s="23" t="s">
        <v>35</v>
      </c>
      <c r="D277" s="23" t="s">
        <v>277</v>
      </c>
      <c r="E277" s="26">
        <v>212</v>
      </c>
      <c r="G277" s="40">
        <v>4</v>
      </c>
      <c r="H277" s="39" t="s">
        <v>28</v>
      </c>
      <c r="I277" s="39" t="s">
        <v>35</v>
      </c>
      <c r="J277" s="39" t="s">
        <v>334</v>
      </c>
      <c r="K277" s="41">
        <v>248</v>
      </c>
    </row>
    <row r="278" spans="1:11" x14ac:dyDescent="0.25">
      <c r="A278" s="24">
        <v>6</v>
      </c>
      <c r="B278" s="23" t="s">
        <v>37</v>
      </c>
      <c r="C278" s="23" t="s">
        <v>35</v>
      </c>
      <c r="D278" s="23" t="s">
        <v>278</v>
      </c>
      <c r="E278" s="26">
        <v>248</v>
      </c>
      <c r="G278" s="40">
        <v>5</v>
      </c>
      <c r="H278" s="39" t="s">
        <v>28</v>
      </c>
      <c r="I278" s="39" t="s">
        <v>29</v>
      </c>
      <c r="J278" s="39" t="s">
        <v>335</v>
      </c>
      <c r="K278" s="41">
        <v>240</v>
      </c>
    </row>
    <row r="279" spans="1:11" x14ac:dyDescent="0.25">
      <c r="A279" s="24">
        <v>7</v>
      </c>
      <c r="B279" s="23" t="s">
        <v>28</v>
      </c>
      <c r="C279" s="23" t="s">
        <v>35</v>
      </c>
      <c r="D279" s="23" t="s">
        <v>280</v>
      </c>
      <c r="E279" s="26">
        <v>154</v>
      </c>
      <c r="G279" s="40">
        <v>6</v>
      </c>
      <c r="H279" s="39" t="s">
        <v>28</v>
      </c>
      <c r="I279" s="39" t="s">
        <v>29</v>
      </c>
      <c r="J279" s="39" t="s">
        <v>336</v>
      </c>
      <c r="K279" s="41">
        <v>272</v>
      </c>
    </row>
    <row r="280" spans="1:11" x14ac:dyDescent="0.25">
      <c r="A280" s="24">
        <v>8</v>
      </c>
      <c r="B280" s="23" t="s">
        <v>28</v>
      </c>
      <c r="C280" s="23" t="s">
        <v>29</v>
      </c>
      <c r="D280" s="23" t="s">
        <v>281</v>
      </c>
      <c r="E280" s="26">
        <v>10</v>
      </c>
      <c r="G280" s="40">
        <v>7</v>
      </c>
      <c r="H280" s="39" t="s">
        <v>78</v>
      </c>
      <c r="I280" s="39" t="s">
        <v>1</v>
      </c>
      <c r="J280" s="39" t="s">
        <v>337</v>
      </c>
      <c r="K280" s="41">
        <v>274</v>
      </c>
    </row>
    <row r="281" spans="1:11" x14ac:dyDescent="0.25">
      <c r="A281" s="24">
        <v>9</v>
      </c>
      <c r="B281" s="23"/>
      <c r="C281" s="23" t="s">
        <v>1</v>
      </c>
      <c r="D281" s="23" t="s">
        <v>282</v>
      </c>
      <c r="E281" s="26">
        <v>0</v>
      </c>
      <c r="G281" s="40">
        <v>8</v>
      </c>
      <c r="H281" s="39" t="s">
        <v>78</v>
      </c>
      <c r="I281" s="39" t="s">
        <v>1</v>
      </c>
      <c r="J281" s="39" t="s">
        <v>338</v>
      </c>
      <c r="K281" s="41">
        <v>180</v>
      </c>
    </row>
    <row r="282" spans="1:11" x14ac:dyDescent="0.25">
      <c r="A282" s="24">
        <v>10</v>
      </c>
      <c r="B282" s="23" t="s">
        <v>37</v>
      </c>
      <c r="C282" s="23" t="s">
        <v>1</v>
      </c>
      <c r="D282" s="23" t="s">
        <v>283</v>
      </c>
      <c r="E282" s="26">
        <v>112</v>
      </c>
      <c r="G282" s="40">
        <v>9</v>
      </c>
      <c r="H282" s="39" t="s">
        <v>78</v>
      </c>
      <c r="I282" s="39" t="s">
        <v>1</v>
      </c>
      <c r="J282" s="39" t="s">
        <v>339</v>
      </c>
      <c r="K282" s="41">
        <v>196</v>
      </c>
    </row>
    <row r="283" spans="1:11" x14ac:dyDescent="0.25">
      <c r="A283" s="24">
        <v>11</v>
      </c>
      <c r="B283" s="23" t="s">
        <v>28</v>
      </c>
      <c r="C283" s="23" t="s">
        <v>1</v>
      </c>
      <c r="D283" s="23" t="s">
        <v>284</v>
      </c>
      <c r="E283" s="26">
        <v>394</v>
      </c>
      <c r="G283" s="40">
        <v>10</v>
      </c>
      <c r="H283" s="39" t="s">
        <v>78</v>
      </c>
      <c r="I283" s="39" t="s">
        <v>1</v>
      </c>
      <c r="J283" s="39" t="s">
        <v>340</v>
      </c>
      <c r="K283" s="41">
        <v>256</v>
      </c>
    </row>
    <row r="284" spans="1:11" x14ac:dyDescent="0.25">
      <c r="A284" s="24">
        <v>12</v>
      </c>
      <c r="B284" s="23" t="s">
        <v>28</v>
      </c>
      <c r="C284" s="23" t="s">
        <v>1</v>
      </c>
      <c r="D284" s="23" t="s">
        <v>285</v>
      </c>
      <c r="E284" s="26">
        <v>178</v>
      </c>
      <c r="G284" s="40">
        <v>11</v>
      </c>
      <c r="H284" s="39"/>
      <c r="I284" s="39" t="s">
        <v>35</v>
      </c>
      <c r="J284" s="39" t="s">
        <v>341</v>
      </c>
      <c r="K284" s="41">
        <v>256</v>
      </c>
    </row>
    <row r="285" spans="1:11" x14ac:dyDescent="0.25">
      <c r="A285" s="24">
        <v>13</v>
      </c>
      <c r="B285" s="23" t="s">
        <v>28</v>
      </c>
      <c r="C285" s="23" t="s">
        <v>1</v>
      </c>
      <c r="D285" s="23" t="s">
        <v>286</v>
      </c>
      <c r="E285" s="26">
        <v>252</v>
      </c>
      <c r="G285" s="40">
        <v>12</v>
      </c>
      <c r="H285" s="39"/>
      <c r="I285" s="39" t="s">
        <v>35</v>
      </c>
      <c r="J285" s="39" t="s">
        <v>342</v>
      </c>
      <c r="K285" s="41">
        <v>112</v>
      </c>
    </row>
    <row r="286" spans="1:11" x14ac:dyDescent="0.25">
      <c r="A286" s="24">
        <v>14</v>
      </c>
      <c r="B286" s="23"/>
      <c r="C286" s="23" t="s">
        <v>35</v>
      </c>
      <c r="D286" s="23" t="s">
        <v>287</v>
      </c>
      <c r="E286" s="26">
        <v>204</v>
      </c>
      <c r="G286" s="40">
        <v>13</v>
      </c>
      <c r="H286" s="39"/>
      <c r="I286" s="39" t="s">
        <v>29</v>
      </c>
      <c r="J286" s="39" t="s">
        <v>343</v>
      </c>
      <c r="K286" s="41">
        <v>256</v>
      </c>
    </row>
    <row r="287" spans="1:11" x14ac:dyDescent="0.25">
      <c r="A287" s="24">
        <v>15</v>
      </c>
      <c r="B287" s="23"/>
      <c r="C287" s="23" t="s">
        <v>29</v>
      </c>
      <c r="D287" s="23" t="s">
        <v>288</v>
      </c>
      <c r="E287" s="26">
        <v>184</v>
      </c>
      <c r="G287" s="40">
        <v>14</v>
      </c>
      <c r="H287" s="39"/>
      <c r="I287" s="39" t="s">
        <v>29</v>
      </c>
      <c r="J287" s="39" t="s">
        <v>344</v>
      </c>
      <c r="K287" s="41">
        <v>112</v>
      </c>
    </row>
    <row r="288" spans="1:11" x14ac:dyDescent="0.25">
      <c r="A288" s="24">
        <v>16</v>
      </c>
      <c r="B288" s="23"/>
      <c r="C288" s="23" t="s">
        <v>29</v>
      </c>
      <c r="D288" s="23" t="s">
        <v>289</v>
      </c>
      <c r="E288" s="26">
        <v>224</v>
      </c>
      <c r="G288" s="40">
        <v>15</v>
      </c>
      <c r="H288" s="39"/>
      <c r="I288" s="39" t="s">
        <v>1</v>
      </c>
      <c r="J288" s="39" t="s">
        <v>345</v>
      </c>
      <c r="K288" s="41">
        <v>224</v>
      </c>
    </row>
    <row r="289" spans="1:11" x14ac:dyDescent="0.25">
      <c r="A289" s="24">
        <v>17</v>
      </c>
      <c r="B289" s="23"/>
      <c r="C289" s="23" t="s">
        <v>29</v>
      </c>
      <c r="D289" s="23" t="s">
        <v>290</v>
      </c>
      <c r="E289" s="26">
        <v>164</v>
      </c>
      <c r="G289" s="40">
        <v>16</v>
      </c>
      <c r="H289" s="39"/>
      <c r="I289" s="39" t="s">
        <v>1</v>
      </c>
      <c r="J289" s="39" t="s">
        <v>347</v>
      </c>
      <c r="K289" s="41">
        <v>88</v>
      </c>
    </row>
    <row r="290" spans="1:11" x14ac:dyDescent="0.25">
      <c r="A290" s="24">
        <v>18</v>
      </c>
      <c r="B290" s="23"/>
      <c r="C290" s="23" t="s">
        <v>1</v>
      </c>
      <c r="D290" s="23" t="s">
        <v>320</v>
      </c>
      <c r="E290" s="26">
        <v>60</v>
      </c>
      <c r="G290" s="40">
        <v>17</v>
      </c>
      <c r="H290" s="39"/>
      <c r="I290" s="39" t="s">
        <v>1</v>
      </c>
      <c r="J290" s="39" t="s">
        <v>348</v>
      </c>
      <c r="K290" s="41">
        <v>112</v>
      </c>
    </row>
    <row r="291" spans="1:11" x14ac:dyDescent="0.25">
      <c r="A291" s="24">
        <v>19</v>
      </c>
      <c r="B291" s="23"/>
      <c r="C291" s="23" t="s">
        <v>35</v>
      </c>
      <c r="D291" s="23" t="s">
        <v>321</v>
      </c>
      <c r="E291" s="26">
        <v>300</v>
      </c>
      <c r="G291" s="40">
        <v>18</v>
      </c>
      <c r="H291" s="39"/>
      <c r="I291" s="39" t="s">
        <v>1</v>
      </c>
      <c r="J291" s="39" t="s">
        <v>349</v>
      </c>
      <c r="K291" s="41">
        <v>84</v>
      </c>
    </row>
    <row r="292" spans="1:11" x14ac:dyDescent="0.25">
      <c r="A292" s="24">
        <v>20</v>
      </c>
      <c r="B292" s="23" t="s">
        <v>28</v>
      </c>
      <c r="C292" s="23" t="s">
        <v>1</v>
      </c>
      <c r="D292" s="23" t="s">
        <v>322</v>
      </c>
      <c r="E292" s="26">
        <v>320</v>
      </c>
      <c r="G292" s="40">
        <v>19</v>
      </c>
      <c r="H292" s="39"/>
      <c r="I292" s="39" t="s">
        <v>1</v>
      </c>
      <c r="J292" s="39" t="s">
        <v>350</v>
      </c>
      <c r="K292" s="41">
        <v>112</v>
      </c>
    </row>
    <row r="293" spans="1:11" ht="19.5" thickBot="1" x14ac:dyDescent="0.3">
      <c r="A293" s="24">
        <v>21</v>
      </c>
      <c r="B293" s="23" t="s">
        <v>37</v>
      </c>
      <c r="C293" s="23" t="s">
        <v>1</v>
      </c>
      <c r="D293" s="23" t="s">
        <v>323</v>
      </c>
      <c r="E293" s="26">
        <v>166</v>
      </c>
      <c r="G293" s="98" t="s">
        <v>53</v>
      </c>
      <c r="H293" s="99"/>
      <c r="I293" s="99"/>
      <c r="J293" s="100"/>
      <c r="K293" s="45">
        <f>AVERAGE(K274:K292)</f>
        <v>181.57894736842104</v>
      </c>
    </row>
    <row r="294" spans="1:11" x14ac:dyDescent="0.25">
      <c r="A294" s="24">
        <v>22</v>
      </c>
      <c r="B294" s="23"/>
      <c r="C294" s="23" t="s">
        <v>29</v>
      </c>
      <c r="D294" s="23" t="s">
        <v>291</v>
      </c>
      <c r="E294" s="26">
        <v>0</v>
      </c>
      <c r="G294" s="101" t="s">
        <v>103</v>
      </c>
      <c r="H294" s="102"/>
      <c r="I294" s="102"/>
      <c r="J294" s="102"/>
      <c r="K294" s="103"/>
    </row>
    <row r="295" spans="1:11" ht="19.5" thickBot="1" x14ac:dyDescent="0.3">
      <c r="A295" s="85" t="s">
        <v>53</v>
      </c>
      <c r="B295" s="86"/>
      <c r="C295" s="86"/>
      <c r="D295" s="86"/>
      <c r="E295" s="30">
        <f>AVERAGE(E273:E294)</f>
        <v>167.72727272727272</v>
      </c>
      <c r="G295" s="24">
        <v>1</v>
      </c>
      <c r="H295" s="23"/>
      <c r="I295" s="23" t="s">
        <v>35</v>
      </c>
      <c r="J295" s="43" t="s">
        <v>109</v>
      </c>
      <c r="K295" s="31">
        <v>112</v>
      </c>
    </row>
    <row r="296" spans="1:11" x14ac:dyDescent="0.25">
      <c r="A296" s="87" t="s">
        <v>310</v>
      </c>
      <c r="B296" s="88"/>
      <c r="C296" s="88"/>
      <c r="D296" s="88"/>
      <c r="E296" s="89"/>
      <c r="G296" s="24">
        <v>2</v>
      </c>
      <c r="H296" s="23"/>
      <c r="I296" s="23" t="s">
        <v>29</v>
      </c>
      <c r="J296" s="43" t="s">
        <v>104</v>
      </c>
      <c r="K296" s="31">
        <v>160</v>
      </c>
    </row>
    <row r="297" spans="1:11" x14ac:dyDescent="0.25">
      <c r="A297" s="24">
        <v>1</v>
      </c>
      <c r="B297" s="23"/>
      <c r="C297" s="23"/>
      <c r="D297" s="23" t="s">
        <v>292</v>
      </c>
      <c r="E297" s="26">
        <v>4</v>
      </c>
      <c r="G297" s="24">
        <v>3</v>
      </c>
      <c r="H297" s="23"/>
      <c r="I297" s="23" t="s">
        <v>29</v>
      </c>
      <c r="J297" s="43" t="s">
        <v>108</v>
      </c>
      <c r="K297" s="31">
        <v>84</v>
      </c>
    </row>
    <row r="298" spans="1:11" x14ac:dyDescent="0.25">
      <c r="A298" s="24">
        <v>2</v>
      </c>
      <c r="B298" s="23"/>
      <c r="C298" s="23"/>
      <c r="D298" s="23" t="s">
        <v>293</v>
      </c>
      <c r="E298" s="26">
        <v>54</v>
      </c>
      <c r="G298" s="24">
        <v>4</v>
      </c>
      <c r="H298" s="23"/>
      <c r="I298" s="23" t="s">
        <v>1</v>
      </c>
      <c r="J298" s="43" t="s">
        <v>105</v>
      </c>
      <c r="K298" s="31">
        <v>86</v>
      </c>
    </row>
    <row r="299" spans="1:11" x14ac:dyDescent="0.25">
      <c r="A299" s="24">
        <v>3</v>
      </c>
      <c r="B299" s="23"/>
      <c r="C299" s="23"/>
      <c r="D299" s="23" t="s">
        <v>294</v>
      </c>
      <c r="E299" s="26">
        <v>120</v>
      </c>
      <c r="G299" s="24">
        <v>5</v>
      </c>
      <c r="H299" s="23"/>
      <c r="I299" s="23" t="s">
        <v>1</v>
      </c>
      <c r="J299" s="43" t="s">
        <v>106</v>
      </c>
      <c r="K299" s="31">
        <v>174</v>
      </c>
    </row>
    <row r="300" spans="1:11" x14ac:dyDescent="0.25">
      <c r="A300" s="24">
        <v>4</v>
      </c>
      <c r="B300" s="23"/>
      <c r="C300" s="23"/>
      <c r="D300" s="23" t="s">
        <v>295</v>
      </c>
      <c r="E300" s="26">
        <v>168</v>
      </c>
      <c r="G300" s="24">
        <v>6</v>
      </c>
      <c r="H300" s="23"/>
      <c r="I300" s="23" t="s">
        <v>1</v>
      </c>
      <c r="J300" s="43" t="s">
        <v>107</v>
      </c>
      <c r="K300" s="31">
        <v>198</v>
      </c>
    </row>
    <row r="301" spans="1:11" ht="19.5" thickBot="1" x14ac:dyDescent="0.3">
      <c r="A301" s="24">
        <v>5</v>
      </c>
      <c r="B301" s="23"/>
      <c r="C301" s="23"/>
      <c r="D301" s="23" t="s">
        <v>296</v>
      </c>
      <c r="E301" s="26">
        <v>294</v>
      </c>
      <c r="G301" s="85" t="s">
        <v>53</v>
      </c>
      <c r="H301" s="86"/>
      <c r="I301" s="86"/>
      <c r="J301" s="86"/>
      <c r="K301" s="42">
        <f>AVERAGE(K295:K300)</f>
        <v>135.66666666666666</v>
      </c>
    </row>
    <row r="302" spans="1:11" x14ac:dyDescent="0.25">
      <c r="A302" s="24">
        <v>6</v>
      </c>
      <c r="B302" s="23"/>
      <c r="C302" s="23"/>
      <c r="D302" s="23" t="s">
        <v>297</v>
      </c>
      <c r="E302" s="26">
        <v>170</v>
      </c>
      <c r="G302" s="104" t="s">
        <v>351</v>
      </c>
      <c r="H302" s="105"/>
      <c r="I302" s="105"/>
      <c r="J302" s="105"/>
      <c r="K302" s="106"/>
    </row>
    <row r="303" spans="1:11" x14ac:dyDescent="0.25">
      <c r="A303" s="24">
        <v>7</v>
      </c>
      <c r="B303" s="23"/>
      <c r="C303" s="23"/>
      <c r="D303" s="23" t="s">
        <v>298</v>
      </c>
      <c r="E303" s="26">
        <v>166</v>
      </c>
      <c r="G303" s="40">
        <v>1</v>
      </c>
      <c r="H303" s="39" t="s">
        <v>37</v>
      </c>
      <c r="I303" s="39" t="s">
        <v>41</v>
      </c>
      <c r="J303" s="39" t="s">
        <v>354</v>
      </c>
      <c r="K303" s="41">
        <v>16</v>
      </c>
    </row>
    <row r="304" spans="1:11" x14ac:dyDescent="0.25">
      <c r="A304" s="24">
        <v>8</v>
      </c>
      <c r="B304" s="23"/>
      <c r="C304" s="23"/>
      <c r="D304" s="23" t="s">
        <v>299</v>
      </c>
      <c r="E304" s="26">
        <v>154</v>
      </c>
      <c r="G304" s="40">
        <v>2</v>
      </c>
      <c r="H304" s="39" t="s">
        <v>37</v>
      </c>
      <c r="I304" s="39" t="s">
        <v>46</v>
      </c>
      <c r="J304" s="39" t="s">
        <v>353</v>
      </c>
      <c r="K304" s="41">
        <v>120</v>
      </c>
    </row>
    <row r="305" spans="1:11" x14ac:dyDescent="0.25">
      <c r="A305" s="24">
        <v>9</v>
      </c>
      <c r="B305" s="23"/>
      <c r="C305" s="23"/>
      <c r="D305" s="23" t="s">
        <v>300</v>
      </c>
      <c r="E305" s="26">
        <v>176</v>
      </c>
      <c r="G305" s="40">
        <v>3</v>
      </c>
      <c r="H305" s="39" t="s">
        <v>37</v>
      </c>
      <c r="I305" s="39" t="s">
        <v>35</v>
      </c>
      <c r="J305" s="39" t="s">
        <v>360</v>
      </c>
      <c r="K305" s="41">
        <v>20</v>
      </c>
    </row>
    <row r="306" spans="1:11" x14ac:dyDescent="0.25">
      <c r="A306" s="24">
        <v>10</v>
      </c>
      <c r="B306" s="23"/>
      <c r="C306" s="23"/>
      <c r="D306" s="23" t="s">
        <v>301</v>
      </c>
      <c r="E306" s="26">
        <v>318</v>
      </c>
      <c r="G306" s="40">
        <v>4</v>
      </c>
      <c r="H306" s="39" t="s">
        <v>37</v>
      </c>
      <c r="I306" s="39" t="s">
        <v>29</v>
      </c>
      <c r="J306" s="39" t="s">
        <v>357</v>
      </c>
      <c r="K306" s="41">
        <v>144</v>
      </c>
    </row>
    <row r="307" spans="1:11" x14ac:dyDescent="0.25">
      <c r="A307" s="24">
        <v>11</v>
      </c>
      <c r="B307" s="23"/>
      <c r="C307" s="23"/>
      <c r="D307" s="23" t="s">
        <v>302</v>
      </c>
      <c r="E307" s="26">
        <v>102</v>
      </c>
      <c r="G307" s="40">
        <v>5</v>
      </c>
      <c r="H307" s="39" t="s">
        <v>28</v>
      </c>
      <c r="I307" s="39" t="s">
        <v>29</v>
      </c>
      <c r="J307" s="39" t="s">
        <v>356</v>
      </c>
      <c r="K307" s="41">
        <v>82</v>
      </c>
    </row>
    <row r="308" spans="1:11" x14ac:dyDescent="0.25">
      <c r="A308" s="24">
        <v>12</v>
      </c>
      <c r="B308" s="23"/>
      <c r="C308" s="23"/>
      <c r="D308" s="23" t="s">
        <v>303</v>
      </c>
      <c r="E308" s="26">
        <v>276</v>
      </c>
      <c r="G308" s="40">
        <v>6</v>
      </c>
      <c r="H308" s="39" t="s">
        <v>37</v>
      </c>
      <c r="I308" s="39" t="s">
        <v>1</v>
      </c>
      <c r="J308" s="39" t="s">
        <v>361</v>
      </c>
      <c r="K308" s="41">
        <v>52</v>
      </c>
    </row>
    <row r="309" spans="1:11" x14ac:dyDescent="0.25">
      <c r="A309" s="24">
        <v>13</v>
      </c>
      <c r="B309" s="23"/>
      <c r="C309" s="23"/>
      <c r="D309" s="23" t="s">
        <v>304</v>
      </c>
      <c r="E309" s="26">
        <v>280</v>
      </c>
      <c r="G309" s="40">
        <v>7</v>
      </c>
      <c r="H309" s="39"/>
      <c r="I309" s="39" t="s">
        <v>35</v>
      </c>
      <c r="J309" s="39" t="s">
        <v>355</v>
      </c>
      <c r="K309" s="41">
        <v>64</v>
      </c>
    </row>
    <row r="310" spans="1:11" x14ac:dyDescent="0.25">
      <c r="A310" s="24">
        <v>14</v>
      </c>
      <c r="B310" s="23"/>
      <c r="C310" s="23"/>
      <c r="D310" s="23" t="s">
        <v>305</v>
      </c>
      <c r="E310" s="26">
        <v>192</v>
      </c>
      <c r="G310" s="40">
        <v>8</v>
      </c>
      <c r="H310" s="39"/>
      <c r="I310" s="39" t="s">
        <v>1</v>
      </c>
      <c r="J310" s="39" t="s">
        <v>352</v>
      </c>
      <c r="K310" s="41">
        <v>70</v>
      </c>
    </row>
    <row r="311" spans="1:11" x14ac:dyDescent="0.25">
      <c r="A311" s="24">
        <v>15</v>
      </c>
      <c r="B311" s="23"/>
      <c r="C311" s="23"/>
      <c r="D311" s="23" t="s">
        <v>306</v>
      </c>
      <c r="E311" s="26">
        <v>42</v>
      </c>
      <c r="G311" s="40">
        <v>9</v>
      </c>
      <c r="H311" s="39"/>
      <c r="I311" s="39" t="s">
        <v>1</v>
      </c>
      <c r="J311" s="39" t="s">
        <v>358</v>
      </c>
      <c r="K311" s="41">
        <v>70</v>
      </c>
    </row>
    <row r="312" spans="1:11" x14ac:dyDescent="0.25">
      <c r="A312" s="24">
        <v>16</v>
      </c>
      <c r="B312" s="23"/>
      <c r="C312" s="23"/>
      <c r="D312" s="23" t="s">
        <v>307</v>
      </c>
      <c r="E312" s="26">
        <v>270</v>
      </c>
      <c r="G312" s="40">
        <v>10</v>
      </c>
      <c r="H312" s="39"/>
      <c r="I312" s="39" t="s">
        <v>1</v>
      </c>
      <c r="J312" s="39" t="s">
        <v>359</v>
      </c>
      <c r="K312" s="41">
        <v>126</v>
      </c>
    </row>
    <row r="313" spans="1:11" ht="19.5" thickBot="1" x14ac:dyDescent="0.3">
      <c r="A313" s="24">
        <v>17</v>
      </c>
      <c r="B313" s="23"/>
      <c r="C313" s="23"/>
      <c r="D313" s="23" t="s">
        <v>308</v>
      </c>
      <c r="E313" s="26">
        <v>236</v>
      </c>
      <c r="G313" s="107" t="s">
        <v>53</v>
      </c>
      <c r="H313" s="108"/>
      <c r="I313" s="108"/>
      <c r="J313" s="108"/>
      <c r="K313" s="46">
        <f>AVERAGE(K303:K312)</f>
        <v>76.400000000000006</v>
      </c>
    </row>
    <row r="314" spans="1:11" x14ac:dyDescent="0.25">
      <c r="A314" s="24">
        <v>18</v>
      </c>
      <c r="B314" s="23"/>
      <c r="C314" s="23"/>
      <c r="D314" s="23" t="s">
        <v>309</v>
      </c>
      <c r="E314" s="26">
        <v>164</v>
      </c>
      <c r="G314" s="87" t="s">
        <v>197</v>
      </c>
      <c r="H314" s="88"/>
      <c r="I314" s="88"/>
      <c r="J314" s="88"/>
      <c r="K314" s="89"/>
    </row>
    <row r="315" spans="1:11" ht="19.5" thickBot="1" x14ac:dyDescent="0.3">
      <c r="A315" s="85" t="s">
        <v>53</v>
      </c>
      <c r="B315" s="86"/>
      <c r="C315" s="86"/>
      <c r="D315" s="86"/>
      <c r="E315" s="30">
        <f>AVERAGE(E297:E314)</f>
        <v>177</v>
      </c>
      <c r="G315" s="24">
        <v>1</v>
      </c>
      <c r="H315" s="23" t="s">
        <v>37</v>
      </c>
      <c r="I315" s="23" t="s">
        <v>41</v>
      </c>
      <c r="J315" s="23" t="s">
        <v>193</v>
      </c>
      <c r="K315" s="26">
        <v>20</v>
      </c>
    </row>
    <row r="316" spans="1:11" ht="18.75" customHeight="1" x14ac:dyDescent="0.25">
      <c r="A316" s="87" t="s">
        <v>330</v>
      </c>
      <c r="B316" s="88"/>
      <c r="C316" s="88"/>
      <c r="D316" s="88"/>
      <c r="E316" s="89"/>
      <c r="G316" s="24">
        <v>2</v>
      </c>
      <c r="H316" s="23" t="s">
        <v>37</v>
      </c>
      <c r="I316" s="23" t="s">
        <v>29</v>
      </c>
      <c r="J316" s="23" t="s">
        <v>192</v>
      </c>
      <c r="K316" s="26">
        <v>42</v>
      </c>
    </row>
    <row r="317" spans="1:11" x14ac:dyDescent="0.25">
      <c r="A317" s="24">
        <v>1</v>
      </c>
      <c r="B317" s="23"/>
      <c r="C317" s="23" t="s">
        <v>35</v>
      </c>
      <c r="D317" s="23" t="s">
        <v>311</v>
      </c>
      <c r="E317" s="26">
        <v>96</v>
      </c>
      <c r="G317" s="24">
        <v>3</v>
      </c>
      <c r="H317" s="23" t="s">
        <v>37</v>
      </c>
      <c r="I317" s="23" t="s">
        <v>1</v>
      </c>
      <c r="J317" s="23" t="s">
        <v>194</v>
      </c>
      <c r="K317" s="26">
        <v>2</v>
      </c>
    </row>
    <row r="318" spans="1:11" x14ac:dyDescent="0.25">
      <c r="A318" s="24">
        <v>2</v>
      </c>
      <c r="B318" s="23" t="s">
        <v>37</v>
      </c>
      <c r="C318" s="23" t="s">
        <v>41</v>
      </c>
      <c r="D318" s="23" t="s">
        <v>312</v>
      </c>
      <c r="E318" s="26">
        <v>66</v>
      </c>
      <c r="G318" s="24">
        <v>4</v>
      </c>
      <c r="H318" s="23"/>
      <c r="I318" s="23" t="s">
        <v>35</v>
      </c>
      <c r="J318" s="23" t="s">
        <v>195</v>
      </c>
      <c r="K318" s="26">
        <v>46</v>
      </c>
    </row>
    <row r="319" spans="1:11" x14ac:dyDescent="0.25">
      <c r="A319" s="24">
        <v>3</v>
      </c>
      <c r="B319" s="23" t="s">
        <v>37</v>
      </c>
      <c r="C319" s="23" t="s">
        <v>35</v>
      </c>
      <c r="D319" s="23" t="s">
        <v>313</v>
      </c>
      <c r="E319" s="26">
        <v>134</v>
      </c>
      <c r="G319" s="24">
        <v>5</v>
      </c>
      <c r="H319" s="23"/>
      <c r="I319" s="23" t="s">
        <v>1</v>
      </c>
      <c r="J319" s="23" t="s">
        <v>196</v>
      </c>
      <c r="K319" s="26">
        <v>32</v>
      </c>
    </row>
    <row r="320" spans="1:11" ht="19.5" thickBot="1" x14ac:dyDescent="0.3">
      <c r="A320" s="24">
        <v>4</v>
      </c>
      <c r="B320" s="23" t="s">
        <v>28</v>
      </c>
      <c r="C320" s="23" t="s">
        <v>29</v>
      </c>
      <c r="D320" s="23" t="s">
        <v>314</v>
      </c>
      <c r="E320" s="26">
        <v>204</v>
      </c>
      <c r="G320" s="90" t="s">
        <v>53</v>
      </c>
      <c r="H320" s="91"/>
      <c r="I320" s="91"/>
      <c r="J320" s="91"/>
      <c r="K320" s="47">
        <f>AVERAGE(K315:K319)</f>
        <v>28.4</v>
      </c>
    </row>
    <row r="321" spans="1:11" x14ac:dyDescent="0.25">
      <c r="A321" s="24"/>
      <c r="B321" s="23"/>
      <c r="C321" s="23"/>
      <c r="D321" s="23"/>
      <c r="E321" s="26"/>
      <c r="G321" s="95" t="s">
        <v>403</v>
      </c>
      <c r="H321" s="96"/>
      <c r="I321" s="96"/>
      <c r="J321" s="96"/>
      <c r="K321" s="97"/>
    </row>
    <row r="322" spans="1:11" x14ac:dyDescent="0.25">
      <c r="A322" s="24"/>
      <c r="B322" s="23"/>
      <c r="C322" s="23"/>
      <c r="D322" s="23"/>
      <c r="E322" s="26"/>
      <c r="G322" s="48">
        <v>1</v>
      </c>
      <c r="H322" s="49"/>
      <c r="I322" s="49" t="s">
        <v>41</v>
      </c>
      <c r="J322" s="49" t="s">
        <v>379</v>
      </c>
      <c r="K322" s="50">
        <v>150</v>
      </c>
    </row>
    <row r="323" spans="1:11" x14ac:dyDescent="0.25">
      <c r="A323" s="24"/>
      <c r="B323" s="23"/>
      <c r="C323" s="23"/>
      <c r="D323" s="23"/>
      <c r="E323" s="26"/>
      <c r="G323" s="24">
        <v>2</v>
      </c>
      <c r="H323" s="23"/>
      <c r="I323" s="23" t="s">
        <v>46</v>
      </c>
      <c r="J323" s="23" t="s">
        <v>381</v>
      </c>
      <c r="K323" s="26">
        <v>216</v>
      </c>
    </row>
    <row r="324" spans="1:11" x14ac:dyDescent="0.25">
      <c r="A324" s="24"/>
      <c r="B324" s="23"/>
      <c r="C324" s="23"/>
      <c r="D324" s="23"/>
      <c r="E324" s="26"/>
      <c r="G324" s="24">
        <v>3</v>
      </c>
      <c r="H324" s="23"/>
      <c r="I324" s="23" t="s">
        <v>46</v>
      </c>
      <c r="J324" s="23" t="s">
        <v>391</v>
      </c>
      <c r="K324" s="26">
        <v>144</v>
      </c>
    </row>
    <row r="325" spans="1:11" x14ac:dyDescent="0.25">
      <c r="A325" s="24"/>
      <c r="B325" s="23"/>
      <c r="C325" s="23"/>
      <c r="D325" s="23"/>
      <c r="E325" s="26"/>
      <c r="G325" s="24">
        <v>4</v>
      </c>
      <c r="H325" s="23"/>
      <c r="I325" s="23" t="s">
        <v>35</v>
      </c>
      <c r="J325" s="23" t="s">
        <v>380</v>
      </c>
      <c r="K325" s="26">
        <v>222</v>
      </c>
    </row>
    <row r="326" spans="1:11" x14ac:dyDescent="0.25">
      <c r="A326" s="24"/>
      <c r="B326" s="23"/>
      <c r="C326" s="23"/>
      <c r="D326" s="23"/>
      <c r="E326" s="26"/>
      <c r="G326" s="24">
        <v>5</v>
      </c>
      <c r="H326" s="23"/>
      <c r="I326" s="23" t="s">
        <v>35</v>
      </c>
      <c r="J326" s="23" t="s">
        <v>383</v>
      </c>
      <c r="K326" s="26">
        <v>138</v>
      </c>
    </row>
    <row r="327" spans="1:11" x14ac:dyDescent="0.25">
      <c r="A327" s="24"/>
      <c r="B327" s="23"/>
      <c r="C327" s="23"/>
      <c r="D327" s="23"/>
      <c r="E327" s="26"/>
      <c r="G327" s="24">
        <v>6</v>
      </c>
      <c r="H327" s="23"/>
      <c r="I327" s="23" t="s">
        <v>35</v>
      </c>
      <c r="J327" s="23" t="s">
        <v>387</v>
      </c>
      <c r="K327" s="26">
        <v>144</v>
      </c>
    </row>
    <row r="328" spans="1:11" x14ac:dyDescent="0.25">
      <c r="A328" s="24"/>
      <c r="B328" s="23"/>
      <c r="C328" s="23"/>
      <c r="D328" s="23"/>
      <c r="E328" s="26"/>
      <c r="G328" s="24">
        <v>7</v>
      </c>
      <c r="H328" s="23"/>
      <c r="I328" s="23" t="s">
        <v>35</v>
      </c>
      <c r="J328" s="23" t="s">
        <v>392</v>
      </c>
      <c r="K328" s="26">
        <v>138</v>
      </c>
    </row>
    <row r="329" spans="1:11" x14ac:dyDescent="0.25">
      <c r="A329" s="24"/>
      <c r="B329" s="23"/>
      <c r="C329" s="23"/>
      <c r="D329" s="23"/>
      <c r="E329" s="26"/>
      <c r="G329" s="24">
        <v>8</v>
      </c>
      <c r="H329" s="23"/>
      <c r="I329" s="23" t="s">
        <v>35</v>
      </c>
      <c r="J329" s="23" t="s">
        <v>396</v>
      </c>
      <c r="K329" s="26">
        <v>152</v>
      </c>
    </row>
    <row r="330" spans="1:11" x14ac:dyDescent="0.25">
      <c r="A330" s="24"/>
      <c r="B330" s="23"/>
      <c r="C330" s="23"/>
      <c r="D330" s="23"/>
      <c r="E330" s="26"/>
      <c r="G330" s="24">
        <v>9</v>
      </c>
      <c r="H330" s="23"/>
      <c r="I330" s="23" t="s">
        <v>29</v>
      </c>
      <c r="J330" s="23" t="s">
        <v>384</v>
      </c>
      <c r="K330" s="26">
        <v>144</v>
      </c>
    </row>
    <row r="331" spans="1:11" x14ac:dyDescent="0.25">
      <c r="A331" s="24"/>
      <c r="B331" s="23"/>
      <c r="C331" s="23"/>
      <c r="D331" s="23"/>
      <c r="E331" s="26"/>
      <c r="G331" s="24">
        <v>10</v>
      </c>
      <c r="H331" s="23"/>
      <c r="I331" s="23" t="s">
        <v>29</v>
      </c>
      <c r="J331" s="23" t="s">
        <v>385</v>
      </c>
      <c r="K331" s="26">
        <v>144</v>
      </c>
    </row>
    <row r="332" spans="1:11" x14ac:dyDescent="0.25">
      <c r="A332" s="24"/>
      <c r="B332" s="23"/>
      <c r="C332" s="23"/>
      <c r="D332" s="23"/>
      <c r="E332" s="26"/>
      <c r="G332" s="24">
        <v>11</v>
      </c>
      <c r="H332" s="23"/>
      <c r="I332" s="23" t="s">
        <v>29</v>
      </c>
      <c r="J332" s="23" t="s">
        <v>397</v>
      </c>
      <c r="K332" s="26">
        <v>138</v>
      </c>
    </row>
    <row r="333" spans="1:11" x14ac:dyDescent="0.25">
      <c r="A333" s="24"/>
      <c r="B333" s="23"/>
      <c r="C333" s="23"/>
      <c r="D333" s="23"/>
      <c r="E333" s="26"/>
      <c r="G333" s="24">
        <v>12</v>
      </c>
      <c r="H333" s="23"/>
      <c r="I333" s="23" t="s">
        <v>1</v>
      </c>
      <c r="J333" s="23" t="s">
        <v>382</v>
      </c>
      <c r="K333" s="26">
        <v>228</v>
      </c>
    </row>
    <row r="334" spans="1:11" x14ac:dyDescent="0.25">
      <c r="A334" s="24"/>
      <c r="B334" s="23"/>
      <c r="C334" s="23"/>
      <c r="D334" s="23"/>
      <c r="E334" s="26"/>
      <c r="G334" s="24">
        <v>13</v>
      </c>
      <c r="H334" s="23"/>
      <c r="I334" s="23" t="s">
        <v>1</v>
      </c>
      <c r="J334" s="23" t="s">
        <v>386</v>
      </c>
      <c r="K334" s="26">
        <v>138</v>
      </c>
    </row>
    <row r="335" spans="1:11" x14ac:dyDescent="0.25">
      <c r="A335" s="24"/>
      <c r="B335" s="23"/>
      <c r="C335" s="23"/>
      <c r="D335" s="23"/>
      <c r="E335" s="26"/>
      <c r="G335" s="24">
        <v>14</v>
      </c>
      <c r="H335" s="23"/>
      <c r="I335" s="23" t="s">
        <v>1</v>
      </c>
      <c r="J335" s="23" t="s">
        <v>388</v>
      </c>
      <c r="K335" s="26">
        <v>138</v>
      </c>
    </row>
    <row r="336" spans="1:11" x14ac:dyDescent="0.25">
      <c r="A336" s="24"/>
      <c r="B336" s="23"/>
      <c r="C336" s="23"/>
      <c r="D336" s="23"/>
      <c r="E336" s="26"/>
      <c r="G336" s="24">
        <v>15</v>
      </c>
      <c r="H336" s="23"/>
      <c r="I336" s="23" t="s">
        <v>1</v>
      </c>
      <c r="J336" s="23" t="s">
        <v>389</v>
      </c>
      <c r="K336" s="26">
        <v>192</v>
      </c>
    </row>
    <row r="337" spans="1:11" x14ac:dyDescent="0.25">
      <c r="A337" s="24"/>
      <c r="B337" s="23"/>
      <c r="C337" s="23"/>
      <c r="D337" s="23"/>
      <c r="E337" s="26"/>
      <c r="G337" s="24">
        <v>16</v>
      </c>
      <c r="H337" s="23"/>
      <c r="I337" s="23" t="s">
        <v>1</v>
      </c>
      <c r="J337" s="23" t="s">
        <v>390</v>
      </c>
      <c r="K337" s="26">
        <v>90</v>
      </c>
    </row>
    <row r="338" spans="1:11" x14ac:dyDescent="0.25">
      <c r="A338" s="24"/>
      <c r="B338" s="23"/>
      <c r="C338" s="23"/>
      <c r="D338" s="23"/>
      <c r="E338" s="26"/>
      <c r="G338" s="24">
        <v>17</v>
      </c>
      <c r="H338" s="23"/>
      <c r="I338" s="23" t="s">
        <v>1</v>
      </c>
      <c r="J338" s="23" t="s">
        <v>393</v>
      </c>
      <c r="K338" s="26">
        <v>366</v>
      </c>
    </row>
    <row r="339" spans="1:11" x14ac:dyDescent="0.25">
      <c r="A339" s="24"/>
      <c r="B339" s="23"/>
      <c r="C339" s="23"/>
      <c r="D339" s="23"/>
      <c r="E339" s="26"/>
      <c r="G339" s="24">
        <v>18</v>
      </c>
      <c r="H339" s="23"/>
      <c r="I339" s="23" t="s">
        <v>1</v>
      </c>
      <c r="J339" s="23" t="s">
        <v>400</v>
      </c>
      <c r="K339" s="26">
        <v>138</v>
      </c>
    </row>
    <row r="340" spans="1:11" x14ac:dyDescent="0.25">
      <c r="A340" s="24"/>
      <c r="B340" s="23"/>
      <c r="C340" s="23"/>
      <c r="D340" s="23"/>
      <c r="E340" s="26"/>
      <c r="G340" s="24">
        <v>19</v>
      </c>
      <c r="H340" s="23"/>
      <c r="I340" s="23" t="s">
        <v>1</v>
      </c>
      <c r="J340" s="23" t="s">
        <v>394</v>
      </c>
      <c r="K340" s="26">
        <v>204</v>
      </c>
    </row>
    <row r="341" spans="1:11" x14ac:dyDescent="0.25">
      <c r="A341" s="24"/>
      <c r="B341" s="23"/>
      <c r="C341" s="23"/>
      <c r="D341" s="23"/>
      <c r="E341" s="26"/>
      <c r="G341" s="24">
        <v>20</v>
      </c>
      <c r="H341" s="23"/>
      <c r="I341" s="23" t="s">
        <v>1</v>
      </c>
      <c r="J341" s="23" t="s">
        <v>398</v>
      </c>
      <c r="K341" s="26">
        <v>234</v>
      </c>
    </row>
    <row r="342" spans="1:11" x14ac:dyDescent="0.25">
      <c r="A342" s="24"/>
      <c r="B342" s="23"/>
      <c r="C342" s="23"/>
      <c r="D342" s="23"/>
      <c r="E342" s="26"/>
      <c r="G342" s="24">
        <v>21</v>
      </c>
      <c r="H342" s="23"/>
      <c r="I342" s="23" t="s">
        <v>1</v>
      </c>
      <c r="J342" s="23" t="s">
        <v>401</v>
      </c>
      <c r="K342" s="26">
        <v>186</v>
      </c>
    </row>
    <row r="343" spans="1:11" x14ac:dyDescent="0.25">
      <c r="A343" s="24"/>
      <c r="B343" s="23"/>
      <c r="C343" s="23"/>
      <c r="D343" s="23"/>
      <c r="E343" s="26"/>
      <c r="G343" s="24">
        <v>22</v>
      </c>
      <c r="H343" s="23"/>
      <c r="I343" s="23" t="s">
        <v>1</v>
      </c>
      <c r="J343" s="23" t="s">
        <v>402</v>
      </c>
      <c r="K343" s="26">
        <v>96</v>
      </c>
    </row>
    <row r="344" spans="1:11" x14ac:dyDescent="0.25">
      <c r="A344" s="24"/>
      <c r="B344" s="23"/>
      <c r="C344" s="23"/>
      <c r="D344" s="23"/>
      <c r="E344" s="26"/>
      <c r="G344" s="24">
        <v>23</v>
      </c>
      <c r="H344" s="23"/>
      <c r="I344" s="23" t="s">
        <v>1</v>
      </c>
      <c r="J344" s="23" t="s">
        <v>399</v>
      </c>
      <c r="K344" s="26">
        <v>186</v>
      </c>
    </row>
    <row r="345" spans="1:11" x14ac:dyDescent="0.25">
      <c r="A345" s="24"/>
      <c r="B345" s="23"/>
      <c r="C345" s="23"/>
      <c r="D345" s="23"/>
      <c r="E345" s="26"/>
      <c r="G345" s="24">
        <v>24</v>
      </c>
      <c r="H345" s="23"/>
      <c r="I345" s="23" t="s">
        <v>1</v>
      </c>
      <c r="J345" s="23" t="s">
        <v>395</v>
      </c>
      <c r="K345" s="26">
        <v>138</v>
      </c>
    </row>
    <row r="346" spans="1:11" ht="19.5" thickBot="1" x14ac:dyDescent="0.3">
      <c r="A346" s="24"/>
      <c r="B346" s="23"/>
      <c r="C346" s="23"/>
      <c r="D346" s="23"/>
      <c r="E346" s="26"/>
      <c r="G346" s="85" t="s">
        <v>53</v>
      </c>
      <c r="H346" s="86"/>
      <c r="I346" s="86"/>
      <c r="J346" s="86"/>
      <c r="K346" s="27">
        <f>AVERAGE(K322:K345)</f>
        <v>169.33333333333334</v>
      </c>
    </row>
    <row r="347" spans="1:11" x14ac:dyDescent="0.25">
      <c r="A347" s="24">
        <v>5</v>
      </c>
      <c r="B347" s="23"/>
      <c r="C347" s="23" t="s">
        <v>1</v>
      </c>
      <c r="D347" s="23" t="s">
        <v>315</v>
      </c>
      <c r="E347" s="26">
        <v>176</v>
      </c>
      <c r="G347" s="92" t="s">
        <v>310</v>
      </c>
      <c r="H347" s="93"/>
      <c r="I347" s="93"/>
      <c r="J347" s="93"/>
      <c r="K347" s="94"/>
    </row>
    <row r="348" spans="1:11" x14ac:dyDescent="0.25">
      <c r="A348" s="24">
        <v>6</v>
      </c>
      <c r="B348" s="23" t="s">
        <v>28</v>
      </c>
      <c r="C348" s="23" t="s">
        <v>29</v>
      </c>
      <c r="D348" s="23" t="s">
        <v>316</v>
      </c>
      <c r="E348" s="26">
        <v>188</v>
      </c>
      <c r="G348" s="24">
        <v>1</v>
      </c>
      <c r="H348" s="23" t="s">
        <v>37</v>
      </c>
      <c r="I348" s="23" t="s">
        <v>41</v>
      </c>
      <c r="J348" s="43" t="s">
        <v>292</v>
      </c>
      <c r="K348" s="26">
        <v>4</v>
      </c>
    </row>
    <row r="349" spans="1:11" ht="37.5" x14ac:dyDescent="0.25">
      <c r="A349" s="24">
        <v>7</v>
      </c>
      <c r="B349" s="23"/>
      <c r="C349" s="23" t="s">
        <v>1</v>
      </c>
      <c r="D349" s="23" t="s">
        <v>317</v>
      </c>
      <c r="E349" s="26">
        <v>142</v>
      </c>
      <c r="G349" s="24">
        <v>2</v>
      </c>
      <c r="H349" s="23" t="s">
        <v>37</v>
      </c>
      <c r="I349" s="23" t="s">
        <v>64</v>
      </c>
      <c r="J349" s="43" t="s">
        <v>293</v>
      </c>
      <c r="K349" s="26">
        <v>54</v>
      </c>
    </row>
    <row r="350" spans="1:11" x14ac:dyDescent="0.25">
      <c r="A350" s="24">
        <v>8</v>
      </c>
      <c r="B350" s="23"/>
      <c r="C350" s="23" t="s">
        <v>1</v>
      </c>
      <c r="D350" s="23" t="s">
        <v>318</v>
      </c>
      <c r="E350" s="26">
        <v>190</v>
      </c>
      <c r="G350" s="24">
        <v>3</v>
      </c>
      <c r="H350" s="23" t="s">
        <v>28</v>
      </c>
      <c r="I350" s="23" t="s">
        <v>29</v>
      </c>
      <c r="J350" s="43" t="s">
        <v>362</v>
      </c>
      <c r="K350" s="26">
        <v>120</v>
      </c>
    </row>
    <row r="351" spans="1:11" ht="19.5" thickBot="1" x14ac:dyDescent="0.3">
      <c r="A351" s="85" t="s">
        <v>53</v>
      </c>
      <c r="B351" s="86"/>
      <c r="C351" s="86"/>
      <c r="D351" s="86"/>
      <c r="E351" s="30">
        <f>AVERAGE(E317:E350)</f>
        <v>149.5</v>
      </c>
      <c r="G351" s="24">
        <v>4</v>
      </c>
      <c r="H351" s="23" t="s">
        <v>28</v>
      </c>
      <c r="I351" s="23" t="s">
        <v>1</v>
      </c>
      <c r="J351" s="43" t="s">
        <v>295</v>
      </c>
      <c r="K351" s="26">
        <v>168</v>
      </c>
    </row>
    <row r="352" spans="1:11" x14ac:dyDescent="0.25">
      <c r="G352" s="24">
        <v>5</v>
      </c>
      <c r="H352" s="23" t="s">
        <v>28</v>
      </c>
      <c r="I352" s="23" t="s">
        <v>1</v>
      </c>
      <c r="J352" s="43" t="s">
        <v>296</v>
      </c>
      <c r="K352" s="26">
        <v>294</v>
      </c>
    </row>
    <row r="353" spans="7:11" x14ac:dyDescent="0.25">
      <c r="G353" s="24">
        <v>6</v>
      </c>
      <c r="H353" s="23" t="s">
        <v>28</v>
      </c>
      <c r="I353" s="23" t="s">
        <v>1</v>
      </c>
      <c r="J353" s="43" t="s">
        <v>297</v>
      </c>
      <c r="K353" s="26">
        <v>170</v>
      </c>
    </row>
    <row r="354" spans="7:11" x14ac:dyDescent="0.25">
      <c r="G354" s="24">
        <v>7</v>
      </c>
      <c r="H354" s="23" t="s">
        <v>28</v>
      </c>
      <c r="I354" s="23" t="s">
        <v>1</v>
      </c>
      <c r="J354" s="43" t="s">
        <v>298</v>
      </c>
      <c r="K354" s="26">
        <v>166</v>
      </c>
    </row>
    <row r="355" spans="7:11" x14ac:dyDescent="0.25">
      <c r="G355" s="24">
        <v>8</v>
      </c>
      <c r="H355" s="23" t="s">
        <v>28</v>
      </c>
      <c r="I355" s="23" t="s">
        <v>1</v>
      </c>
      <c r="J355" s="43" t="s">
        <v>299</v>
      </c>
      <c r="K355" s="26">
        <v>154</v>
      </c>
    </row>
    <row r="356" spans="7:11" x14ac:dyDescent="0.25">
      <c r="G356" s="24">
        <v>9</v>
      </c>
      <c r="H356" s="23" t="s">
        <v>28</v>
      </c>
      <c r="I356" s="23" t="s">
        <v>1</v>
      </c>
      <c r="J356" s="43" t="s">
        <v>300</v>
      </c>
      <c r="K356" s="26">
        <v>176</v>
      </c>
    </row>
    <row r="357" spans="7:11" x14ac:dyDescent="0.25">
      <c r="G357" s="24">
        <v>10</v>
      </c>
      <c r="H357" s="23" t="s">
        <v>28</v>
      </c>
      <c r="I357" s="23" t="s">
        <v>1</v>
      </c>
      <c r="J357" s="43" t="s">
        <v>301</v>
      </c>
      <c r="K357" s="26">
        <v>318</v>
      </c>
    </row>
    <row r="358" spans="7:11" x14ac:dyDescent="0.25">
      <c r="G358" s="24">
        <v>11</v>
      </c>
      <c r="H358" s="23"/>
      <c r="I358" s="23" t="s">
        <v>46</v>
      </c>
      <c r="J358" s="43" t="s">
        <v>302</v>
      </c>
      <c r="K358" s="26">
        <v>102</v>
      </c>
    </row>
    <row r="359" spans="7:11" x14ac:dyDescent="0.25">
      <c r="G359" s="24">
        <v>12</v>
      </c>
      <c r="H359" s="23"/>
      <c r="I359" s="23" t="s">
        <v>35</v>
      </c>
      <c r="J359" s="43" t="s">
        <v>303</v>
      </c>
      <c r="K359" s="26">
        <v>276</v>
      </c>
    </row>
    <row r="360" spans="7:11" x14ac:dyDescent="0.25">
      <c r="G360" s="24">
        <v>13</v>
      </c>
      <c r="H360" s="23"/>
      <c r="I360" s="23" t="s">
        <v>35</v>
      </c>
      <c r="J360" s="43" t="s">
        <v>304</v>
      </c>
      <c r="K360" s="26">
        <v>280</v>
      </c>
    </row>
    <row r="361" spans="7:11" x14ac:dyDescent="0.25">
      <c r="G361" s="24">
        <v>14</v>
      </c>
      <c r="H361" s="23"/>
      <c r="I361" s="23" t="s">
        <v>35</v>
      </c>
      <c r="J361" s="43" t="s">
        <v>305</v>
      </c>
      <c r="K361" s="26">
        <v>192</v>
      </c>
    </row>
    <row r="362" spans="7:11" x14ac:dyDescent="0.25">
      <c r="G362" s="24">
        <v>15</v>
      </c>
      <c r="H362" s="23"/>
      <c r="I362" s="23" t="s">
        <v>29</v>
      </c>
      <c r="J362" s="43" t="s">
        <v>307</v>
      </c>
      <c r="K362" s="26">
        <v>270</v>
      </c>
    </row>
    <row r="363" spans="7:11" x14ac:dyDescent="0.25">
      <c r="G363" s="24">
        <v>16</v>
      </c>
      <c r="H363" s="23"/>
      <c r="I363" s="23" t="s">
        <v>29</v>
      </c>
      <c r="J363" s="43" t="s">
        <v>308</v>
      </c>
      <c r="K363" s="26">
        <v>236</v>
      </c>
    </row>
    <row r="364" spans="7:11" x14ac:dyDescent="0.25">
      <c r="G364" s="24">
        <v>17</v>
      </c>
      <c r="H364" s="23"/>
      <c r="I364" s="23" t="s">
        <v>1</v>
      </c>
      <c r="J364" s="43" t="s">
        <v>309</v>
      </c>
      <c r="K364" s="26">
        <v>164</v>
      </c>
    </row>
    <row r="365" spans="7:11" x14ac:dyDescent="0.25">
      <c r="G365" s="24">
        <v>18</v>
      </c>
      <c r="H365" s="23"/>
      <c r="I365" s="23"/>
      <c r="J365" s="33" t="s">
        <v>306</v>
      </c>
      <c r="K365" s="26">
        <v>42</v>
      </c>
    </row>
    <row r="366" spans="7:11" ht="19.5" thickBot="1" x14ac:dyDescent="0.3">
      <c r="G366" s="85" t="s">
        <v>53</v>
      </c>
      <c r="H366" s="86"/>
      <c r="I366" s="86"/>
      <c r="J366" s="86"/>
      <c r="K366" s="27">
        <f>AVERAGE(K348:K365)</f>
        <v>177</v>
      </c>
    </row>
    <row r="367" spans="7:11" x14ac:dyDescent="0.25">
      <c r="G367" s="87" t="s">
        <v>270</v>
      </c>
      <c r="H367" s="88"/>
      <c r="I367" s="88"/>
      <c r="J367" s="88"/>
      <c r="K367" s="89"/>
    </row>
    <row r="368" spans="7:11" x14ac:dyDescent="0.25">
      <c r="G368" s="24">
        <v>1</v>
      </c>
      <c r="H368" s="23" t="s">
        <v>37</v>
      </c>
      <c r="I368" s="23" t="s">
        <v>41</v>
      </c>
      <c r="J368" s="23" t="s">
        <v>265</v>
      </c>
      <c r="K368" s="26">
        <v>52</v>
      </c>
    </row>
    <row r="369" spans="7:11" x14ac:dyDescent="0.25">
      <c r="G369" s="24">
        <v>2</v>
      </c>
      <c r="H369" s="23" t="s">
        <v>28</v>
      </c>
      <c r="I369" s="23" t="s">
        <v>29</v>
      </c>
      <c r="J369" s="23" t="s">
        <v>271</v>
      </c>
      <c r="K369" s="26">
        <v>132</v>
      </c>
    </row>
    <row r="370" spans="7:11" x14ac:dyDescent="0.25">
      <c r="G370" s="24">
        <v>3</v>
      </c>
      <c r="H370" s="23" t="s">
        <v>28</v>
      </c>
      <c r="I370" s="23" t="s">
        <v>1</v>
      </c>
      <c r="J370" s="23" t="s">
        <v>266</v>
      </c>
      <c r="K370" s="26">
        <v>102</v>
      </c>
    </row>
    <row r="371" spans="7:11" x14ac:dyDescent="0.25">
      <c r="G371" s="24">
        <v>4</v>
      </c>
      <c r="H371" s="23"/>
      <c r="I371" s="23" t="s">
        <v>35</v>
      </c>
      <c r="J371" s="23" t="s">
        <v>269</v>
      </c>
      <c r="K371" s="26">
        <v>56</v>
      </c>
    </row>
    <row r="372" spans="7:11" x14ac:dyDescent="0.25">
      <c r="G372" s="24">
        <v>5</v>
      </c>
      <c r="H372" s="23"/>
      <c r="I372" s="23" t="s">
        <v>29</v>
      </c>
      <c r="J372" s="23" t="s">
        <v>267</v>
      </c>
      <c r="K372" s="26">
        <v>80</v>
      </c>
    </row>
    <row r="373" spans="7:11" x14ac:dyDescent="0.25">
      <c r="G373" s="24">
        <v>6</v>
      </c>
      <c r="H373" s="23"/>
      <c r="I373" s="23" t="s">
        <v>1</v>
      </c>
      <c r="J373" s="23" t="s">
        <v>268</v>
      </c>
      <c r="K373" s="26">
        <v>96</v>
      </c>
    </row>
    <row r="374" spans="7:11" ht="19.5" thickBot="1" x14ac:dyDescent="0.3">
      <c r="G374" s="85" t="s">
        <v>53</v>
      </c>
      <c r="H374" s="86"/>
      <c r="I374" s="86"/>
      <c r="J374" s="86"/>
      <c r="K374" s="27">
        <f>AVERAGE(K368:K373)</f>
        <v>86.333333333333329</v>
      </c>
    </row>
    <row r="375" spans="7:11" x14ac:dyDescent="0.25">
      <c r="G375" s="87" t="s">
        <v>330</v>
      </c>
      <c r="H375" s="88"/>
      <c r="I375" s="88"/>
      <c r="J375" s="88"/>
      <c r="K375" s="89"/>
    </row>
    <row r="376" spans="7:11" x14ac:dyDescent="0.25">
      <c r="G376" s="24">
        <v>1</v>
      </c>
      <c r="H376" s="23" t="s">
        <v>37</v>
      </c>
      <c r="I376" s="23" t="s">
        <v>41</v>
      </c>
      <c r="J376" s="23" t="s">
        <v>312</v>
      </c>
      <c r="K376" s="26">
        <v>66</v>
      </c>
    </row>
    <row r="377" spans="7:11" x14ac:dyDescent="0.25">
      <c r="G377" s="24">
        <v>2</v>
      </c>
      <c r="H377" s="23" t="s">
        <v>37</v>
      </c>
      <c r="I377" s="23" t="s">
        <v>35</v>
      </c>
      <c r="J377" s="23" t="s">
        <v>313</v>
      </c>
      <c r="K377" s="26">
        <v>134</v>
      </c>
    </row>
    <row r="378" spans="7:11" x14ac:dyDescent="0.25">
      <c r="G378" s="24">
        <v>3</v>
      </c>
      <c r="H378" s="23" t="s">
        <v>28</v>
      </c>
      <c r="I378" s="23" t="s">
        <v>29</v>
      </c>
      <c r="J378" s="23" t="s">
        <v>314</v>
      </c>
      <c r="K378" s="26">
        <v>204</v>
      </c>
    </row>
    <row r="379" spans="7:11" x14ac:dyDescent="0.25">
      <c r="G379" s="24">
        <v>4</v>
      </c>
      <c r="H379" s="23" t="s">
        <v>28</v>
      </c>
      <c r="I379" s="23" t="s">
        <v>29</v>
      </c>
      <c r="J379" s="23" t="s">
        <v>316</v>
      </c>
      <c r="K379" s="26">
        <v>188</v>
      </c>
    </row>
    <row r="380" spans="7:11" x14ac:dyDescent="0.25">
      <c r="G380" s="24">
        <v>5</v>
      </c>
      <c r="H380" s="23"/>
      <c r="I380" s="23" t="s">
        <v>35</v>
      </c>
      <c r="J380" s="23" t="s">
        <v>311</v>
      </c>
      <c r="K380" s="26">
        <v>96</v>
      </c>
    </row>
    <row r="381" spans="7:11" x14ac:dyDescent="0.25">
      <c r="G381" s="24">
        <v>6</v>
      </c>
      <c r="H381" s="23"/>
      <c r="I381" s="23" t="s">
        <v>1</v>
      </c>
      <c r="J381" s="23" t="s">
        <v>315</v>
      </c>
      <c r="K381" s="26">
        <v>176</v>
      </c>
    </row>
    <row r="382" spans="7:11" x14ac:dyDescent="0.25">
      <c r="G382" s="24">
        <v>7</v>
      </c>
      <c r="H382" s="23"/>
      <c r="I382" s="23" t="s">
        <v>1</v>
      </c>
      <c r="J382" s="23" t="s">
        <v>317</v>
      </c>
      <c r="K382" s="26">
        <v>142</v>
      </c>
    </row>
    <row r="383" spans="7:11" x14ac:dyDescent="0.25">
      <c r="G383" s="24">
        <v>8</v>
      </c>
      <c r="H383" s="23"/>
      <c r="I383" s="23" t="s">
        <v>1</v>
      </c>
      <c r="J383" s="23" t="s">
        <v>318</v>
      </c>
      <c r="K383" s="26">
        <v>190</v>
      </c>
    </row>
    <row r="384" spans="7:11" ht="19.5" thickBot="1" x14ac:dyDescent="0.3">
      <c r="G384" s="85" t="s">
        <v>53</v>
      </c>
      <c r="H384" s="86"/>
      <c r="I384" s="86"/>
      <c r="J384" s="86"/>
      <c r="K384" s="27">
        <f>AVERAGE(K376:K383)</f>
        <v>149.5</v>
      </c>
    </row>
  </sheetData>
  <autoFilter ref="E1:E295"/>
  <sortState ref="I324:K342">
    <sortCondition ref="I324:I342" customList="Начальник кафедры,Заместитель начальника кафедры,Профессор,Доцент,Старший преподаватель,преподаватель"/>
  </sortState>
  <mergeCells count="74">
    <mergeCell ref="A263:D263"/>
    <mergeCell ref="A264:E264"/>
    <mergeCell ref="A116:E116"/>
    <mergeCell ref="A135:D135"/>
    <mergeCell ref="A136:E136"/>
    <mergeCell ref="A163:D163"/>
    <mergeCell ref="A164:E164"/>
    <mergeCell ref="A210:D210"/>
    <mergeCell ref="A211:E211"/>
    <mergeCell ref="A230:D230"/>
    <mergeCell ref="A231:E231"/>
    <mergeCell ref="A185:E185"/>
    <mergeCell ref="A5:E5"/>
    <mergeCell ref="A20:E20"/>
    <mergeCell ref="A19:D19"/>
    <mergeCell ref="A50:E50"/>
    <mergeCell ref="A49:D49"/>
    <mergeCell ref="A70:E70"/>
    <mergeCell ref="A316:E316"/>
    <mergeCell ref="A170:D170"/>
    <mergeCell ref="A78:E78"/>
    <mergeCell ref="A69:D69"/>
    <mergeCell ref="A77:D77"/>
    <mergeCell ref="A97:D97"/>
    <mergeCell ref="A98:E98"/>
    <mergeCell ref="A115:D115"/>
    <mergeCell ref="A272:E272"/>
    <mergeCell ref="A295:D295"/>
    <mergeCell ref="A315:D315"/>
    <mergeCell ref="A296:E296"/>
    <mergeCell ref="A271:D271"/>
    <mergeCell ref="A171:E171"/>
    <mergeCell ref="A184:D184"/>
    <mergeCell ref="A351:D351"/>
    <mergeCell ref="G5:K5"/>
    <mergeCell ref="G32:J32"/>
    <mergeCell ref="G33:K33"/>
    <mergeCell ref="G56:J56"/>
    <mergeCell ref="G57:K57"/>
    <mergeCell ref="G82:J82"/>
    <mergeCell ref="G83:K83"/>
    <mergeCell ref="G102:J102"/>
    <mergeCell ref="G103:K103"/>
    <mergeCell ref="G116:J116"/>
    <mergeCell ref="G117:K117"/>
    <mergeCell ref="G135:J135"/>
    <mergeCell ref="G136:K136"/>
    <mergeCell ref="G165:J165"/>
    <mergeCell ref="G166:K166"/>
    <mergeCell ref="G180:J180"/>
    <mergeCell ref="G181:K181"/>
    <mergeCell ref="G200:J200"/>
    <mergeCell ref="G201:K201"/>
    <mergeCell ref="G221:J221"/>
    <mergeCell ref="G222:K222"/>
    <mergeCell ref="G254:J254"/>
    <mergeCell ref="G255:K255"/>
    <mergeCell ref="G272:J272"/>
    <mergeCell ref="G273:K273"/>
    <mergeCell ref="G293:J293"/>
    <mergeCell ref="G294:K294"/>
    <mergeCell ref="G301:J301"/>
    <mergeCell ref="G302:K302"/>
    <mergeCell ref="G313:J313"/>
    <mergeCell ref="G374:J374"/>
    <mergeCell ref="G375:K375"/>
    <mergeCell ref="G384:J384"/>
    <mergeCell ref="G314:K314"/>
    <mergeCell ref="G320:J320"/>
    <mergeCell ref="G347:K347"/>
    <mergeCell ref="G366:J366"/>
    <mergeCell ref="G367:K367"/>
    <mergeCell ref="G346:J346"/>
    <mergeCell ref="G321:K321"/>
  </mergeCells>
  <conditionalFormatting sqref="K6:K32 K223:K254 K118:K135">
    <cfRule type="cellIs" dxfId="16" priority="20" operator="lessThan">
      <formula>50</formula>
    </cfRule>
  </conditionalFormatting>
  <conditionalFormatting sqref="K4">
    <cfRule type="cellIs" dxfId="15" priority="19" operator="lessThan">
      <formula>50</formula>
    </cfRule>
  </conditionalFormatting>
  <conditionalFormatting sqref="K34:K56">
    <cfRule type="cellIs" dxfId="14" priority="18" operator="lessThan">
      <formula>50</formula>
    </cfRule>
  </conditionalFormatting>
  <conditionalFormatting sqref="K289:K293 K303:K313 K385:K1048576">
    <cfRule type="cellIs" dxfId="13" priority="6" operator="lessThan">
      <formula>50</formula>
    </cfRule>
  </conditionalFormatting>
  <conditionalFormatting sqref="K58:K82">
    <cfRule type="cellIs" dxfId="12" priority="17" operator="lessThan">
      <formula>50</formula>
    </cfRule>
  </conditionalFormatting>
  <conditionalFormatting sqref="K83:K102">
    <cfRule type="cellIs" dxfId="11" priority="16" operator="lessThan">
      <formula>50</formula>
    </cfRule>
  </conditionalFormatting>
  <conditionalFormatting sqref="K104:K116">
    <cfRule type="cellIs" dxfId="10" priority="15" operator="lessThan">
      <formula>50</formula>
    </cfRule>
  </conditionalFormatting>
  <conditionalFormatting sqref="K137:K165">
    <cfRule type="cellIs" dxfId="9" priority="13" operator="lessThan">
      <formula>50</formula>
    </cfRule>
  </conditionalFormatting>
  <conditionalFormatting sqref="K167:K180">
    <cfRule type="cellIs" dxfId="8" priority="12" operator="lessThan">
      <formula>50</formula>
    </cfRule>
  </conditionalFormatting>
  <conditionalFormatting sqref="K182:K200">
    <cfRule type="cellIs" dxfId="7" priority="11" operator="lessThan">
      <formula>50</formula>
    </cfRule>
  </conditionalFormatting>
  <conditionalFormatting sqref="K202:K221">
    <cfRule type="cellIs" dxfId="6" priority="10" operator="lessThan">
      <formula>50</formula>
    </cfRule>
  </conditionalFormatting>
  <conditionalFormatting sqref="K256:K272">
    <cfRule type="cellIs" dxfId="5" priority="7" operator="lessThan">
      <formula>50</formula>
    </cfRule>
  </conditionalFormatting>
  <conditionalFormatting sqref="K295:K301">
    <cfRule type="cellIs" dxfId="4" priority="5" operator="lessThan">
      <formula>50</formula>
    </cfRule>
  </conditionalFormatting>
  <conditionalFormatting sqref="K315:K320 K322:K346">
    <cfRule type="cellIs" dxfId="3" priority="4" operator="lessThan">
      <formula>50</formula>
    </cfRule>
  </conditionalFormatting>
  <conditionalFormatting sqref="K348:K366">
    <cfRule type="cellIs" dxfId="2" priority="3" operator="lessThan">
      <formula>50</formula>
    </cfRule>
  </conditionalFormatting>
  <conditionalFormatting sqref="K368:K374">
    <cfRule type="cellIs" dxfId="1" priority="2" operator="lessThan">
      <formula>50</formula>
    </cfRule>
  </conditionalFormatting>
  <conditionalFormatting sqref="K376:K384">
    <cfRule type="cellIs" dxfId="0" priority="1" operator="lessThan">
      <formula>50</formula>
    </cfRule>
  </conditionalFormatting>
  <pageMargins left="0.70866141732283472" right="0.70866141732283472" top="0.74803149606299213" bottom="0.74803149606299213" header="0.31496062992125984" footer="0.31496062992125984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Лист2!Заголовки_для_печати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2024-07-01T09:55:38Z</dcterms:modified>
</cp:coreProperties>
</file>