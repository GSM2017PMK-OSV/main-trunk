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1\"/>
    </mc:Choice>
  </mc:AlternateContent>
  <bookViews>
    <workbookView xWindow="-210" yWindow="-75" windowWidth="13830" windowHeight="11490" tabRatio="576"/>
  </bookViews>
  <sheets>
    <sheet name="Сводная" sheetId="3" r:id="rId1"/>
  </sheets>
  <calcPr calcId="152511"/>
</workbook>
</file>

<file path=xl/calcChain.xml><?xml version="1.0" encoding="utf-8"?>
<calcChain xmlns="http://schemas.openxmlformats.org/spreadsheetml/2006/main">
  <c r="N30" i="3" l="1"/>
  <c r="I30" i="3"/>
  <c r="J30" i="3"/>
  <c r="K30" i="3"/>
  <c r="L30" i="3"/>
  <c r="M30" i="3"/>
  <c r="H30" i="3"/>
  <c r="C14" i="3" l="1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</calcChain>
</file>

<file path=xl/sharedStrings.xml><?xml version="1.0" encoding="utf-8"?>
<sst xmlns="http://schemas.openxmlformats.org/spreadsheetml/2006/main" count="42" uniqueCount="30">
  <si>
    <t>СОГЛАСОВАНО</t>
  </si>
  <si>
    <t>УТВЕРЖДАЮ</t>
  </si>
  <si>
    <t>(должность)</t>
  </si>
  <si>
    <t>(воинское звание, фамилия)</t>
  </si>
  <si>
    <t>"______" _________________ 20 ____ г.</t>
  </si>
  <si>
    <t>РАСПРЕДЕЛЕНИЕ БЮДЖЕТА 
рабочего (служебного) времени преподавательского состава кафедры _______________________ 
на 20____/____  учебный год</t>
  </si>
  <si>
    <t>№ п/п</t>
  </si>
  <si>
    <t>Преподаватель</t>
  </si>
  <si>
    <t>Годовой бюджет рабочего (служебного) времени</t>
  </si>
  <si>
    <t>Объем годовой:</t>
  </si>
  <si>
    <t>Общий объем  учебной, методической, научной и воспитательной работы</t>
  </si>
  <si>
    <t>Объем других видов деятельности</t>
  </si>
  <si>
    <t>Суммарный объем всех видов деятельности</t>
  </si>
  <si>
    <t>Воинское звание</t>
  </si>
  <si>
    <t>Фамилия и инициалы</t>
  </si>
  <si>
    <t>Должность</t>
  </si>
  <si>
    <t>Размер занимаемой ставки</t>
  </si>
  <si>
    <t>учебной нагрузки</t>
  </si>
  <si>
    <t>в т.ч. проведение аудиторных занятий</t>
  </si>
  <si>
    <t xml:space="preserve">методической работы </t>
  </si>
  <si>
    <t>научной (научно-исследовательской) работы</t>
  </si>
  <si>
    <t>воспитательной работы</t>
  </si>
  <si>
    <t>Итого за кафедру:</t>
  </si>
  <si>
    <t>Начальник кафедры</t>
  </si>
  <si>
    <t>Старший преподаватель</t>
  </si>
  <si>
    <t>Зам. начальника кафедры</t>
  </si>
  <si>
    <t>Доцент кафедры</t>
  </si>
  <si>
    <t>Профессор кафедры</t>
  </si>
  <si>
    <t xml:space="preserve">Доцент кафедры </t>
  </si>
  <si>
    <t xml:space="preserve">Начальник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</si>
</sst>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10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5" xfId="0" applyFont="1" applyBorder="1"/>
    <xf numFmtId="0" fontId="3" fillId="0" borderId="5" xfId="0" applyFont="1" applyBorder="1" applyAlignment="1">
      <alignment horizontal="right"/>
    </xf>
    <xf numFmtId="0" fontId="0" fillId="0" borderId="0" xfId="0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>
      <alignment horizont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9" fillId="0" borderId="34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textRotation="90" wrapText="1"/>
    </xf>
    <xf numFmtId="0" fontId="10" fillId="0" borderId="19" xfId="0" applyFont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center" vertical="center" textRotation="90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 wrapText="1"/>
    </xf>
    <xf numFmtId="1" fontId="9" fillId="0" borderId="31" xfId="0" applyNumberFormat="1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/>
    </xf>
    <xf numFmtId="1" fontId="9" fillId="0" borderId="37" xfId="0" applyNumberFormat="1" applyFont="1" applyBorder="1" applyAlignment="1">
      <alignment horizontal="center"/>
    </xf>
    <xf numFmtId="1" fontId="9" fillId="0" borderId="38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" fontId="9" fillId="0" borderId="30" xfId="0" applyNumberFormat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9" fillId="0" borderId="0" xfId="0" applyNumberFormat="1" applyFont="1" applyBorder="1" applyAlignment="1">
      <alignment horizontal="center" vertical="center" wrapText="1"/>
    </xf>
    <xf numFmtId="1" fontId="9" fillId="0" borderId="14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1" fontId="9" fillId="0" borderId="40" xfId="0" applyNumberFormat="1" applyFont="1" applyBorder="1" applyAlignment="1">
      <alignment horizontal="center" vertical="center" wrapText="1"/>
    </xf>
    <xf numFmtId="1" fontId="9" fillId="0" borderId="20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" fontId="9" fillId="0" borderId="39" xfId="0" applyNumberFormat="1" applyFont="1" applyBorder="1" applyAlignment="1">
      <alignment horizontal="center" vertical="center" wrapText="1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4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0" borderId="42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1" fontId="9" fillId="0" borderId="43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textRotation="90" wrapText="1"/>
    </xf>
    <xf numFmtId="0" fontId="10" fillId="0" borderId="0" xfId="0" applyFont="1" applyBorder="1" applyAlignment="1">
      <alignment horizontal="center" vertical="center" textRotation="90" wrapText="1"/>
    </xf>
    <xf numFmtId="0" fontId="11" fillId="0" borderId="13" xfId="0" applyFont="1" applyBorder="1" applyAlignment="1">
      <alignment horizontal="center" vertical="center" textRotation="90" wrapText="1"/>
    </xf>
    <xf numFmtId="0" fontId="11" fillId="0" borderId="20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textRotation="90" wrapText="1"/>
    </xf>
    <xf numFmtId="0" fontId="8" fillId="0" borderId="0" xfId="0" applyFont="1" applyBorder="1" applyAlignment="1">
      <alignment horizontal="center" vertical="center" textRotation="90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textRotation="90" wrapText="1"/>
    </xf>
    <xf numFmtId="0" fontId="10" fillId="0" borderId="20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39"/>
  <sheetViews>
    <sheetView tabSelected="1" view="pageBreakPreview" topLeftCell="B1" zoomScale="80" zoomScaleNormal="100" zoomScaleSheetLayoutView="80" workbookViewId="0">
      <selection activeCell="B32" sqref="B32:O32"/>
    </sheetView>
  </sheetViews>
  <sheetFormatPr defaultRowHeight="15" x14ac:dyDescent="0.25"/>
  <cols>
    <col min="1" max="1" width="1.7109375" customWidth="1"/>
    <col min="2" max="2" width="5.140625" customWidth="1"/>
    <col min="3" max="3" width="19.7109375" customWidth="1"/>
    <col min="4" max="4" width="20.42578125" customWidth="1"/>
    <col min="5" max="5" width="26" customWidth="1"/>
    <col min="6" max="6" width="13.28515625" customWidth="1"/>
    <col min="7" max="7" width="13.85546875" customWidth="1"/>
    <col min="8" max="12" width="10.140625" customWidth="1"/>
    <col min="13" max="15" width="13.85546875" customWidth="1"/>
  </cols>
  <sheetData>
    <row r="1" spans="2:15" s="1" customFormat="1" ht="18.75" x14ac:dyDescent="0.3">
      <c r="O1" s="2"/>
    </row>
    <row r="2" spans="2:15" s="1" customFormat="1" ht="18.75" x14ac:dyDescent="0.3">
      <c r="O2" s="2"/>
    </row>
    <row r="3" spans="2:15" s="3" customFormat="1" ht="18.75" x14ac:dyDescent="0.3">
      <c r="B3" s="81" t="s">
        <v>0</v>
      </c>
      <c r="C3" s="81"/>
      <c r="D3" s="81"/>
      <c r="E3" s="81"/>
      <c r="M3" s="81" t="s">
        <v>1</v>
      </c>
      <c r="N3" s="81"/>
      <c r="O3" s="81"/>
    </row>
    <row r="4" spans="2:15" s="1" customFormat="1" ht="18.75" x14ac:dyDescent="0.3">
      <c r="B4" s="4"/>
      <c r="C4" s="4"/>
      <c r="D4" s="4"/>
      <c r="E4" s="5"/>
      <c r="M4" s="4"/>
      <c r="N4" s="4"/>
      <c r="O4" s="5"/>
    </row>
    <row r="5" spans="2:15" s="1" customFormat="1" x14ac:dyDescent="0.25">
      <c r="B5" s="82" t="s">
        <v>2</v>
      </c>
      <c r="C5" s="82"/>
      <c r="D5" s="82"/>
      <c r="E5" s="82"/>
      <c r="M5" s="83" t="s">
        <v>2</v>
      </c>
      <c r="N5" s="83"/>
      <c r="O5" s="83"/>
    </row>
    <row r="6" spans="2:15" s="1" customFormat="1" ht="18.75" x14ac:dyDescent="0.3">
      <c r="B6" s="4"/>
      <c r="C6" s="4"/>
      <c r="D6" s="4"/>
      <c r="E6" s="5"/>
      <c r="M6" s="4"/>
      <c r="N6" s="4"/>
      <c r="O6" s="5"/>
    </row>
    <row r="7" spans="2:15" s="1" customFormat="1" x14ac:dyDescent="0.25">
      <c r="B7" s="84" t="s">
        <v>3</v>
      </c>
      <c r="C7" s="84"/>
      <c r="D7" s="84"/>
      <c r="E7" s="84"/>
      <c r="M7" s="84" t="s">
        <v>3</v>
      </c>
      <c r="N7" s="84"/>
      <c r="O7" s="84"/>
    </row>
    <row r="8" spans="2:15" s="1" customFormat="1" x14ac:dyDescent="0.25">
      <c r="B8" s="88" t="s">
        <v>4</v>
      </c>
      <c r="C8" s="88"/>
      <c r="D8" s="88"/>
      <c r="E8" s="88"/>
      <c r="M8" s="89" t="s">
        <v>4</v>
      </c>
      <c r="N8" s="89"/>
      <c r="O8" s="89"/>
    </row>
    <row r="9" spans="2:15" s="1" customFormat="1" x14ac:dyDescent="0.25"/>
    <row r="10" spans="2:15" s="1" customFormat="1" ht="20.25" x14ac:dyDescent="0.3">
      <c r="B10" s="90" t="s">
        <v>5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</row>
    <row r="11" spans="2:15" ht="15.75" thickBot="1" x14ac:dyDescent="0.3"/>
    <row r="12" spans="2:15" s="6" customFormat="1" ht="15.75" x14ac:dyDescent="0.25">
      <c r="B12" s="92" t="s">
        <v>6</v>
      </c>
      <c r="C12" s="94" t="s">
        <v>7</v>
      </c>
      <c r="D12" s="94"/>
      <c r="E12" s="94"/>
      <c r="F12" s="95"/>
      <c r="G12" s="96" t="s">
        <v>8</v>
      </c>
      <c r="H12" s="98" t="s">
        <v>9</v>
      </c>
      <c r="I12" s="99"/>
      <c r="J12" s="99"/>
      <c r="K12" s="99"/>
      <c r="L12" s="99"/>
      <c r="M12" s="100" t="s">
        <v>10</v>
      </c>
      <c r="N12" s="76" t="s">
        <v>11</v>
      </c>
      <c r="O12" s="78" t="s">
        <v>12</v>
      </c>
    </row>
    <row r="13" spans="2:15" s="11" customFormat="1" ht="184.5" thickBot="1" x14ac:dyDescent="0.3">
      <c r="B13" s="93"/>
      <c r="C13" s="7" t="s">
        <v>13</v>
      </c>
      <c r="D13" s="8" t="s">
        <v>14</v>
      </c>
      <c r="E13" s="9" t="s">
        <v>15</v>
      </c>
      <c r="F13" s="10" t="s">
        <v>16</v>
      </c>
      <c r="G13" s="97"/>
      <c r="H13" s="30" t="s">
        <v>17</v>
      </c>
      <c r="I13" s="31" t="s">
        <v>18</v>
      </c>
      <c r="J13" s="32" t="s">
        <v>19</v>
      </c>
      <c r="K13" s="33" t="s">
        <v>20</v>
      </c>
      <c r="L13" s="34" t="s">
        <v>21</v>
      </c>
      <c r="M13" s="101"/>
      <c r="N13" s="77"/>
      <c r="O13" s="79"/>
    </row>
    <row r="14" spans="2:15" s="11" customFormat="1" ht="13.5" thickBot="1" x14ac:dyDescent="0.3">
      <c r="B14" s="12">
        <v>1</v>
      </c>
      <c r="C14" s="13">
        <f>B14+1</f>
        <v>2</v>
      </c>
      <c r="D14" s="13">
        <f>C14+1</f>
        <v>3</v>
      </c>
      <c r="E14" s="13">
        <f>D14+1</f>
        <v>4</v>
      </c>
      <c r="F14" s="14">
        <f t="shared" ref="F14:O14" si="0">E14+1</f>
        <v>5</v>
      </c>
      <c r="G14" s="42">
        <f t="shared" si="0"/>
        <v>6</v>
      </c>
      <c r="H14" s="35">
        <f t="shared" si="0"/>
        <v>7</v>
      </c>
      <c r="I14" s="36">
        <f t="shared" si="0"/>
        <v>8</v>
      </c>
      <c r="J14" s="37">
        <f t="shared" si="0"/>
        <v>9</v>
      </c>
      <c r="K14" s="38">
        <f t="shared" si="0"/>
        <v>10</v>
      </c>
      <c r="L14" s="39">
        <f t="shared" si="0"/>
        <v>11</v>
      </c>
      <c r="M14" s="40">
        <f t="shared" si="0"/>
        <v>12</v>
      </c>
      <c r="N14" s="41">
        <f t="shared" si="0"/>
        <v>13</v>
      </c>
      <c r="O14" s="40">
        <f t="shared" si="0"/>
        <v>14</v>
      </c>
    </row>
    <row r="15" spans="2:15" s="11" customFormat="1" ht="12.75" x14ac:dyDescent="0.25">
      <c r="B15" s="15">
        <v>1</v>
      </c>
      <c r="C15" s="16"/>
      <c r="D15" s="25"/>
      <c r="E15" s="16" t="s">
        <v>23</v>
      </c>
      <c r="F15" s="17">
        <v>1</v>
      </c>
      <c r="G15" s="47">
        <v>1626</v>
      </c>
      <c r="H15" s="27">
        <v>646</v>
      </c>
      <c r="I15" s="28">
        <v>203</v>
      </c>
      <c r="J15" s="48">
        <v>482</v>
      </c>
      <c r="K15" s="49">
        <v>162</v>
      </c>
      <c r="L15" s="50">
        <v>108</v>
      </c>
      <c r="M15" s="29">
        <v>1398</v>
      </c>
      <c r="N15" s="47">
        <v>228</v>
      </c>
      <c r="O15" s="29">
        <v>1626</v>
      </c>
    </row>
    <row r="16" spans="2:15" s="11" customFormat="1" ht="12.75" x14ac:dyDescent="0.25">
      <c r="B16" s="18">
        <v>2</v>
      </c>
      <c r="C16" s="16"/>
      <c r="D16" s="25"/>
      <c r="E16" s="19" t="s">
        <v>25</v>
      </c>
      <c r="F16" s="20"/>
      <c r="G16" s="20"/>
      <c r="H16" s="18"/>
      <c r="I16" s="19"/>
      <c r="J16" s="19"/>
      <c r="K16" s="19"/>
      <c r="L16" s="20"/>
      <c r="M16" s="20"/>
      <c r="N16" s="20"/>
      <c r="O16" s="20"/>
    </row>
    <row r="17" spans="2:18" s="45" customFormat="1" ht="12.75" x14ac:dyDescent="0.25">
      <c r="B17" s="59">
        <v>3</v>
      </c>
      <c r="C17" s="16"/>
      <c r="D17" s="25"/>
      <c r="E17" s="60" t="s">
        <v>26</v>
      </c>
      <c r="F17" s="43">
        <v>1</v>
      </c>
      <c r="G17" s="61">
        <v>1626</v>
      </c>
      <c r="H17" s="62">
        <v>747</v>
      </c>
      <c r="I17" s="72">
        <v>519</v>
      </c>
      <c r="J17" s="63">
        <v>460</v>
      </c>
      <c r="K17" s="64">
        <v>160</v>
      </c>
      <c r="L17" s="65">
        <v>100</v>
      </c>
      <c r="M17" s="66">
        <v>1467</v>
      </c>
      <c r="N17" s="61">
        <v>159</v>
      </c>
      <c r="O17" s="66">
        <v>1626</v>
      </c>
      <c r="Q17" s="46"/>
      <c r="R17" s="11"/>
    </row>
    <row r="18" spans="2:18" s="68" customFormat="1" ht="12.75" x14ac:dyDescent="0.25">
      <c r="B18" s="18">
        <v>4</v>
      </c>
      <c r="C18" s="16"/>
      <c r="D18" s="25"/>
      <c r="E18" s="68" t="s">
        <v>24</v>
      </c>
      <c r="F18" s="20">
        <v>1</v>
      </c>
      <c r="G18" s="69">
        <v>1626</v>
      </c>
      <c r="H18" s="70">
        <v>697</v>
      </c>
      <c r="I18" s="71">
        <v>359</v>
      </c>
      <c r="J18" s="72">
        <v>438</v>
      </c>
      <c r="K18" s="73">
        <v>158</v>
      </c>
      <c r="L18" s="74">
        <v>128</v>
      </c>
      <c r="M18" s="75">
        <v>1421</v>
      </c>
      <c r="N18" s="69">
        <v>205</v>
      </c>
      <c r="O18" s="75">
        <v>1626</v>
      </c>
      <c r="P18" s="45"/>
      <c r="Q18" s="46"/>
      <c r="R18" s="11"/>
    </row>
    <row r="19" spans="2:18" s="11" customFormat="1" ht="14.25" customHeight="1" x14ac:dyDescent="0.25">
      <c r="B19" s="18">
        <v>8</v>
      </c>
      <c r="C19" s="16"/>
      <c r="D19" s="25"/>
      <c r="E19" s="19" t="s">
        <v>24</v>
      </c>
      <c r="F19" s="20">
        <v>1</v>
      </c>
      <c r="G19" s="47">
        <v>1626</v>
      </c>
      <c r="H19" s="27">
        <v>680</v>
      </c>
      <c r="I19" s="28">
        <v>387</v>
      </c>
      <c r="J19" s="48">
        <v>446</v>
      </c>
      <c r="K19" s="49">
        <v>156</v>
      </c>
      <c r="L19" s="50">
        <v>132</v>
      </c>
      <c r="M19" s="29">
        <v>1414</v>
      </c>
      <c r="N19" s="47">
        <v>212</v>
      </c>
      <c r="O19" s="29">
        <v>1626</v>
      </c>
    </row>
    <row r="20" spans="2:18" s="68" customFormat="1" ht="12.75" x14ac:dyDescent="0.25">
      <c r="B20" s="18">
        <v>5</v>
      </c>
      <c r="C20" s="16"/>
      <c r="D20" s="25"/>
      <c r="E20" s="68" t="s">
        <v>7</v>
      </c>
      <c r="F20" s="20">
        <v>1</v>
      </c>
      <c r="G20" s="69">
        <v>1626</v>
      </c>
      <c r="H20" s="70">
        <v>714</v>
      </c>
      <c r="I20" s="71">
        <v>445</v>
      </c>
      <c r="J20" s="72">
        <v>463</v>
      </c>
      <c r="K20" s="73">
        <v>155</v>
      </c>
      <c r="L20" s="74">
        <v>126</v>
      </c>
      <c r="M20" s="75">
        <v>1458</v>
      </c>
      <c r="N20" s="69">
        <v>168</v>
      </c>
      <c r="O20" s="75">
        <v>1626</v>
      </c>
      <c r="P20" s="45"/>
      <c r="Q20" s="46"/>
      <c r="R20" s="11"/>
    </row>
    <row r="21" spans="2:18" s="11" customFormat="1" ht="12.75" x14ac:dyDescent="0.25">
      <c r="B21" s="15">
        <v>6</v>
      </c>
      <c r="C21" s="16"/>
      <c r="D21" s="25"/>
      <c r="E21" s="11" t="s">
        <v>7</v>
      </c>
      <c r="F21" s="67">
        <v>1</v>
      </c>
      <c r="G21" s="47">
        <v>1626</v>
      </c>
      <c r="H21" s="27">
        <v>684</v>
      </c>
      <c r="I21" s="28">
        <v>323</v>
      </c>
      <c r="J21" s="48">
        <v>444</v>
      </c>
      <c r="K21" s="49">
        <v>158</v>
      </c>
      <c r="L21" s="50">
        <v>140</v>
      </c>
      <c r="M21" s="29">
        <v>1426</v>
      </c>
      <c r="N21" s="47">
        <v>200</v>
      </c>
      <c r="O21" s="29">
        <v>1626</v>
      </c>
    </row>
    <row r="22" spans="2:18" s="11" customFormat="1" ht="14.25" customHeight="1" x14ac:dyDescent="0.25">
      <c r="B22" s="18">
        <v>7</v>
      </c>
      <c r="C22" s="16"/>
      <c r="D22" s="25"/>
      <c r="E22" s="19" t="s">
        <v>7</v>
      </c>
      <c r="F22" s="20">
        <v>1</v>
      </c>
      <c r="G22" s="47">
        <v>1626</v>
      </c>
      <c r="H22" s="27">
        <v>684</v>
      </c>
      <c r="I22" s="28">
        <v>335</v>
      </c>
      <c r="J22" s="48">
        <v>465</v>
      </c>
      <c r="K22" s="49">
        <v>161</v>
      </c>
      <c r="L22" s="50">
        <v>124</v>
      </c>
      <c r="M22" s="29">
        <v>1434</v>
      </c>
      <c r="N22" s="47">
        <v>192</v>
      </c>
      <c r="O22" s="29">
        <v>1626</v>
      </c>
    </row>
    <row r="23" spans="2:18" s="11" customFormat="1" ht="12.75" x14ac:dyDescent="0.25">
      <c r="B23" s="15">
        <v>9</v>
      </c>
      <c r="C23" s="16"/>
      <c r="D23" s="25"/>
      <c r="E23" s="11" t="s">
        <v>27</v>
      </c>
      <c r="F23" s="10">
        <v>1</v>
      </c>
      <c r="G23" s="47">
        <v>1494</v>
      </c>
      <c r="H23" s="27">
        <v>722</v>
      </c>
      <c r="I23" s="28">
        <v>261</v>
      </c>
      <c r="J23" s="48">
        <v>432</v>
      </c>
      <c r="K23" s="49">
        <v>146</v>
      </c>
      <c r="L23" s="50">
        <v>106</v>
      </c>
      <c r="M23" s="29">
        <v>1406</v>
      </c>
      <c r="N23" s="47">
        <v>88</v>
      </c>
      <c r="O23" s="29">
        <v>1494</v>
      </c>
    </row>
    <row r="24" spans="2:18" s="11" customFormat="1" ht="12.75" x14ac:dyDescent="0.25">
      <c r="B24" s="18">
        <v>10</v>
      </c>
      <c r="C24" s="16"/>
      <c r="D24" s="25"/>
      <c r="E24" s="7" t="s">
        <v>28</v>
      </c>
      <c r="F24" s="43">
        <v>1</v>
      </c>
      <c r="G24" s="51">
        <v>1494</v>
      </c>
      <c r="H24" s="27">
        <v>786</v>
      </c>
      <c r="I24" s="28">
        <v>313</v>
      </c>
      <c r="J24" s="48">
        <v>398</v>
      </c>
      <c r="K24" s="49">
        <v>120</v>
      </c>
      <c r="L24" s="50">
        <v>104</v>
      </c>
      <c r="M24" s="29">
        <v>1408</v>
      </c>
      <c r="N24" s="47">
        <v>86</v>
      </c>
      <c r="O24" s="29">
        <v>1494</v>
      </c>
    </row>
    <row r="25" spans="2:18" s="11" customFormat="1" ht="12.75" x14ac:dyDescent="0.25">
      <c r="B25" s="15">
        <v>11</v>
      </c>
      <c r="C25" s="16"/>
      <c r="D25" s="25"/>
      <c r="E25" s="7" t="s">
        <v>28</v>
      </c>
      <c r="F25" s="43">
        <v>1</v>
      </c>
      <c r="G25" s="51">
        <v>1494</v>
      </c>
      <c r="H25" s="27">
        <v>752</v>
      </c>
      <c r="I25" s="28">
        <v>355</v>
      </c>
      <c r="J25" s="48">
        <v>420</v>
      </c>
      <c r="K25" s="49">
        <v>125</v>
      </c>
      <c r="L25" s="50">
        <v>105</v>
      </c>
      <c r="M25" s="29">
        <v>1402</v>
      </c>
      <c r="N25" s="47">
        <v>92</v>
      </c>
      <c r="O25" s="29">
        <v>1494</v>
      </c>
    </row>
    <row r="26" spans="2:18" s="11" customFormat="1" ht="16.5" customHeight="1" x14ac:dyDescent="0.25">
      <c r="B26" s="18">
        <v>12</v>
      </c>
      <c r="C26" s="16"/>
      <c r="D26" s="25"/>
      <c r="E26" s="19" t="s">
        <v>24</v>
      </c>
      <c r="F26" s="43">
        <v>1</v>
      </c>
      <c r="G26" s="51">
        <v>1494</v>
      </c>
      <c r="H26" s="58">
        <v>770</v>
      </c>
      <c r="I26" s="28">
        <v>329</v>
      </c>
      <c r="J26" s="48">
        <v>382</v>
      </c>
      <c r="K26" s="49">
        <v>122</v>
      </c>
      <c r="L26" s="50">
        <v>108</v>
      </c>
      <c r="M26" s="29">
        <v>1382</v>
      </c>
      <c r="N26" s="47">
        <v>112</v>
      </c>
      <c r="O26" s="29">
        <v>1494</v>
      </c>
    </row>
    <row r="27" spans="2:18" s="11" customFormat="1" ht="16.5" customHeight="1" x14ac:dyDescent="0.25">
      <c r="B27" s="18">
        <v>13</v>
      </c>
      <c r="C27" s="16"/>
      <c r="D27" s="25"/>
      <c r="E27" s="19" t="s">
        <v>7</v>
      </c>
      <c r="F27" s="43">
        <v>1</v>
      </c>
      <c r="G27" s="51">
        <v>1494</v>
      </c>
      <c r="H27" s="58">
        <v>757</v>
      </c>
      <c r="I27" s="28">
        <v>281</v>
      </c>
      <c r="J27" s="48">
        <v>390</v>
      </c>
      <c r="K27" s="49">
        <v>125</v>
      </c>
      <c r="L27" s="50">
        <v>112</v>
      </c>
      <c r="M27" s="29">
        <v>1384</v>
      </c>
      <c r="N27" s="47">
        <v>110</v>
      </c>
      <c r="O27" s="29">
        <v>1494</v>
      </c>
    </row>
    <row r="28" spans="2:18" s="11" customFormat="1" ht="12.75" x14ac:dyDescent="0.25">
      <c r="B28" s="15">
        <v>14</v>
      </c>
      <c r="C28" s="16"/>
      <c r="D28" s="25"/>
      <c r="E28" s="7" t="s">
        <v>7</v>
      </c>
      <c r="F28" s="43">
        <v>1</v>
      </c>
      <c r="G28" s="51">
        <v>1494</v>
      </c>
      <c r="H28" s="27">
        <v>747</v>
      </c>
      <c r="I28" s="28">
        <v>333</v>
      </c>
      <c r="J28" s="48">
        <v>380</v>
      </c>
      <c r="K28" s="49">
        <v>135</v>
      </c>
      <c r="L28" s="50">
        <v>114</v>
      </c>
      <c r="M28" s="29">
        <v>1376</v>
      </c>
      <c r="N28" s="47">
        <v>101</v>
      </c>
      <c r="O28" s="29">
        <v>1494</v>
      </c>
    </row>
    <row r="29" spans="2:18" ht="15.75" thickBot="1" x14ac:dyDescent="0.3">
      <c r="B29" s="18">
        <v>15</v>
      </c>
      <c r="C29" s="16"/>
      <c r="D29" s="25"/>
      <c r="E29" s="26" t="s">
        <v>7</v>
      </c>
      <c r="F29" s="44">
        <v>1</v>
      </c>
      <c r="G29" s="52">
        <v>1494</v>
      </c>
      <c r="H29" s="53">
        <v>730</v>
      </c>
      <c r="I29" s="54">
        <v>305</v>
      </c>
      <c r="J29" s="55">
        <v>384</v>
      </c>
      <c r="K29" s="56">
        <v>140</v>
      </c>
      <c r="L29" s="57">
        <v>118</v>
      </c>
      <c r="M29" s="29">
        <v>1372</v>
      </c>
      <c r="N29" s="52">
        <v>122</v>
      </c>
      <c r="O29" s="29">
        <v>1494</v>
      </c>
    </row>
    <row r="30" spans="2:18" ht="15.75" thickBot="1" x14ac:dyDescent="0.3">
      <c r="B30" s="85" t="s">
        <v>22</v>
      </c>
      <c r="C30" s="86"/>
      <c r="D30" s="86"/>
      <c r="E30" s="86"/>
      <c r="F30" s="87"/>
      <c r="G30" s="22"/>
      <c r="H30" s="24">
        <f t="shared" ref="H30:N30" si="1">SUM(H15:H29)</f>
        <v>10116</v>
      </c>
      <c r="I30" s="24">
        <f t="shared" si="1"/>
        <v>4748</v>
      </c>
      <c r="J30" s="24">
        <f t="shared" si="1"/>
        <v>5984</v>
      </c>
      <c r="K30" s="24">
        <f t="shared" si="1"/>
        <v>2023</v>
      </c>
      <c r="L30" s="24">
        <f t="shared" si="1"/>
        <v>1625</v>
      </c>
      <c r="M30" s="24">
        <f t="shared" si="1"/>
        <v>19748</v>
      </c>
      <c r="N30" s="24">
        <f t="shared" si="1"/>
        <v>2075</v>
      </c>
      <c r="O30" s="24"/>
    </row>
    <row r="32" spans="2:18" s="3" customFormat="1" ht="31.5" customHeight="1" x14ac:dyDescent="0.3">
      <c r="B32" s="80" t="s">
        <v>29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</row>
    <row r="36" spans="3:9" x14ac:dyDescent="0.25">
      <c r="H36" s="21"/>
      <c r="I36" s="21"/>
    </row>
    <row r="39" spans="3:9" x14ac:dyDescent="0.25">
      <c r="C39" s="23"/>
      <c r="D39" s="23"/>
    </row>
  </sheetData>
  <mergeCells count="18">
    <mergeCell ref="H12:L12"/>
    <mergeCell ref="M12:M13"/>
    <mergeCell ref="N12:N13"/>
    <mergeCell ref="O12:O13"/>
    <mergeCell ref="B32:O32"/>
    <mergeCell ref="B3:E3"/>
    <mergeCell ref="M3:O3"/>
    <mergeCell ref="B5:E5"/>
    <mergeCell ref="M5:O5"/>
    <mergeCell ref="B7:E7"/>
    <mergeCell ref="M7:O7"/>
    <mergeCell ref="B30:F30"/>
    <mergeCell ref="B8:E8"/>
    <mergeCell ref="M8:O8"/>
    <mergeCell ref="B10:O10"/>
    <mergeCell ref="B12:B13"/>
    <mergeCell ref="C12:F12"/>
    <mergeCell ref="G12:G13"/>
  </mergeCells>
  <conditionalFormatting sqref="D15:D29">
    <cfRule type="cellIs" dxfId="8" priority="8" stopIfTrue="1" operator="equal">
      <formula>0</formula>
    </cfRule>
  </conditionalFormatting>
  <pageMargins left="0.25" right="0.25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cp:lastPrinted>2024-06-25T11:47:22Z</cp:lastPrinted>
  <dcterms:created xsi:type="dcterms:W3CDTF">2018-06-27T13:20:03Z</dcterms:created>
  <dcterms:modified xsi:type="dcterms:W3CDTF">2024-07-01T09:56:40Z</dcterms:modified>
</cp:coreProperties>
</file>