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Работа\2 курс\"/>
    </mc:Choice>
  </mc:AlternateContent>
  <bookViews>
    <workbookView xWindow="240" yWindow="315" windowWidth="16605" windowHeight="7695"/>
  </bookViews>
  <sheets>
    <sheet name="ведомость" sheetId="18" r:id="rId1"/>
  </sheets>
  <definedNames>
    <definedName name="_xlnm.Print_Area" localSheetId="0">ведомость!$A$1:$J$24</definedName>
  </definedNames>
  <calcPr calcId="152511"/>
</workbook>
</file>

<file path=xl/calcChain.xml><?xml version="1.0" encoding="utf-8"?>
<calcChain xmlns="http://schemas.openxmlformats.org/spreadsheetml/2006/main">
  <c r="AD66" i="18" l="1"/>
  <c r="AC66" i="18"/>
  <c r="AB66" i="18"/>
  <c r="AA66" i="18"/>
  <c r="Z66" i="18"/>
  <c r="Y66" i="18"/>
  <c r="X66" i="18"/>
  <c r="W66" i="18"/>
  <c r="AA95" i="18" l="1"/>
  <c r="Y68" i="18"/>
  <c r="D9" i="18" l="1"/>
  <c r="D10" i="18"/>
  <c r="D11" i="18"/>
  <c r="D12" i="18"/>
  <c r="D13" i="18"/>
  <c r="D14" i="18"/>
  <c r="D15" i="18"/>
  <c r="D16" i="18"/>
  <c r="D8" i="18"/>
  <c r="AE39" i="18" l="1"/>
  <c r="AE40" i="18" s="1"/>
  <c r="AE20" i="18"/>
  <c r="AC39" i="18" l="1"/>
  <c r="AC40" i="18" s="1"/>
  <c r="AD39" i="18"/>
  <c r="AD40" i="18" s="1"/>
  <c r="AF39" i="18"/>
  <c r="AF40" i="18" s="1"/>
  <c r="AG39" i="18"/>
  <c r="AH39" i="18"/>
  <c r="AH40" i="18" s="1"/>
  <c r="AI39" i="18"/>
  <c r="AI40" i="18" s="1"/>
  <c r="AB43" i="18"/>
  <c r="AC43" i="18"/>
  <c r="AD43" i="18"/>
  <c r="AE43" i="18"/>
  <c r="AF43" i="18"/>
  <c r="AG43" i="18"/>
  <c r="AH43" i="18"/>
  <c r="AI43" i="18"/>
  <c r="AJ43" i="18"/>
  <c r="AJ39" i="18"/>
  <c r="AJ40" i="18" s="1"/>
  <c r="AB39" i="18"/>
  <c r="AK31" i="18"/>
  <c r="AK32" i="18"/>
  <c r="AK33" i="18"/>
  <c r="AK34" i="18"/>
  <c r="AK35" i="18"/>
  <c r="AK36" i="18"/>
  <c r="AK37" i="18"/>
  <c r="AK38" i="18"/>
  <c r="AK30" i="18"/>
  <c r="AK9" i="18"/>
  <c r="AK10" i="18"/>
  <c r="AK11" i="18"/>
  <c r="AK12" i="18"/>
  <c r="AK13" i="18"/>
  <c r="AK14" i="18"/>
  <c r="AK15" i="18"/>
  <c r="AK16" i="18"/>
  <c r="AJ42" i="18"/>
  <c r="AI42" i="18"/>
  <c r="AD42" i="18"/>
  <c r="AC42" i="18"/>
  <c r="AB42" i="18"/>
  <c r="AJ41" i="18"/>
  <c r="AI41" i="18"/>
  <c r="AH41" i="18"/>
  <c r="AG41" i="18"/>
  <c r="AF41" i="18"/>
  <c r="AE41" i="18"/>
  <c r="AD41" i="18"/>
  <c r="AC41" i="18"/>
  <c r="AB41" i="18"/>
  <c r="AA38" i="18"/>
  <c r="AA37" i="18"/>
  <c r="AA36" i="18"/>
  <c r="AA35" i="18"/>
  <c r="AA34" i="18"/>
  <c r="AA33" i="18"/>
  <c r="AA32" i="18"/>
  <c r="AA31" i="18"/>
  <c r="AA30" i="18"/>
  <c r="AK8" i="18"/>
  <c r="AJ21" i="18"/>
  <c r="AI21" i="18"/>
  <c r="AH21" i="18"/>
  <c r="AJ20" i="18"/>
  <c r="AI20" i="18"/>
  <c r="AJ19" i="18"/>
  <c r="AI19" i="18"/>
  <c r="AH19" i="18"/>
  <c r="AJ18" i="18"/>
  <c r="AI18" i="18"/>
  <c r="AH18" i="18"/>
  <c r="AJ17" i="18"/>
  <c r="AI17" i="18"/>
  <c r="AH17" i="18"/>
  <c r="AG21" i="18"/>
  <c r="AF21" i="18"/>
  <c r="AE21" i="18"/>
  <c r="AD21" i="18"/>
  <c r="AC21" i="18"/>
  <c r="AB21" i="18"/>
  <c r="AD20" i="18"/>
  <c r="AC20" i="18"/>
  <c r="AB20" i="18"/>
  <c r="AG19" i="18"/>
  <c r="AF19" i="18"/>
  <c r="AE19" i="18"/>
  <c r="AD19" i="18"/>
  <c r="AC19" i="18"/>
  <c r="AB19" i="18"/>
  <c r="AG18" i="18"/>
  <c r="AF18" i="18"/>
  <c r="AE18" i="18"/>
  <c r="AD18" i="18"/>
  <c r="AC18" i="18"/>
  <c r="AB18" i="18"/>
  <c r="AG17" i="18"/>
  <c r="AG20" i="18" s="1"/>
  <c r="AF17" i="18"/>
  <c r="AF20" i="18" s="1"/>
  <c r="AE17" i="18"/>
  <c r="AD17" i="18"/>
  <c r="AC17" i="18"/>
  <c r="AB17" i="18"/>
  <c r="AA16" i="18"/>
  <c r="AA15" i="18"/>
  <c r="AA14" i="18"/>
  <c r="AA13" i="18"/>
  <c r="AA12" i="18"/>
  <c r="AA11" i="18"/>
  <c r="AA10" i="18"/>
  <c r="AA9" i="18"/>
  <c r="AA8" i="18"/>
  <c r="AL131" i="18"/>
  <c r="AL132" i="18"/>
  <c r="AL130" i="18"/>
  <c r="AK137" i="18"/>
  <c r="AJ137" i="18"/>
  <c r="AI137" i="18"/>
  <c r="AH137" i="18"/>
  <c r="AG137" i="18"/>
  <c r="AF137" i="18"/>
  <c r="AE137" i="18"/>
  <c r="AK136" i="18"/>
  <c r="AJ136" i="18"/>
  <c r="AI136" i="18"/>
  <c r="AH136" i="18"/>
  <c r="AG136" i="18"/>
  <c r="AF136" i="18"/>
  <c r="AE136" i="18"/>
  <c r="AG135" i="18"/>
  <c r="AE135" i="18"/>
  <c r="AH134" i="18"/>
  <c r="AF134" i="18"/>
  <c r="AE134" i="18"/>
  <c r="AK133" i="18"/>
  <c r="AJ133" i="18"/>
  <c r="AI133" i="18"/>
  <c r="AH133" i="18"/>
  <c r="AH135" i="18" s="1"/>
  <c r="AG133" i="18"/>
  <c r="AG134" i="18" s="1"/>
  <c r="AF133" i="18"/>
  <c r="AE133" i="18"/>
  <c r="AD132" i="18"/>
  <c r="AD131" i="18"/>
  <c r="AD130" i="18"/>
  <c r="AG115" i="18"/>
  <c r="AH115" i="18"/>
  <c r="AI115" i="18"/>
  <c r="AJ115" i="18"/>
  <c r="AK115" i="18"/>
  <c r="AL115" i="18"/>
  <c r="AM115" i="18"/>
  <c r="AA41" i="18" l="1"/>
  <c r="AG40" i="18"/>
  <c r="AG42" i="18"/>
  <c r="AA43" i="18"/>
  <c r="AA39" i="18"/>
  <c r="AB40" i="18"/>
  <c r="AA40" i="18" s="1"/>
  <c r="AA17" i="18"/>
  <c r="AA18" i="18"/>
  <c r="AA19" i="18"/>
  <c r="AH20" i="18"/>
  <c r="AA20" i="18" s="1"/>
  <c r="AH42" i="18"/>
  <c r="AA21" i="18"/>
  <c r="AF135" i="18"/>
  <c r="AD136" i="18"/>
  <c r="AD133" i="18"/>
  <c r="AD137" i="18"/>
  <c r="AJ134" i="18"/>
  <c r="AJ135" i="18" s="1"/>
  <c r="AI134" i="18"/>
  <c r="AK134" i="18"/>
  <c r="AK135" i="18" s="1"/>
  <c r="AN106" i="18"/>
  <c r="AN107" i="18"/>
  <c r="AN108" i="18"/>
  <c r="AN109" i="18"/>
  <c r="AN110" i="18"/>
  <c r="AN111" i="18"/>
  <c r="AN112" i="18"/>
  <c r="AN113" i="18"/>
  <c r="AN114" i="18"/>
  <c r="AN105" i="18"/>
  <c r="AE105" i="18"/>
  <c r="AM119" i="18"/>
  <c r="AL119" i="18"/>
  <c r="AK119" i="18"/>
  <c r="AJ119" i="18"/>
  <c r="AI119" i="18"/>
  <c r="AH119" i="18"/>
  <c r="AG119" i="18"/>
  <c r="AF119" i="18"/>
  <c r="AM118" i="18"/>
  <c r="AL118" i="18"/>
  <c r="AK118" i="18"/>
  <c r="AJ118" i="18"/>
  <c r="AI118" i="18"/>
  <c r="AH118" i="18"/>
  <c r="AG118" i="18"/>
  <c r="AF118" i="18"/>
  <c r="AM117" i="18"/>
  <c r="AL117" i="18"/>
  <c r="AK117" i="18"/>
  <c r="AJ117" i="18"/>
  <c r="AI117" i="18"/>
  <c r="AH117" i="18"/>
  <c r="AG117" i="18"/>
  <c r="AF117" i="18"/>
  <c r="AM116" i="18"/>
  <c r="AL116" i="18"/>
  <c r="AK116" i="18"/>
  <c r="AJ116" i="18"/>
  <c r="AI116" i="18"/>
  <c r="AH116" i="18"/>
  <c r="AG116" i="18"/>
  <c r="AF116" i="18"/>
  <c r="AF115" i="18"/>
  <c r="AE114" i="18"/>
  <c r="AE113" i="18"/>
  <c r="AE112" i="18"/>
  <c r="AE111" i="18"/>
  <c r="AE110" i="18"/>
  <c r="AE109" i="18"/>
  <c r="AE108" i="18"/>
  <c r="AE107" i="18"/>
  <c r="AE106" i="18"/>
  <c r="AN80" i="18"/>
  <c r="AN81" i="18"/>
  <c r="AN82" i="18"/>
  <c r="AN83" i="18"/>
  <c r="AN84" i="18"/>
  <c r="AN85" i="18"/>
  <c r="AN86" i="18"/>
  <c r="AN87" i="18"/>
  <c r="AN88" i="18"/>
  <c r="AN89" i="18"/>
  <c r="AN90" i="18"/>
  <c r="AN79" i="18"/>
  <c r="AD134" i="18" l="1"/>
  <c r="AI135" i="18"/>
  <c r="AD135" i="18" s="1"/>
  <c r="AE119" i="18"/>
  <c r="AE116" i="18"/>
  <c r="AE117" i="18"/>
  <c r="AE118" i="18"/>
  <c r="AE115" i="18"/>
  <c r="AN52" i="18"/>
  <c r="AN53" i="18"/>
  <c r="AN54" i="18"/>
  <c r="AN55" i="18"/>
  <c r="AN56" i="18"/>
  <c r="AN57" i="18"/>
  <c r="AN58" i="18"/>
  <c r="AN59" i="18"/>
  <c r="AN60" i="18"/>
  <c r="AN61" i="18"/>
  <c r="AN62" i="18"/>
  <c r="AN63" i="18"/>
  <c r="AN51" i="18"/>
  <c r="AE51" i="18"/>
  <c r="AN68" i="18" l="1"/>
  <c r="AM95" i="18"/>
  <c r="AL95" i="18"/>
  <c r="AK95" i="18"/>
  <c r="AJ95" i="18"/>
  <c r="AI95" i="18"/>
  <c r="AH95" i="18"/>
  <c r="AG95" i="18"/>
  <c r="AF95" i="18"/>
  <c r="AM94" i="18"/>
  <c r="AL94" i="18"/>
  <c r="AK94" i="18"/>
  <c r="AJ94" i="18"/>
  <c r="AI94" i="18"/>
  <c r="AH94" i="18"/>
  <c r="AG94" i="18"/>
  <c r="AF94" i="18"/>
  <c r="AM93" i="18"/>
  <c r="AL93" i="18"/>
  <c r="AK93" i="18"/>
  <c r="AJ93" i="18"/>
  <c r="AI93" i="18"/>
  <c r="AH93" i="18"/>
  <c r="AG93" i="18"/>
  <c r="AF93" i="18"/>
  <c r="AM92" i="18"/>
  <c r="AL92" i="18"/>
  <c r="AK92" i="18"/>
  <c r="AJ92" i="18"/>
  <c r="AI92" i="18"/>
  <c r="AH92" i="18"/>
  <c r="AG92" i="18"/>
  <c r="AF92" i="18"/>
  <c r="AM91" i="18"/>
  <c r="AL91" i="18"/>
  <c r="AK91" i="18"/>
  <c r="AJ91" i="18"/>
  <c r="AI91" i="18"/>
  <c r="AH91" i="18"/>
  <c r="AG91" i="18"/>
  <c r="AF91" i="18"/>
  <c r="AE90" i="18"/>
  <c r="AE89" i="18"/>
  <c r="AE88" i="18"/>
  <c r="AE87" i="18"/>
  <c r="AE86" i="18"/>
  <c r="AE85" i="18"/>
  <c r="AE84" i="18"/>
  <c r="AE83" i="18"/>
  <c r="AE82" i="18"/>
  <c r="AE81" i="18"/>
  <c r="AE80" i="18"/>
  <c r="AE79" i="18"/>
  <c r="AG68" i="18"/>
  <c r="AH68" i="18"/>
  <c r="AI68" i="18"/>
  <c r="AJ68" i="18"/>
  <c r="AK68" i="18"/>
  <c r="AL68" i="18"/>
  <c r="AM68" i="18"/>
  <c r="AG64" i="18"/>
  <c r="AH64" i="18"/>
  <c r="AI64" i="18"/>
  <c r="AJ64" i="18"/>
  <c r="AK64" i="18"/>
  <c r="AL64" i="18"/>
  <c r="AM64" i="18"/>
  <c r="AF65" i="18"/>
  <c r="AF66" i="18"/>
  <c r="AF67" i="18"/>
  <c r="AG66" i="18"/>
  <c r="AH66" i="18"/>
  <c r="AI66" i="18"/>
  <c r="AJ66" i="18"/>
  <c r="AK66" i="18"/>
  <c r="AL66" i="18"/>
  <c r="AM66" i="18"/>
  <c r="AG65" i="18"/>
  <c r="AH65" i="18"/>
  <c r="AI65" i="18"/>
  <c r="AJ65" i="18"/>
  <c r="AK65" i="18"/>
  <c r="AL65" i="18"/>
  <c r="AM65" i="18"/>
  <c r="AE95" i="18" l="1"/>
  <c r="AE92" i="18"/>
  <c r="AE93" i="18"/>
  <c r="AE94" i="18"/>
  <c r="AE91" i="18"/>
  <c r="AF64" i="18"/>
  <c r="AD64" i="18"/>
  <c r="AF68" i="18"/>
  <c r="AM67" i="18"/>
  <c r="AL67" i="18"/>
  <c r="AK67" i="18"/>
  <c r="AJ67" i="18"/>
  <c r="AI67" i="18"/>
  <c r="AH67" i="18"/>
  <c r="AG67" i="18"/>
  <c r="AE63" i="18"/>
  <c r="AE62" i="18"/>
  <c r="AE61" i="18"/>
  <c r="AE60" i="18"/>
  <c r="AE59" i="18"/>
  <c r="AE58" i="18"/>
  <c r="AE57" i="18"/>
  <c r="AE56" i="18"/>
  <c r="AE55" i="18"/>
  <c r="AE54" i="18"/>
  <c r="AE53" i="18"/>
  <c r="AE52" i="18"/>
  <c r="AE64" i="18" l="1"/>
  <c r="AE65" i="18"/>
  <c r="AE66" i="18"/>
  <c r="AE67" i="18"/>
  <c r="AE68" i="18"/>
  <c r="Y95" i="18"/>
  <c r="E66" i="18" l="1"/>
  <c r="F66" i="18"/>
  <c r="G66" i="18"/>
  <c r="H66" i="18"/>
  <c r="I66" i="18"/>
  <c r="J66" i="18"/>
  <c r="Z134" i="18" l="1"/>
  <c r="X134" i="18"/>
  <c r="W134" i="18"/>
  <c r="Y135" i="18"/>
  <c r="Z91" i="18" l="1"/>
  <c r="X95" i="18" l="1"/>
  <c r="W68" i="18" l="1"/>
  <c r="U137" i="18" l="1"/>
  <c r="T135" i="18"/>
  <c r="U135" i="18"/>
  <c r="U134" i="18"/>
  <c r="U133" i="18"/>
  <c r="T137" i="18"/>
  <c r="T134" i="18"/>
  <c r="T133" i="18"/>
  <c r="U95" i="18"/>
  <c r="U94" i="18"/>
  <c r="U93" i="18"/>
  <c r="U92" i="18"/>
  <c r="U91" i="18"/>
  <c r="T95" i="18"/>
  <c r="T94" i="18"/>
  <c r="T93" i="18"/>
  <c r="T92" i="18"/>
  <c r="T91" i="18"/>
  <c r="U67" i="18"/>
  <c r="U66" i="18"/>
  <c r="U65" i="18"/>
  <c r="U64" i="18"/>
  <c r="T68" i="18"/>
  <c r="T67" i="18"/>
  <c r="T66" i="18"/>
  <c r="T65" i="18"/>
  <c r="T64" i="18"/>
  <c r="T119" i="18"/>
  <c r="T118" i="18"/>
  <c r="T117" i="18"/>
  <c r="T116" i="18"/>
  <c r="T115" i="18"/>
  <c r="T136" i="18" l="1"/>
  <c r="T15" i="18"/>
  <c r="K8" i="18" l="1"/>
  <c r="T8" i="18"/>
  <c r="K9" i="18"/>
  <c r="T9" i="18"/>
  <c r="K10" i="18"/>
  <c r="T10" i="18"/>
  <c r="K11" i="18"/>
  <c r="T11" i="18"/>
  <c r="K12" i="18"/>
  <c r="T12" i="18"/>
  <c r="K13" i="18"/>
  <c r="T13" i="18"/>
  <c r="K14" i="18"/>
  <c r="T14" i="18"/>
  <c r="K15" i="18"/>
  <c r="K16" i="18"/>
  <c r="T16" i="18"/>
  <c r="E17" i="18"/>
  <c r="F17" i="18"/>
  <c r="G17" i="18"/>
  <c r="H17" i="18"/>
  <c r="I17" i="18"/>
  <c r="J17" i="18"/>
  <c r="L17" i="18"/>
  <c r="M17" i="18"/>
  <c r="N17" i="18"/>
  <c r="O17" i="18"/>
  <c r="P17" i="18"/>
  <c r="Q17" i="18"/>
  <c r="R17" i="18"/>
  <c r="S17" i="18"/>
  <c r="U17" i="18"/>
  <c r="V17" i="18"/>
  <c r="W17" i="18"/>
  <c r="X17" i="18"/>
  <c r="X20" i="18" s="1"/>
  <c r="Y17" i="18"/>
  <c r="Y20" i="18" s="1"/>
  <c r="Z17" i="18"/>
  <c r="Z20" i="18" s="1"/>
  <c r="E18" i="18"/>
  <c r="F18" i="18"/>
  <c r="G18" i="18"/>
  <c r="H18" i="18"/>
  <c r="I18" i="18"/>
  <c r="J18" i="18"/>
  <c r="L18" i="18"/>
  <c r="M18" i="18"/>
  <c r="N18" i="18"/>
  <c r="O18" i="18"/>
  <c r="P18" i="18"/>
  <c r="Q18" i="18"/>
  <c r="R18" i="18"/>
  <c r="S18" i="18"/>
  <c r="U18" i="18"/>
  <c r="V18" i="18"/>
  <c r="W18" i="18"/>
  <c r="X18" i="18"/>
  <c r="Y18" i="18"/>
  <c r="Z18" i="18"/>
  <c r="E19" i="18"/>
  <c r="F19" i="18"/>
  <c r="G19" i="18"/>
  <c r="H19" i="18"/>
  <c r="I19" i="18"/>
  <c r="J19" i="18"/>
  <c r="L19" i="18"/>
  <c r="M19" i="18"/>
  <c r="N19" i="18"/>
  <c r="O19" i="18"/>
  <c r="P19" i="18"/>
  <c r="Q19" i="18"/>
  <c r="R19" i="18"/>
  <c r="S19" i="18"/>
  <c r="U19" i="18"/>
  <c r="V19" i="18"/>
  <c r="W19" i="18"/>
  <c r="X19" i="18"/>
  <c r="Y19" i="18"/>
  <c r="Z19" i="18"/>
  <c r="E20" i="18"/>
  <c r="F20" i="18"/>
  <c r="G20" i="18"/>
  <c r="H20" i="18"/>
  <c r="I20" i="18"/>
  <c r="J20" i="18"/>
  <c r="L20" i="18"/>
  <c r="M20" i="18"/>
  <c r="N20" i="18"/>
  <c r="O20" i="18"/>
  <c r="P20" i="18"/>
  <c r="Q20" i="18"/>
  <c r="R20" i="18"/>
  <c r="S20" i="18"/>
  <c r="U20" i="18"/>
  <c r="V20" i="18"/>
  <c r="W20" i="18"/>
  <c r="E21" i="18"/>
  <c r="F21" i="18"/>
  <c r="G21" i="18"/>
  <c r="H21" i="18"/>
  <c r="I21" i="18"/>
  <c r="J21" i="18"/>
  <c r="L21" i="18"/>
  <c r="M21" i="18"/>
  <c r="N21" i="18"/>
  <c r="O21" i="18"/>
  <c r="P21" i="18"/>
  <c r="Q21" i="18"/>
  <c r="R21" i="18"/>
  <c r="S21" i="18"/>
  <c r="U21" i="18"/>
  <c r="V21" i="18"/>
  <c r="W21" i="18"/>
  <c r="X21" i="18"/>
  <c r="Y21" i="18"/>
  <c r="Z21" i="18"/>
  <c r="K21" i="18" l="1"/>
  <c r="AK19" i="18"/>
  <c r="AK18" i="18"/>
  <c r="AK17" i="18"/>
  <c r="T20" i="18"/>
  <c r="T18" i="18"/>
  <c r="AK20" i="18"/>
  <c r="T21" i="18"/>
  <c r="D21" i="18"/>
  <c r="AK21" i="18"/>
  <c r="T19" i="18"/>
  <c r="D20" i="18"/>
  <c r="K19" i="18"/>
  <c r="D18" i="18"/>
  <c r="K17" i="18"/>
  <c r="K20" i="18"/>
  <c r="D19" i="18"/>
  <c r="K18" i="18"/>
  <c r="T17" i="18"/>
  <c r="D17" i="18"/>
  <c r="T30" i="18"/>
  <c r="T31" i="18"/>
  <c r="T32" i="18"/>
  <c r="T33" i="18"/>
  <c r="T34" i="18"/>
  <c r="T35" i="18"/>
  <c r="T36" i="18"/>
  <c r="T37" i="18"/>
  <c r="T38" i="18"/>
  <c r="U68" i="18"/>
  <c r="U136" i="18"/>
  <c r="AA137" i="18"/>
  <c r="Q39" i="18"/>
  <c r="Q40" i="18"/>
  <c r="Q41" i="18"/>
  <c r="Q42" i="18"/>
  <c r="Q43" i="18"/>
  <c r="Q64" i="18"/>
  <c r="Q65" i="18"/>
  <c r="Q66" i="18"/>
  <c r="Q67" i="18"/>
  <c r="Q68" i="18"/>
  <c r="Q91" i="18"/>
  <c r="Q92" i="18"/>
  <c r="Q93" i="18"/>
  <c r="Q94" i="18"/>
  <c r="Q95" i="18"/>
  <c r="Q115" i="18"/>
  <c r="Q116" i="18"/>
  <c r="Q117" i="18"/>
  <c r="Q118" i="18"/>
  <c r="Q119" i="18"/>
  <c r="Q133" i="18"/>
  <c r="Q134" i="18"/>
  <c r="Q135" i="18"/>
  <c r="Q136" i="18"/>
  <c r="Q137" i="18"/>
  <c r="S64" i="18"/>
  <c r="T43" i="18" l="1"/>
  <c r="V52" i="18"/>
  <c r="V53" i="18"/>
  <c r="V54" i="18"/>
  <c r="V55" i="18"/>
  <c r="V56" i="18"/>
  <c r="V57" i="18"/>
  <c r="V58" i="18"/>
  <c r="V59" i="18"/>
  <c r="V60" i="18"/>
  <c r="V61" i="18"/>
  <c r="V62" i="18"/>
  <c r="V63" i="18"/>
  <c r="V51" i="18"/>
  <c r="X68" i="18"/>
  <c r="Z68" i="18"/>
  <c r="AA68" i="18"/>
  <c r="AB68" i="18"/>
  <c r="AC68" i="18"/>
  <c r="AD68" i="18"/>
  <c r="X67" i="18"/>
  <c r="Y67" i="18"/>
  <c r="Z67" i="18"/>
  <c r="AA67" i="18"/>
  <c r="AB67" i="18"/>
  <c r="AC67" i="18"/>
  <c r="AD67" i="18"/>
  <c r="X65" i="18"/>
  <c r="Y65" i="18"/>
  <c r="Z65" i="18"/>
  <c r="AA65" i="18"/>
  <c r="AB65" i="18"/>
  <c r="AC65" i="18"/>
  <c r="AD65" i="18"/>
  <c r="X64" i="18"/>
  <c r="Y64" i="18"/>
  <c r="Z64" i="18"/>
  <c r="AA64" i="18"/>
  <c r="AB64" i="18"/>
  <c r="AC64" i="18"/>
  <c r="W67" i="18"/>
  <c r="W65" i="18"/>
  <c r="W64" i="18"/>
  <c r="V65" i="18" l="1"/>
  <c r="V67" i="18"/>
  <c r="V66" i="18"/>
  <c r="V68" i="18"/>
  <c r="V64" i="18"/>
  <c r="Z95" i="18"/>
  <c r="AB95" i="18"/>
  <c r="AC95" i="18"/>
  <c r="AD95" i="18"/>
  <c r="W95" i="18"/>
  <c r="V80" i="18"/>
  <c r="V81" i="18"/>
  <c r="V82" i="18"/>
  <c r="V83" i="18"/>
  <c r="V84" i="18"/>
  <c r="V85" i="18"/>
  <c r="V86" i="18"/>
  <c r="V87" i="18"/>
  <c r="V88" i="18"/>
  <c r="V89" i="18"/>
  <c r="V90" i="18"/>
  <c r="V79" i="18"/>
  <c r="X94" i="18"/>
  <c r="Y94" i="18"/>
  <c r="Z94" i="18"/>
  <c r="AA94" i="18"/>
  <c r="AB94" i="18"/>
  <c r="AC94" i="18"/>
  <c r="AD94" i="18"/>
  <c r="X93" i="18"/>
  <c r="Y93" i="18"/>
  <c r="Z93" i="18"/>
  <c r="AA93" i="18"/>
  <c r="AB93" i="18"/>
  <c r="AC93" i="18"/>
  <c r="AD93" i="18"/>
  <c r="X92" i="18"/>
  <c r="Y92" i="18"/>
  <c r="Z92" i="18"/>
  <c r="AA92" i="18"/>
  <c r="AB92" i="18"/>
  <c r="AC92" i="18"/>
  <c r="AD92" i="18"/>
  <c r="X91" i="18"/>
  <c r="Y91" i="18"/>
  <c r="AA91" i="18"/>
  <c r="AB91" i="18"/>
  <c r="AC91" i="18"/>
  <c r="AD91" i="18"/>
  <c r="W93" i="18"/>
  <c r="W92" i="18"/>
  <c r="W91" i="18"/>
  <c r="W94" i="18"/>
  <c r="W136" i="18"/>
  <c r="W135" i="18"/>
  <c r="W133" i="18"/>
  <c r="X119" i="18"/>
  <c r="Y119" i="18"/>
  <c r="Z119" i="18"/>
  <c r="AA119" i="18"/>
  <c r="AB119" i="18"/>
  <c r="AC119" i="18"/>
  <c r="AD119" i="18"/>
  <c r="V106" i="18"/>
  <c r="V107" i="18"/>
  <c r="V108" i="18"/>
  <c r="V109" i="18"/>
  <c r="V110" i="18"/>
  <c r="V111" i="18"/>
  <c r="V112" i="18"/>
  <c r="V113" i="18"/>
  <c r="V114" i="18"/>
  <c r="V105" i="18"/>
  <c r="X118" i="18"/>
  <c r="Y118" i="18"/>
  <c r="Z118" i="18"/>
  <c r="AA118" i="18"/>
  <c r="AB118" i="18"/>
  <c r="AC118" i="18"/>
  <c r="AD118" i="18"/>
  <c r="X117" i="18"/>
  <c r="Y117" i="18"/>
  <c r="Z117" i="18"/>
  <c r="AA117" i="18"/>
  <c r="AB117" i="18"/>
  <c r="AC117" i="18"/>
  <c r="AD117" i="18"/>
  <c r="X116" i="18"/>
  <c r="Y116" i="18"/>
  <c r="Z116" i="18"/>
  <c r="AA116" i="18"/>
  <c r="AB116" i="18"/>
  <c r="AC116" i="18"/>
  <c r="AD116" i="18"/>
  <c r="W119" i="18"/>
  <c r="W118" i="18"/>
  <c r="W117" i="18"/>
  <c r="W116" i="18"/>
  <c r="X115" i="18"/>
  <c r="Y115" i="18"/>
  <c r="Z115" i="18"/>
  <c r="AA115" i="18"/>
  <c r="AB115" i="18"/>
  <c r="AC115" i="18"/>
  <c r="AD115" i="18"/>
  <c r="W115" i="18"/>
  <c r="X137" i="18"/>
  <c r="Y137" i="18"/>
  <c r="Z137" i="18"/>
  <c r="AB137" i="18"/>
  <c r="AC137" i="18"/>
  <c r="W137" i="18"/>
  <c r="X136" i="18"/>
  <c r="Y136" i="18"/>
  <c r="Z136" i="18"/>
  <c r="AA136" i="18"/>
  <c r="AB136" i="18"/>
  <c r="AC136" i="18"/>
  <c r="X133" i="18"/>
  <c r="Y133" i="18"/>
  <c r="Y134" i="18" s="1"/>
  <c r="Z133" i="18"/>
  <c r="AA133" i="18"/>
  <c r="AB133" i="18"/>
  <c r="AB134" i="18" s="1"/>
  <c r="AB135" i="18" s="1"/>
  <c r="AC133" i="18"/>
  <c r="V131" i="18"/>
  <c r="V132" i="18"/>
  <c r="V130" i="18"/>
  <c r="V119" i="18" l="1"/>
  <c r="V95" i="18"/>
  <c r="V94" i="18"/>
  <c r="V92" i="18"/>
  <c r="V93" i="18"/>
  <c r="AC134" i="18"/>
  <c r="AC135" i="18" s="1"/>
  <c r="AA134" i="18"/>
  <c r="AA135" i="18" s="1"/>
  <c r="V91" i="18"/>
  <c r="V116" i="18"/>
  <c r="V118" i="18"/>
  <c r="V115" i="18"/>
  <c r="V117" i="18"/>
  <c r="V133" i="18"/>
  <c r="V136" i="18"/>
  <c r="Z135" i="18"/>
  <c r="X135" i="18"/>
  <c r="V137" i="18"/>
  <c r="V134" i="18" l="1"/>
  <c r="V135" i="18"/>
  <c r="Z43" i="18"/>
  <c r="Y43" i="18"/>
  <c r="X43" i="18"/>
  <c r="W43" i="18"/>
  <c r="V43" i="18"/>
  <c r="U43" i="18"/>
  <c r="X42" i="18"/>
  <c r="W42" i="18"/>
  <c r="V42" i="18"/>
  <c r="U42" i="18"/>
  <c r="Z41" i="18"/>
  <c r="Y41" i="18"/>
  <c r="X41" i="18"/>
  <c r="W41" i="18"/>
  <c r="V41" i="18"/>
  <c r="U41" i="18"/>
  <c r="Z40" i="18"/>
  <c r="Y40" i="18"/>
  <c r="X40" i="18"/>
  <c r="W40" i="18"/>
  <c r="V40" i="18"/>
  <c r="U40" i="18"/>
  <c r="Z39" i="18"/>
  <c r="Z42" i="18" s="1"/>
  <c r="Y39" i="18"/>
  <c r="Y42" i="18" s="1"/>
  <c r="X39" i="18"/>
  <c r="W39" i="18"/>
  <c r="V39" i="18"/>
  <c r="U39" i="18"/>
  <c r="T39" i="18" l="1"/>
  <c r="T40" i="18"/>
  <c r="T41" i="18"/>
  <c r="T42" i="18"/>
  <c r="D30" i="18"/>
  <c r="D31" i="18"/>
  <c r="F43" i="18" l="1"/>
  <c r="L131" i="18" l="1"/>
  <c r="L132" i="18"/>
  <c r="L130" i="18"/>
  <c r="K106" i="18"/>
  <c r="K107" i="18"/>
  <c r="K108" i="18"/>
  <c r="K109" i="18"/>
  <c r="K110" i="18"/>
  <c r="K111" i="18"/>
  <c r="K112" i="18"/>
  <c r="K113" i="18"/>
  <c r="K114" i="18"/>
  <c r="K105" i="18"/>
  <c r="K80" i="18"/>
  <c r="K81" i="18"/>
  <c r="K82" i="18"/>
  <c r="K83" i="18"/>
  <c r="K84" i="18"/>
  <c r="K85" i="18"/>
  <c r="K86" i="18"/>
  <c r="K87" i="18"/>
  <c r="K88" i="18"/>
  <c r="K89" i="18"/>
  <c r="K90" i="18"/>
  <c r="K79" i="18"/>
  <c r="K31" i="18"/>
  <c r="K32" i="18"/>
  <c r="K33" i="18"/>
  <c r="K34" i="18"/>
  <c r="K35" i="18"/>
  <c r="K36" i="18"/>
  <c r="K37" i="18"/>
  <c r="K38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51" i="18"/>
  <c r="K30" i="18"/>
  <c r="N133" i="18" l="1"/>
  <c r="O133" i="18"/>
  <c r="P133" i="18"/>
  <c r="R133" i="18"/>
  <c r="S133" i="18"/>
  <c r="N134" i="18"/>
  <c r="O134" i="18"/>
  <c r="P134" i="18"/>
  <c r="R134" i="18"/>
  <c r="S134" i="18"/>
  <c r="N135" i="18"/>
  <c r="O135" i="18"/>
  <c r="P135" i="18"/>
  <c r="R135" i="18"/>
  <c r="S135" i="18"/>
  <c r="N136" i="18"/>
  <c r="O136" i="18"/>
  <c r="P136" i="18"/>
  <c r="R136" i="18"/>
  <c r="S136" i="18"/>
  <c r="N137" i="18"/>
  <c r="O137" i="18"/>
  <c r="P137" i="18"/>
  <c r="R137" i="18"/>
  <c r="S137" i="18"/>
  <c r="M137" i="18"/>
  <c r="M136" i="18"/>
  <c r="M135" i="18"/>
  <c r="M134" i="18"/>
  <c r="M133" i="18"/>
  <c r="F133" i="18"/>
  <c r="G133" i="18"/>
  <c r="H133" i="18"/>
  <c r="I133" i="18"/>
  <c r="J133" i="18"/>
  <c r="K133" i="18"/>
  <c r="F134" i="18"/>
  <c r="G134" i="18"/>
  <c r="H134" i="18"/>
  <c r="I134" i="18"/>
  <c r="J134" i="18"/>
  <c r="K134" i="18"/>
  <c r="F135" i="18"/>
  <c r="G135" i="18"/>
  <c r="H135" i="18"/>
  <c r="I135" i="18"/>
  <c r="J135" i="18"/>
  <c r="K135" i="18"/>
  <c r="F136" i="18"/>
  <c r="G136" i="18"/>
  <c r="H136" i="18"/>
  <c r="I136" i="18"/>
  <c r="J136" i="18"/>
  <c r="K136" i="18"/>
  <c r="F137" i="18"/>
  <c r="G137" i="18"/>
  <c r="H137" i="18"/>
  <c r="I137" i="18"/>
  <c r="J137" i="18"/>
  <c r="K137" i="18"/>
  <c r="E137" i="18"/>
  <c r="E133" i="18"/>
  <c r="E134" i="18"/>
  <c r="E135" i="18"/>
  <c r="E136" i="18"/>
  <c r="L137" i="18"/>
  <c r="M115" i="18"/>
  <c r="N115" i="18"/>
  <c r="O115" i="18"/>
  <c r="P115" i="18"/>
  <c r="R115" i="18"/>
  <c r="S115" i="18"/>
  <c r="U115" i="18"/>
  <c r="M116" i="18"/>
  <c r="N116" i="18"/>
  <c r="O116" i="18"/>
  <c r="P116" i="18"/>
  <c r="R116" i="18"/>
  <c r="S116" i="18"/>
  <c r="U116" i="18"/>
  <c r="M117" i="18"/>
  <c r="N117" i="18"/>
  <c r="O117" i="18"/>
  <c r="P117" i="18"/>
  <c r="R117" i="18"/>
  <c r="S117" i="18"/>
  <c r="U117" i="18"/>
  <c r="M118" i="18"/>
  <c r="N118" i="18"/>
  <c r="O118" i="18"/>
  <c r="P118" i="18"/>
  <c r="R118" i="18"/>
  <c r="S118" i="18"/>
  <c r="U118" i="18"/>
  <c r="M119" i="18"/>
  <c r="N119" i="18"/>
  <c r="O119" i="18"/>
  <c r="P119" i="18"/>
  <c r="R119" i="18"/>
  <c r="S119" i="18"/>
  <c r="U119" i="18"/>
  <c r="L119" i="18"/>
  <c r="L118" i="18"/>
  <c r="L117" i="18"/>
  <c r="L116" i="18"/>
  <c r="L115" i="18"/>
  <c r="J118" i="18"/>
  <c r="F118" i="18"/>
  <c r="G118" i="18"/>
  <c r="H118" i="18"/>
  <c r="I118" i="18"/>
  <c r="E118" i="18"/>
  <c r="K119" i="18"/>
  <c r="F94" i="18"/>
  <c r="G94" i="18"/>
  <c r="H94" i="18"/>
  <c r="I94" i="18"/>
  <c r="J94" i="18"/>
  <c r="E94" i="18"/>
  <c r="M94" i="18"/>
  <c r="N94" i="18"/>
  <c r="O94" i="18"/>
  <c r="P94" i="18"/>
  <c r="R94" i="18"/>
  <c r="S94" i="18"/>
  <c r="L94" i="18"/>
  <c r="M91" i="18"/>
  <c r="N91" i="18"/>
  <c r="O91" i="18"/>
  <c r="P91" i="18"/>
  <c r="R91" i="18"/>
  <c r="S91" i="18"/>
  <c r="M92" i="18"/>
  <c r="N92" i="18"/>
  <c r="O92" i="18"/>
  <c r="P92" i="18"/>
  <c r="R92" i="18"/>
  <c r="S92" i="18"/>
  <c r="M93" i="18"/>
  <c r="N93" i="18"/>
  <c r="O93" i="18"/>
  <c r="P93" i="18"/>
  <c r="R93" i="18"/>
  <c r="S93" i="18"/>
  <c r="M95" i="18"/>
  <c r="N95" i="18"/>
  <c r="O95" i="18"/>
  <c r="P95" i="18"/>
  <c r="R95" i="18"/>
  <c r="S95" i="18"/>
  <c r="L95" i="18"/>
  <c r="L93" i="18"/>
  <c r="L92" i="18"/>
  <c r="L91" i="18"/>
  <c r="K95" i="18"/>
  <c r="M67" i="18"/>
  <c r="N67" i="18"/>
  <c r="O67" i="18"/>
  <c r="P67" i="18"/>
  <c r="R67" i="18"/>
  <c r="S67" i="18"/>
  <c r="L67" i="18"/>
  <c r="F67" i="18"/>
  <c r="G67" i="18"/>
  <c r="H67" i="18"/>
  <c r="I67" i="18"/>
  <c r="J67" i="18"/>
  <c r="E67" i="18"/>
  <c r="M64" i="18"/>
  <c r="N64" i="18"/>
  <c r="O64" i="18"/>
  <c r="P64" i="18"/>
  <c r="R64" i="18"/>
  <c r="M65" i="18"/>
  <c r="N65" i="18"/>
  <c r="O65" i="18"/>
  <c r="P65" i="18"/>
  <c r="R65" i="18"/>
  <c r="S65" i="18"/>
  <c r="M66" i="18"/>
  <c r="N66" i="18"/>
  <c r="O66" i="18"/>
  <c r="P66" i="18"/>
  <c r="R66" i="18"/>
  <c r="S66" i="18"/>
  <c r="M68" i="18"/>
  <c r="N68" i="18"/>
  <c r="O68" i="18"/>
  <c r="P68" i="18"/>
  <c r="R68" i="18"/>
  <c r="S68" i="18"/>
  <c r="L68" i="18"/>
  <c r="L66" i="18"/>
  <c r="L65" i="18"/>
  <c r="L64" i="18"/>
  <c r="S43" i="18"/>
  <c r="R43" i="18"/>
  <c r="P43" i="18"/>
  <c r="O43" i="18"/>
  <c r="N43" i="18"/>
  <c r="M43" i="18"/>
  <c r="L43" i="18"/>
  <c r="S42" i="18"/>
  <c r="R42" i="18"/>
  <c r="P42" i="18"/>
  <c r="O42" i="18"/>
  <c r="N42" i="18"/>
  <c r="M42" i="18"/>
  <c r="L42" i="18"/>
  <c r="S41" i="18"/>
  <c r="R41" i="18"/>
  <c r="P41" i="18"/>
  <c r="O41" i="18"/>
  <c r="N41" i="18"/>
  <c r="M41" i="18"/>
  <c r="L41" i="18"/>
  <c r="S40" i="18"/>
  <c r="R40" i="18"/>
  <c r="P40" i="18"/>
  <c r="O40" i="18"/>
  <c r="N40" i="18"/>
  <c r="M40" i="18"/>
  <c r="L40" i="18"/>
  <c r="S39" i="18"/>
  <c r="R39" i="18"/>
  <c r="P39" i="18"/>
  <c r="O39" i="18"/>
  <c r="N39" i="18"/>
  <c r="M39" i="18"/>
  <c r="L39" i="18"/>
  <c r="K66" i="18" l="1"/>
  <c r="D67" i="18"/>
  <c r="D94" i="18"/>
  <c r="D136" i="18"/>
  <c r="D134" i="18"/>
  <c r="D135" i="18"/>
  <c r="D133" i="18"/>
  <c r="D118" i="18"/>
  <c r="K39" i="18"/>
  <c r="K40" i="18"/>
  <c r="K41" i="18"/>
  <c r="K65" i="18"/>
  <c r="K67" i="18"/>
  <c r="K116" i="18"/>
  <c r="K118" i="18"/>
  <c r="K115" i="18"/>
  <c r="K117" i="18"/>
  <c r="L133" i="18"/>
  <c r="L135" i="18"/>
  <c r="K94" i="18"/>
  <c r="K92" i="18"/>
  <c r="K91" i="18"/>
  <c r="K93" i="18"/>
  <c r="L134" i="18"/>
  <c r="L136" i="18"/>
  <c r="K64" i="18"/>
  <c r="K42" i="18"/>
  <c r="K68" i="18"/>
  <c r="D34" i="18"/>
  <c r="D54" i="18"/>
  <c r="D88" i="18"/>
  <c r="D109" i="18"/>
  <c r="D132" i="18"/>
  <c r="D131" i="18"/>
  <c r="D130" i="18"/>
  <c r="D33" i="18"/>
  <c r="G119" i="18"/>
  <c r="H119" i="18"/>
  <c r="I119" i="18"/>
  <c r="J119" i="18"/>
  <c r="G95" i="18"/>
  <c r="H95" i="18"/>
  <c r="I95" i="18"/>
  <c r="J95" i="18"/>
  <c r="G68" i="18"/>
  <c r="H68" i="18"/>
  <c r="I68" i="18"/>
  <c r="J68" i="18"/>
  <c r="G43" i="18"/>
  <c r="H43" i="18"/>
  <c r="I43" i="18"/>
  <c r="J43" i="18"/>
  <c r="F39" i="18"/>
  <c r="F40" i="18"/>
  <c r="F41" i="18"/>
  <c r="F42" i="18"/>
  <c r="F64" i="18"/>
  <c r="F65" i="18"/>
  <c r="F68" i="18"/>
  <c r="F91" i="18"/>
  <c r="F92" i="18"/>
  <c r="F93" i="18"/>
  <c r="F95" i="18"/>
  <c r="F115" i="18"/>
  <c r="F116" i="18"/>
  <c r="F117" i="18"/>
  <c r="F119" i="18"/>
  <c r="E39" i="18"/>
  <c r="E40" i="18"/>
  <c r="E41" i="18"/>
  <c r="E42" i="18"/>
  <c r="E43" i="18"/>
  <c r="E64" i="18"/>
  <c r="E65" i="18"/>
  <c r="E68" i="18"/>
  <c r="E91" i="18"/>
  <c r="E92" i="18"/>
  <c r="E93" i="18"/>
  <c r="E95" i="18"/>
  <c r="E115" i="18"/>
  <c r="E116" i="18"/>
  <c r="E117" i="18"/>
  <c r="E119" i="18"/>
  <c r="AN118" i="18" l="1"/>
  <c r="AL135" i="18"/>
  <c r="AL136" i="18"/>
  <c r="AN67" i="18"/>
  <c r="AL133" i="18"/>
  <c r="AL134" i="18"/>
  <c r="AN94" i="18"/>
  <c r="D52" i="18"/>
  <c r="D53" i="18"/>
  <c r="D55" i="18"/>
  <c r="D56" i="18"/>
  <c r="D57" i="18"/>
  <c r="D58" i="18"/>
  <c r="D59" i="18"/>
  <c r="D60" i="18"/>
  <c r="D61" i="18"/>
  <c r="D62" i="18"/>
  <c r="D63" i="18"/>
  <c r="D51" i="18"/>
  <c r="D80" i="18"/>
  <c r="D81" i="18"/>
  <c r="D82" i="18"/>
  <c r="D83" i="18"/>
  <c r="D84" i="18"/>
  <c r="D85" i="18"/>
  <c r="D86" i="18"/>
  <c r="D87" i="18"/>
  <c r="D89" i="18"/>
  <c r="D90" i="18"/>
  <c r="D79" i="18"/>
  <c r="D106" i="18"/>
  <c r="D107" i="18"/>
  <c r="D108" i="18"/>
  <c r="D110" i="18"/>
  <c r="D111" i="18"/>
  <c r="D112" i="18"/>
  <c r="D113" i="18"/>
  <c r="D114" i="18"/>
  <c r="D105" i="18"/>
  <c r="I115" i="18"/>
  <c r="J115" i="18"/>
  <c r="I116" i="18"/>
  <c r="J116" i="18"/>
  <c r="I117" i="18"/>
  <c r="J117" i="18"/>
  <c r="J93" i="18"/>
  <c r="J92" i="18"/>
  <c r="J91" i="18"/>
  <c r="I93" i="18"/>
  <c r="I92" i="18"/>
  <c r="I91" i="18"/>
  <c r="J65" i="18"/>
  <c r="J64" i="18"/>
  <c r="I65" i="18"/>
  <c r="I64" i="18"/>
  <c r="D37" i="18" l="1"/>
  <c r="D32" i="18" l="1"/>
  <c r="D35" i="18"/>
  <c r="D36" i="18"/>
  <c r="D38" i="18"/>
  <c r="D119" i="18" l="1"/>
  <c r="D137" i="18"/>
  <c r="D68" i="18" l="1"/>
  <c r="D95" i="18"/>
  <c r="H117" i="18" l="1"/>
  <c r="G117" i="18"/>
  <c r="H116" i="18"/>
  <c r="G116" i="18"/>
  <c r="H115" i="18"/>
  <c r="G115" i="18"/>
  <c r="D115" i="18" l="1"/>
  <c r="AN115" i="18" s="1"/>
  <c r="D116" i="18"/>
  <c r="AN116" i="18" s="1"/>
  <c r="D117" i="18"/>
  <c r="AN117" i="18" s="1"/>
  <c r="H93" i="18"/>
  <c r="G93" i="18"/>
  <c r="H92" i="18"/>
  <c r="G92" i="18"/>
  <c r="H91" i="18"/>
  <c r="G91" i="18"/>
  <c r="AN119" i="18" l="1"/>
  <c r="D91" i="18"/>
  <c r="AN91" i="18" s="1"/>
  <c r="D92" i="18"/>
  <c r="AN92" i="18" s="1"/>
  <c r="D93" i="18"/>
  <c r="AN93" i="18" s="1"/>
  <c r="H65" i="18"/>
  <c r="G65" i="18"/>
  <c r="H64" i="18"/>
  <c r="G64" i="18"/>
  <c r="D64" i="18" l="1"/>
  <c r="AN64" i="18" s="1"/>
  <c r="D65" i="18"/>
  <c r="AN65" i="18" s="1"/>
  <c r="D66" i="18"/>
  <c r="AN66" i="18" s="1"/>
  <c r="AN95" i="18"/>
  <c r="J42" i="18"/>
  <c r="I42" i="18"/>
  <c r="H42" i="18"/>
  <c r="G42" i="18"/>
  <c r="J41" i="18"/>
  <c r="I41" i="18"/>
  <c r="H41" i="18"/>
  <c r="G41" i="18"/>
  <c r="J40" i="18"/>
  <c r="I40" i="18"/>
  <c r="H40" i="18"/>
  <c r="G40" i="18"/>
  <c r="J39" i="18"/>
  <c r="I39" i="18"/>
  <c r="H39" i="18"/>
  <c r="G39" i="18"/>
  <c r="D39" i="18" l="1"/>
  <c r="D40" i="18"/>
  <c r="AK40" i="18" s="1"/>
  <c r="D41" i="18"/>
  <c r="AK41" i="18" s="1"/>
  <c r="D42" i="18"/>
  <c r="AK42" i="18" s="1"/>
  <c r="K43" i="18" l="1"/>
  <c r="D43" i="18" l="1"/>
  <c r="AL137" i="18" l="1"/>
  <c r="AF42" i="18"/>
  <c r="AE42" i="18"/>
  <c r="AA42" i="18" l="1"/>
  <c r="AK39" i="18"/>
  <c r="AK43" i="18" s="1"/>
</calcChain>
</file>

<file path=xl/sharedStrings.xml><?xml version="1.0" encoding="utf-8"?>
<sst xmlns="http://schemas.openxmlformats.org/spreadsheetml/2006/main" count="418" uniqueCount="157">
  <si>
    <t>№ п/п</t>
  </si>
  <si>
    <t>В/зв</t>
  </si>
  <si>
    <t>ФИО</t>
  </si>
  <si>
    <t>Сокращенные наименования учебных дисциплин</t>
  </si>
  <si>
    <t>Отлично</t>
  </si>
  <si>
    <t>Хорошо</t>
  </si>
  <si>
    <t>Удовлетворительно</t>
  </si>
  <si>
    <r>
      <t>Неудовлетворительно</t>
    </r>
    <r>
      <rPr>
        <sz val="14"/>
        <color indexed="10"/>
        <rFont val="Times New Roman"/>
        <family val="1"/>
        <charset val="204"/>
      </rPr>
      <t>*</t>
    </r>
  </si>
  <si>
    <t>Средний балл отделения</t>
  </si>
  <si>
    <t>майор</t>
  </si>
  <si>
    <t>1 семестр</t>
  </si>
  <si>
    <t>ОМТО з/о</t>
  </si>
  <si>
    <t>ФП з/о</t>
  </si>
  <si>
    <t>ОТВИ з/о</t>
  </si>
  <si>
    <t>ЗГТ з/о</t>
  </si>
  <si>
    <t>отлично</t>
  </si>
  <si>
    <t xml:space="preserve">1 семестр </t>
  </si>
  <si>
    <t>Средний бал отделения за 1 семестр</t>
  </si>
  <si>
    <t>ТВУ з/о</t>
  </si>
  <si>
    <t>ОТехО з/о</t>
  </si>
  <si>
    <t xml:space="preserve">                  Сокращенные наименования учебных дисциплин</t>
  </si>
  <si>
    <t>23.12.2021г</t>
  </si>
  <si>
    <t>ФПАУ з/о</t>
  </si>
  <si>
    <t>ПР з/о</t>
  </si>
  <si>
    <t>ИВИ з/о</t>
  </si>
  <si>
    <t>ИНО з/о</t>
  </si>
  <si>
    <t>ТОИ з/о</t>
  </si>
  <si>
    <t>УМВ з/о</t>
  </si>
  <si>
    <t>2 семестр</t>
  </si>
  <si>
    <t>Средний бал отделения за 2 семестр</t>
  </si>
  <si>
    <t>ЭВВТ з/о курсовая</t>
  </si>
  <si>
    <t>ФП экз</t>
  </si>
  <si>
    <t>ОТехО экзамен</t>
  </si>
  <si>
    <t>ПТГ экзамен</t>
  </si>
  <si>
    <t>Средний
балл
слушателя</t>
  </si>
  <si>
    <t>ОГ зачет без оценки</t>
  </si>
  <si>
    <t>Средний бал отделения за 3 семестр</t>
  </si>
  <si>
    <t>3 семестр</t>
  </si>
  <si>
    <t>Вст з/о</t>
  </si>
  <si>
    <t>ОИОД з/о</t>
  </si>
  <si>
    <t>УМВ кр.з/о</t>
  </si>
  <si>
    <t>ВЭО з/о</t>
  </si>
  <si>
    <t>МО з/о</t>
  </si>
  <si>
    <t>З семестр</t>
  </si>
  <si>
    <t>ВСт з/о</t>
  </si>
  <si>
    <t xml:space="preserve">УАТО з/о </t>
  </si>
  <si>
    <t>РВВСТ з/о</t>
  </si>
  <si>
    <t xml:space="preserve">ЭВВТ з/о </t>
  </si>
  <si>
    <t>УАТО з/о</t>
  </si>
  <si>
    <t>УТехО экзамен</t>
  </si>
  <si>
    <t>ОГ кр.зач</t>
  </si>
  <si>
    <t>УАрТО з/о</t>
  </si>
  <si>
    <t xml:space="preserve">ПР з/о </t>
  </si>
  <si>
    <t xml:space="preserve">ИВИ з/о </t>
  </si>
  <si>
    <t>ТО экзамен</t>
  </si>
  <si>
    <t>ВЭО (з/о)</t>
  </si>
  <si>
    <t>УМВ кр. з/о</t>
  </si>
  <si>
    <t>Средний бал отделения за 4 семестр</t>
  </si>
  <si>
    <t>4 семестр</t>
  </si>
  <si>
    <t>СВВТ з/о</t>
  </si>
  <si>
    <t>Средний бал отделения за4 семестр</t>
  </si>
  <si>
    <t>КШУ (з/о)</t>
  </si>
  <si>
    <t xml:space="preserve">Техо ( з/о) </t>
  </si>
  <si>
    <t>Тр (з/о)</t>
  </si>
  <si>
    <t xml:space="preserve">Техо з/о) </t>
  </si>
  <si>
    <t>ТВУ экз</t>
  </si>
  <si>
    <t>ТВУ экзамен</t>
  </si>
  <si>
    <t>ТОИ экзамен</t>
  </si>
  <si>
    <t>МТО экзамен</t>
  </si>
  <si>
    <t>ОВПР з/о</t>
  </si>
  <si>
    <t>УМВ экз</t>
  </si>
  <si>
    <t>ТОИ экз</t>
  </si>
  <si>
    <t>МТО экз</t>
  </si>
  <si>
    <t>ФП экзамен</t>
  </si>
  <si>
    <t>КШУ з/о</t>
  </si>
  <si>
    <t>ОГ экзамен</t>
  </si>
  <si>
    <t>ЭВВСТ экз</t>
  </si>
  <si>
    <t>ЭВВСТ экзамен</t>
  </si>
  <si>
    <t>УАТО экзамен</t>
  </si>
  <si>
    <t>УМВ экзамен</t>
  </si>
  <si>
    <t>УАРТО экзамен</t>
  </si>
  <si>
    <t xml:space="preserve">Результаты сдачи зачетов и экзаменов 313 учебного отделения за 1 и 2 курс </t>
  </si>
  <si>
    <t xml:space="preserve">Результаты сдачи зачетов и экзаменов 363 АТ учебного отделения за 1 и 2 курс </t>
  </si>
  <si>
    <t xml:space="preserve">Результаты сдачи зачетов и экзаменов 363 АТА учебного отделения за 1 и 2 курс </t>
  </si>
  <si>
    <t xml:space="preserve">Результаты сдачи зачетов и экзаменов 363 Р учебного отделения за 1 и 2 курс </t>
  </si>
  <si>
    <t xml:space="preserve">Результаты сдачи зачетов и экзаменов 333 учебного отделения за 1 и 2 курс </t>
  </si>
  <si>
    <t>Абдулмеджидов Эмин Назимович</t>
  </si>
  <si>
    <t>подполковник</t>
  </si>
  <si>
    <t>Гатаулин Равиль Абдрашитович</t>
  </si>
  <si>
    <t>Зиновьев Алексей Федорович</t>
  </si>
  <si>
    <t>Михайлушкин Михаил Юрьевич</t>
  </si>
  <si>
    <t>Нарышкин Евгений Анатольевич</t>
  </si>
  <si>
    <t>Орлов Роман Валерьевич</t>
  </si>
  <si>
    <t>Титиевский Игорь Анатольевич</t>
  </si>
  <si>
    <t>Хусяинов Ильдар Харисович</t>
  </si>
  <si>
    <t>Чуркин Евгений Сергеевич</t>
  </si>
  <si>
    <t>капитан</t>
  </si>
  <si>
    <t>Графонов Алексей Игоревич</t>
  </si>
  <si>
    <t>Гусев Андрей Андреевич</t>
  </si>
  <si>
    <t>Дзюрдзин Владимир Владимирович</t>
  </si>
  <si>
    <t>Ковтунов Сергей Николаевич</t>
  </si>
  <si>
    <t>Малюгин Андрей Алексеевич</t>
  </si>
  <si>
    <t>Паницкий Алексей Владимирович</t>
  </si>
  <si>
    <t>Севостьянов Дмитрий Иванович</t>
  </si>
  <si>
    <t>Ходжамкулиев Рустам Мавлявиевич</t>
  </si>
  <si>
    <t>Чернышов Сергей Сергеевич</t>
  </si>
  <si>
    <t>Баранов Дмитрий Геннадьевич</t>
  </si>
  <si>
    <t>Барсуков Сергей Сергеевич</t>
  </si>
  <si>
    <t>Горбанев Владимир Евгеньевич</t>
  </si>
  <si>
    <t>Занчуковский Анатолий Владиславович</t>
  </si>
  <si>
    <t>Крощенко Александр Юрьевич</t>
  </si>
  <si>
    <t>Пашков Александр Сергеевич</t>
  </si>
  <si>
    <t>Плитинь Петр Александрович</t>
  </si>
  <si>
    <t>Родимцев Андрей Владимирович</t>
  </si>
  <si>
    <t>Селезнев Антон Александрович</t>
  </si>
  <si>
    <t>Семенец Владимир Андреевич</t>
  </si>
  <si>
    <t>Телегин Алексей Андреевич</t>
  </si>
  <si>
    <t>Тукало Евгений Борисович</t>
  </si>
  <si>
    <t>Шаяхметов Ильдар Маратович</t>
  </si>
  <si>
    <t>Алиев Гайдар Алимурадович</t>
  </si>
  <si>
    <t>Давыдов Алексей Николаевич</t>
  </si>
  <si>
    <t>Дашдемиров Сабир Магомедович</t>
  </si>
  <si>
    <t>Денисов Андрей Николаевич</t>
  </si>
  <si>
    <t>Дорошин Денис Владимирович</t>
  </si>
  <si>
    <t>Козюков Дмитрий Александрович</t>
  </si>
  <si>
    <t>Косенок Иван Сергеевич</t>
  </si>
  <si>
    <t>Медведев Михаил Алексеевич</t>
  </si>
  <si>
    <t>Мустафаев Умрудин Азимудинович</t>
  </si>
  <si>
    <t>Рамазанов Гаджи Газибегович</t>
  </si>
  <si>
    <t>Стасюк Юрий Александрович</t>
  </si>
  <si>
    <t>Шачнев Рустам Зумсаевич</t>
  </si>
  <si>
    <t>Горбунов Сергей Сергеевич</t>
  </si>
  <si>
    <t>Дегтярев Алексей Олегович</t>
  </si>
  <si>
    <t>Катанов Александр Анатольевич</t>
  </si>
  <si>
    <t>Лагутин Дмитрий Сергеевич</t>
  </si>
  <si>
    <t>Михеев Сергей Николаевич</t>
  </si>
  <si>
    <t>Мокрецов Александр Иванович</t>
  </si>
  <si>
    <t>Николенко Антон Александрович</t>
  </si>
  <si>
    <t>Полищук Андрей Николаевич</t>
  </si>
  <si>
    <t>Феофилактов Данил Владимирович</t>
  </si>
  <si>
    <t>Яшунин Павел Владимирович</t>
  </si>
  <si>
    <t>Келипов Сергей Иванович</t>
  </si>
  <si>
    <t>Костюкович Александр Владимирович</t>
  </si>
  <si>
    <t>Ларионов Владислав Николаевич</t>
  </si>
  <si>
    <t xml:space="preserve">Результаты сдачи зачетов и экзаменов 313 А учебного отделения за 1 и 2 курс </t>
  </si>
  <si>
    <t>ОМТО  з/о</t>
  </si>
  <si>
    <t>28.112023</t>
  </si>
  <si>
    <t xml:space="preserve">ТО з/о </t>
  </si>
  <si>
    <t>19.1.22023</t>
  </si>
  <si>
    <t>ТО з/о</t>
  </si>
  <si>
    <t>зачтено</t>
  </si>
  <si>
    <t>07.05.2022г</t>
  </si>
  <si>
    <t>ОТехО з/о курсовая</t>
  </si>
  <si>
    <t>ОТЕХО з/о курсовая</t>
  </si>
  <si>
    <t>ЭВВСТ з/о курсовая</t>
  </si>
  <si>
    <t>ПТГ з/о курсовая</t>
  </si>
  <si>
    <t>28.111.2024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</si>
</sst>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р.&quot;"/>
  </numFmts>
  <fonts count="22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4"/>
      <color theme="5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0">
    <xf numFmtId="0" fontId="0" fillId="0" borderId="0" xfId="0"/>
    <xf numFmtId="0" fontId="4" fillId="0" borderId="0" xfId="0" applyFont="1" applyProtection="1"/>
    <xf numFmtId="0" fontId="5" fillId="0" borderId="0" xfId="0" applyFont="1" applyAlignment="1" applyProtection="1">
      <alignment horizontal="center" vertical="center"/>
    </xf>
    <xf numFmtId="2" fontId="4" fillId="0" borderId="0" xfId="0" applyNumberFormat="1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2" fontId="6" fillId="0" borderId="0" xfId="0" applyNumberFormat="1" applyFont="1" applyBorder="1" applyAlignment="1" applyProtection="1">
      <alignment horizontal="center"/>
    </xf>
    <xf numFmtId="0" fontId="7" fillId="0" borderId="0" xfId="0" applyFont="1" applyBorder="1" applyAlignment="1" applyProtection="1">
      <alignment vertical="center"/>
    </xf>
    <xf numFmtId="0" fontId="1" fillId="0" borderId="0" xfId="0" applyFont="1" applyProtection="1"/>
    <xf numFmtId="0" fontId="3" fillId="2" borderId="2" xfId="0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wrapText="1"/>
    </xf>
    <xf numFmtId="0" fontId="16" fillId="0" borderId="0" xfId="0" applyFont="1" applyProtection="1"/>
    <xf numFmtId="0" fontId="4" fillId="0" borderId="0" xfId="0" applyFont="1" applyAlignment="1" applyProtection="1">
      <alignment horizontal="center" vertical="center" wrapText="1"/>
    </xf>
    <xf numFmtId="0" fontId="4" fillId="3" borderId="0" xfId="0" applyFont="1" applyFill="1" applyProtection="1"/>
    <xf numFmtId="0" fontId="3" fillId="2" borderId="7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16" fillId="0" borderId="0" xfId="0" applyFont="1" applyAlignment="1" applyProtection="1">
      <alignment textRotation="90"/>
    </xf>
    <xf numFmtId="14" fontId="15" fillId="2" borderId="32" xfId="0" applyNumberFormat="1" applyFont="1" applyFill="1" applyBorder="1" applyAlignment="1" applyProtection="1">
      <alignment horizontal="center" vertical="center" textRotation="90"/>
    </xf>
    <xf numFmtId="0" fontId="14" fillId="0" borderId="0" xfId="0" applyFont="1" applyBorder="1" applyAlignment="1" applyProtection="1">
      <alignment horizontal="center" vertical="center"/>
    </xf>
    <xf numFmtId="2" fontId="17" fillId="4" borderId="23" xfId="0" applyNumberFormat="1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 applyProtection="1">
      <alignment horizontal="center" vertical="center"/>
    </xf>
    <xf numFmtId="1" fontId="3" fillId="2" borderId="34" xfId="0" applyNumberFormat="1" applyFont="1" applyFill="1" applyBorder="1" applyAlignment="1" applyProtection="1">
      <alignment horizontal="center"/>
    </xf>
    <xf numFmtId="1" fontId="3" fillId="2" borderId="17" xfId="0" applyNumberFormat="1" applyFont="1" applyFill="1" applyBorder="1" applyAlignment="1" applyProtection="1">
      <alignment horizontal="center"/>
    </xf>
    <xf numFmtId="0" fontId="3" fillId="2" borderId="35" xfId="0" applyFont="1" applyFill="1" applyBorder="1" applyAlignment="1" applyProtection="1">
      <alignment horizontal="center"/>
    </xf>
    <xf numFmtId="0" fontId="19" fillId="0" borderId="0" xfId="0" applyFont="1" applyProtection="1"/>
    <xf numFmtId="0" fontId="19" fillId="3" borderId="0" xfId="0" applyFont="1" applyFill="1" applyProtection="1"/>
    <xf numFmtId="1" fontId="3" fillId="2" borderId="5" xfId="0" applyNumberFormat="1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1" fontId="3" fillId="2" borderId="4" xfId="0" applyNumberFormat="1" applyFont="1" applyFill="1" applyBorder="1" applyAlignment="1" applyProtection="1">
      <alignment horizontal="center"/>
    </xf>
    <xf numFmtId="0" fontId="16" fillId="0" borderId="2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3" fillId="2" borderId="33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/>
    </xf>
    <xf numFmtId="1" fontId="3" fillId="2" borderId="5" xfId="0" applyNumberFormat="1" applyFont="1" applyFill="1" applyBorder="1" applyAlignment="1" applyProtection="1">
      <alignment horizontal="center"/>
    </xf>
    <xf numFmtId="0" fontId="3" fillId="2" borderId="21" xfId="0" applyFont="1" applyFill="1" applyBorder="1" applyAlignment="1" applyProtection="1">
      <alignment horizontal="center"/>
    </xf>
    <xf numFmtId="1" fontId="3" fillId="2" borderId="4" xfId="0" applyNumberFormat="1" applyFont="1" applyFill="1" applyBorder="1" applyAlignment="1" applyProtection="1">
      <alignment horizontal="center"/>
    </xf>
    <xf numFmtId="0" fontId="3" fillId="2" borderId="17" xfId="0" applyFont="1" applyFill="1" applyBorder="1" applyAlignment="1" applyProtection="1">
      <alignment horizontal="center"/>
    </xf>
    <xf numFmtId="14" fontId="15" fillId="2" borderId="13" xfId="0" applyNumberFormat="1" applyFont="1" applyFill="1" applyBorder="1" applyAlignment="1" applyProtection="1">
      <alignment horizontal="center" vertical="center" textRotation="90"/>
    </xf>
    <xf numFmtId="0" fontId="3" fillId="2" borderId="1" xfId="0" applyFont="1" applyFill="1" applyBorder="1" applyAlignment="1" applyProtection="1">
      <alignment horizontal="center" vertical="center"/>
    </xf>
    <xf numFmtId="14" fontId="15" fillId="2" borderId="31" xfId="0" applyNumberFormat="1" applyFont="1" applyFill="1" applyBorder="1" applyAlignment="1" applyProtection="1">
      <alignment horizontal="center" vertical="center" textRotation="90"/>
    </xf>
    <xf numFmtId="0" fontId="3" fillId="2" borderId="36" xfId="0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1" fontId="3" fillId="2" borderId="4" xfId="0" applyNumberFormat="1" applyFont="1" applyFill="1" applyBorder="1" applyAlignment="1" applyProtection="1">
      <alignment horizontal="center" vertical="center"/>
    </xf>
    <xf numFmtId="14" fontId="15" fillId="2" borderId="29" xfId="0" applyNumberFormat="1" applyFont="1" applyFill="1" applyBorder="1" applyAlignment="1" applyProtection="1">
      <alignment horizontal="center" vertical="center" textRotation="90"/>
    </xf>
    <xf numFmtId="0" fontId="3" fillId="2" borderId="1" xfId="0" applyFont="1" applyFill="1" applyBorder="1" applyAlignment="1" applyProtection="1">
      <alignment horizontal="center"/>
    </xf>
    <xf numFmtId="0" fontId="10" fillId="2" borderId="22" xfId="0" applyFont="1" applyFill="1" applyBorder="1" applyAlignment="1" applyProtection="1">
      <alignment horizontal="center" vertical="center" textRotation="90" wrapText="1"/>
    </xf>
    <xf numFmtId="0" fontId="3" fillId="2" borderId="19" xfId="0" applyFont="1" applyFill="1" applyBorder="1" applyAlignment="1" applyProtection="1">
      <alignment horizontal="center"/>
    </xf>
    <xf numFmtId="0" fontId="3" fillId="2" borderId="15" xfId="0" applyFont="1" applyFill="1" applyBorder="1" applyAlignment="1" applyProtection="1">
      <alignment horizontal="center"/>
    </xf>
    <xf numFmtId="2" fontId="3" fillId="2" borderId="13" xfId="0" applyNumberFormat="1" applyFont="1" applyFill="1" applyBorder="1" applyAlignment="1" applyProtection="1">
      <alignment horizontal="center" vertical="center"/>
    </xf>
    <xf numFmtId="14" fontId="15" fillId="2" borderId="23" xfId="0" applyNumberFormat="1" applyFont="1" applyFill="1" applyBorder="1" applyAlignment="1" applyProtection="1">
      <alignment horizontal="center" vertical="center" textRotation="90"/>
    </xf>
    <xf numFmtId="0" fontId="3" fillId="2" borderId="8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3" fillId="2" borderId="37" xfId="0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 applyProtection="1">
      <alignment horizontal="center" vertical="center"/>
    </xf>
    <xf numFmtId="0" fontId="3" fillId="2" borderId="39" xfId="0" applyFont="1" applyFill="1" applyBorder="1" applyAlignment="1" applyProtection="1">
      <alignment horizontal="center" vertical="center"/>
    </xf>
    <xf numFmtId="0" fontId="3" fillId="2" borderId="34" xfId="0" applyFont="1" applyFill="1" applyBorder="1" applyAlignment="1" applyProtection="1">
      <alignment horizontal="center"/>
    </xf>
    <xf numFmtId="0" fontId="3" fillId="2" borderId="34" xfId="0" applyFont="1" applyFill="1" applyBorder="1" applyAlignment="1" applyProtection="1">
      <alignment horizontal="center" vertical="center"/>
    </xf>
    <xf numFmtId="0" fontId="3" fillId="2" borderId="17" xfId="0" applyFont="1" applyFill="1" applyBorder="1" applyAlignment="1" applyProtection="1">
      <alignment horizontal="center" vertical="center"/>
    </xf>
    <xf numFmtId="0" fontId="3" fillId="2" borderId="35" xfId="0" applyFont="1" applyFill="1" applyBorder="1" applyAlignment="1" applyProtection="1">
      <alignment horizontal="center" vertical="center"/>
    </xf>
    <xf numFmtId="1" fontId="3" fillId="2" borderId="34" xfId="0" applyNumberFormat="1" applyFont="1" applyFill="1" applyBorder="1" applyAlignment="1" applyProtection="1">
      <alignment horizontal="center" vertical="center"/>
    </xf>
    <xf numFmtId="1" fontId="3" fillId="2" borderId="17" xfId="0" applyNumberFormat="1" applyFont="1" applyFill="1" applyBorder="1" applyAlignment="1" applyProtection="1">
      <alignment horizontal="center" vertical="center"/>
    </xf>
    <xf numFmtId="14" fontId="15" fillId="2" borderId="40" xfId="0" applyNumberFormat="1" applyFont="1" applyFill="1" applyBorder="1" applyAlignment="1" applyProtection="1">
      <alignment horizontal="center" vertical="center" textRotation="90"/>
    </xf>
    <xf numFmtId="0" fontId="3" fillId="2" borderId="16" xfId="0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0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/>
    </xf>
    <xf numFmtId="0" fontId="3" fillId="2" borderId="20" xfId="0" applyFont="1" applyFill="1" applyBorder="1" applyAlignment="1" applyProtection="1">
      <alignment horizontal="center"/>
    </xf>
    <xf numFmtId="0" fontId="9" fillId="2" borderId="10" xfId="0" applyFont="1" applyFill="1" applyBorder="1" applyAlignment="1" applyProtection="1">
      <alignment horizontal="center" vertical="center" textRotation="90" wrapText="1"/>
    </xf>
    <xf numFmtId="14" fontId="15" fillId="2" borderId="9" xfId="0" applyNumberFormat="1" applyFont="1" applyFill="1" applyBorder="1" applyAlignment="1" applyProtection="1">
      <alignment horizontal="center" vertical="center" textRotation="90"/>
    </xf>
    <xf numFmtId="2" fontId="3" fillId="2" borderId="23" xfId="0" applyNumberFormat="1" applyFont="1" applyFill="1" applyBorder="1" applyAlignment="1" applyProtection="1">
      <alignment horizontal="center" vertical="center"/>
    </xf>
    <xf numFmtId="0" fontId="3" fillId="2" borderId="16" xfId="0" applyFont="1" applyFill="1" applyBorder="1" applyAlignment="1" applyProtection="1">
      <alignment horizontal="center"/>
    </xf>
    <xf numFmtId="2" fontId="17" fillId="4" borderId="2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</xf>
    <xf numFmtId="1" fontId="3" fillId="5" borderId="34" xfId="0" applyNumberFormat="1" applyFont="1" applyFill="1" applyBorder="1" applyAlignment="1" applyProtection="1">
      <alignment horizontal="center"/>
    </xf>
    <xf numFmtId="1" fontId="3" fillId="5" borderId="17" xfId="0" applyNumberFormat="1" applyFont="1" applyFill="1" applyBorder="1" applyAlignment="1" applyProtection="1">
      <alignment horizontal="center"/>
    </xf>
    <xf numFmtId="0" fontId="3" fillId="5" borderId="35" xfId="0" applyFont="1" applyFill="1" applyBorder="1" applyAlignment="1" applyProtection="1">
      <alignment horizontal="center"/>
    </xf>
    <xf numFmtId="2" fontId="3" fillId="5" borderId="13" xfId="0" applyNumberFormat="1" applyFont="1" applyFill="1" applyBorder="1" applyAlignment="1" applyProtection="1">
      <alignment horizontal="center" vertical="center"/>
    </xf>
    <xf numFmtId="1" fontId="3" fillId="5" borderId="4" xfId="0" applyNumberFormat="1" applyFont="1" applyFill="1" applyBorder="1" applyAlignment="1" applyProtection="1">
      <alignment horizontal="center"/>
    </xf>
    <xf numFmtId="1" fontId="3" fillId="5" borderId="5" xfId="0" applyNumberFormat="1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2" fontId="3" fillId="5" borderId="23" xfId="0" applyNumberFormat="1" applyFont="1" applyFill="1" applyBorder="1" applyAlignment="1" applyProtection="1">
      <alignment horizontal="center" vertical="center"/>
    </xf>
    <xf numFmtId="1" fontId="3" fillId="5" borderId="21" xfId="0" applyNumberFormat="1" applyFont="1" applyFill="1" applyBorder="1" applyAlignment="1" applyProtection="1">
      <alignment horizontal="center"/>
    </xf>
    <xf numFmtId="1" fontId="3" fillId="5" borderId="8" xfId="0" applyNumberFormat="1" applyFont="1" applyFill="1" applyBorder="1" applyAlignment="1" applyProtection="1">
      <alignment horizontal="center"/>
    </xf>
    <xf numFmtId="0" fontId="4" fillId="3" borderId="0" xfId="0" applyFont="1" applyFill="1" applyBorder="1" applyProtection="1"/>
    <xf numFmtId="0" fontId="5" fillId="5" borderId="18" xfId="0" applyFont="1" applyFill="1" applyBorder="1" applyAlignment="1" applyProtection="1">
      <alignment horizontal="center" vertical="center"/>
    </xf>
    <xf numFmtId="0" fontId="5" fillId="5" borderId="19" xfId="0" applyFont="1" applyFill="1" applyBorder="1" applyAlignment="1" applyProtection="1">
      <alignment horizontal="center" vertical="center"/>
    </xf>
    <xf numFmtId="0" fontId="5" fillId="5" borderId="7" xfId="0" applyFont="1" applyFill="1" applyBorder="1" applyAlignment="1" applyProtection="1">
      <alignment horizontal="center" vertical="center"/>
    </xf>
    <xf numFmtId="2" fontId="3" fillId="6" borderId="23" xfId="0" applyNumberFormat="1" applyFont="1" applyFill="1" applyBorder="1" applyAlignment="1" applyProtection="1">
      <alignment horizontal="center" vertical="center"/>
    </xf>
    <xf numFmtId="0" fontId="5" fillId="2" borderId="17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2" fontId="20" fillId="4" borderId="23" xfId="0" applyNumberFormat="1" applyFont="1" applyFill="1" applyBorder="1" applyAlignment="1" applyProtection="1">
      <alignment horizontal="center" vertical="center"/>
    </xf>
    <xf numFmtId="2" fontId="4" fillId="0" borderId="0" xfId="0" applyNumberFormat="1" applyFont="1" applyProtection="1"/>
    <xf numFmtId="2" fontId="21" fillId="2" borderId="8" xfId="0" applyNumberFormat="1" applyFont="1" applyFill="1" applyBorder="1" applyAlignment="1" applyProtection="1">
      <alignment horizontal="center" vertical="center"/>
    </xf>
    <xf numFmtId="2" fontId="21" fillId="5" borderId="21" xfId="0" applyNumberFormat="1" applyFont="1" applyFill="1" applyBorder="1" applyAlignment="1" applyProtection="1">
      <alignment horizontal="center" vertical="center"/>
    </xf>
    <xf numFmtId="2" fontId="5" fillId="4" borderId="4" xfId="0" applyNumberFormat="1" applyFont="1" applyFill="1" applyBorder="1" applyAlignment="1" applyProtection="1">
      <alignment horizontal="center" vertical="center"/>
    </xf>
    <xf numFmtId="2" fontId="17" fillId="2" borderId="8" xfId="0" applyNumberFormat="1" applyFont="1" applyFill="1" applyBorder="1" applyAlignment="1" applyProtection="1">
      <alignment horizontal="center" vertical="center"/>
    </xf>
    <xf numFmtId="2" fontId="17" fillId="5" borderId="8" xfId="0" applyNumberFormat="1" applyFont="1" applyFill="1" applyBorder="1" applyAlignment="1" applyProtection="1">
      <alignment horizontal="center" vertical="center"/>
    </xf>
    <xf numFmtId="2" fontId="17" fillId="5" borderId="21" xfId="0" applyNumberFormat="1" applyFont="1" applyFill="1" applyBorder="1" applyAlignment="1" applyProtection="1">
      <alignment horizontal="center" vertical="center"/>
    </xf>
    <xf numFmtId="2" fontId="20" fillId="2" borderId="8" xfId="0" applyNumberFormat="1" applyFont="1" applyFill="1" applyBorder="1" applyAlignment="1" applyProtection="1">
      <alignment horizontal="center" vertical="center"/>
    </xf>
    <xf numFmtId="1" fontId="3" fillId="5" borderId="44" xfId="0" applyNumberFormat="1" applyFont="1" applyFill="1" applyBorder="1" applyAlignment="1" applyProtection="1">
      <alignment horizontal="center"/>
    </xf>
    <xf numFmtId="1" fontId="3" fillId="5" borderId="45" xfId="0" applyNumberFormat="1" applyFont="1" applyFill="1" applyBorder="1" applyAlignment="1" applyProtection="1">
      <alignment horizontal="center"/>
    </xf>
    <xf numFmtId="0" fontId="3" fillId="5" borderId="46" xfId="0" applyFont="1" applyFill="1" applyBorder="1" applyAlignment="1" applyProtection="1">
      <alignment horizontal="center"/>
    </xf>
    <xf numFmtId="2" fontId="21" fillId="5" borderId="4" xfId="0" applyNumberFormat="1" applyFont="1" applyFill="1" applyBorder="1" applyAlignment="1" applyProtection="1">
      <alignment horizontal="center" vertical="center"/>
    </xf>
    <xf numFmtId="2" fontId="21" fillId="5" borderId="8" xfId="0" applyNumberFormat="1" applyFont="1" applyFill="1" applyBorder="1" applyAlignment="1" applyProtection="1">
      <alignment horizontal="center" vertical="center"/>
    </xf>
    <xf numFmtId="2" fontId="21" fillId="5" borderId="10" xfId="0" applyNumberFormat="1" applyFont="1" applyFill="1" applyBorder="1" applyAlignment="1" applyProtection="1">
      <alignment horizontal="center" vertical="center"/>
    </xf>
    <xf numFmtId="1" fontId="18" fillId="5" borderId="4" xfId="0" applyNumberFormat="1" applyFont="1" applyFill="1" applyBorder="1" applyAlignment="1" applyProtection="1">
      <alignment horizontal="center" vertical="center"/>
    </xf>
    <xf numFmtId="0" fontId="5" fillId="5" borderId="33" xfId="0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1" fontId="19" fillId="5" borderId="9" xfId="0" applyNumberFormat="1" applyFont="1" applyFill="1" applyBorder="1" applyAlignment="1" applyProtection="1">
      <alignment horizontal="center" vertical="center"/>
    </xf>
    <xf numFmtId="2" fontId="20" fillId="5" borderId="21" xfId="0" applyNumberFormat="1" applyFont="1" applyFill="1" applyBorder="1" applyAlignment="1" applyProtection="1">
      <alignment horizontal="center" vertical="center"/>
    </xf>
    <xf numFmtId="1" fontId="3" fillId="5" borderId="47" xfId="0" applyNumberFormat="1" applyFont="1" applyFill="1" applyBorder="1" applyAlignment="1" applyProtection="1">
      <alignment horizontal="center"/>
    </xf>
    <xf numFmtId="1" fontId="3" fillId="5" borderId="48" xfId="0" applyNumberFormat="1" applyFont="1" applyFill="1" applyBorder="1" applyAlignment="1" applyProtection="1">
      <alignment horizontal="center"/>
    </xf>
    <xf numFmtId="0" fontId="3" fillId="5" borderId="49" xfId="0" applyFont="1" applyFill="1" applyBorder="1" applyAlignment="1" applyProtection="1">
      <alignment horizontal="center"/>
    </xf>
    <xf numFmtId="2" fontId="17" fillId="4" borderId="10" xfId="0" applyNumberFormat="1" applyFont="1" applyFill="1" applyBorder="1" applyAlignment="1" applyProtection="1">
      <alignment horizontal="center" vertical="center"/>
    </xf>
    <xf numFmtId="0" fontId="19" fillId="2" borderId="9" xfId="0" applyNumberFormat="1" applyFont="1" applyFill="1" applyBorder="1" applyAlignment="1" applyProtection="1">
      <alignment horizontal="center" vertical="center"/>
    </xf>
    <xf numFmtId="14" fontId="5" fillId="5" borderId="43" xfId="0" applyNumberFormat="1" applyFont="1" applyFill="1" applyBorder="1" applyAlignment="1" applyProtection="1">
      <alignment horizontal="center" vertical="center" textRotation="90"/>
    </xf>
    <xf numFmtId="0" fontId="5" fillId="5" borderId="14" xfId="0" applyFont="1" applyFill="1" applyBorder="1" applyAlignment="1" applyProtection="1">
      <alignment horizontal="center" vertical="center"/>
    </xf>
    <xf numFmtId="0" fontId="5" fillId="5" borderId="34" xfId="0" applyFont="1" applyFill="1" applyBorder="1" applyAlignment="1" applyProtection="1">
      <alignment horizontal="center"/>
    </xf>
    <xf numFmtId="0" fontId="5" fillId="5" borderId="17" xfId="0" applyFont="1" applyFill="1" applyBorder="1" applyAlignment="1" applyProtection="1">
      <alignment horizontal="center"/>
    </xf>
    <xf numFmtId="0" fontId="5" fillId="5" borderId="35" xfId="0" applyFont="1" applyFill="1" applyBorder="1" applyAlignment="1" applyProtection="1">
      <alignment horizontal="center"/>
    </xf>
    <xf numFmtId="0" fontId="5" fillId="5" borderId="1" xfId="0" applyFont="1" applyFill="1" applyBorder="1" applyAlignment="1" applyProtection="1">
      <alignment horizontal="center"/>
    </xf>
    <xf numFmtId="0" fontId="5" fillId="5" borderId="19" xfId="0" applyFont="1" applyFill="1" applyBorder="1" applyAlignment="1" applyProtection="1">
      <alignment horizontal="center"/>
    </xf>
    <xf numFmtId="0" fontId="5" fillId="5" borderId="15" xfId="0" applyFont="1" applyFill="1" applyBorder="1" applyAlignment="1" applyProtection="1">
      <alignment horizontal="center" vertical="center"/>
    </xf>
    <xf numFmtId="0" fontId="5" fillId="5" borderId="15" xfId="0" applyFont="1" applyFill="1" applyBorder="1" applyAlignment="1" applyProtection="1">
      <alignment horizontal="center"/>
    </xf>
    <xf numFmtId="0" fontId="5" fillId="5" borderId="33" xfId="0" applyFont="1" applyFill="1" applyBorder="1" applyAlignment="1" applyProtection="1">
      <alignment horizontal="center"/>
    </xf>
    <xf numFmtId="0" fontId="3" fillId="5" borderId="1" xfId="0" applyFont="1" applyFill="1" applyBorder="1" applyAlignment="1" applyProtection="1">
      <alignment horizontal="center"/>
    </xf>
    <xf numFmtId="0" fontId="3" fillId="5" borderId="19" xfId="0" applyFont="1" applyFill="1" applyBorder="1" applyAlignment="1" applyProtection="1">
      <alignment horizontal="center"/>
    </xf>
    <xf numFmtId="0" fontId="5" fillId="5" borderId="38" xfId="0" applyFont="1" applyFill="1" applyBorder="1" applyAlignment="1" applyProtection="1">
      <alignment horizontal="center"/>
    </xf>
    <xf numFmtId="0" fontId="5" fillId="5" borderId="42" xfId="0" applyFont="1" applyFill="1" applyBorder="1" applyAlignment="1" applyProtection="1">
      <alignment horizontal="center"/>
    </xf>
    <xf numFmtId="2" fontId="5" fillId="4" borderId="1" xfId="0" applyNumberFormat="1" applyFont="1" applyFill="1" applyBorder="1" applyAlignment="1" applyProtection="1">
      <alignment horizontal="center" vertical="center"/>
    </xf>
    <xf numFmtId="164" fontId="5" fillId="7" borderId="1" xfId="0" applyNumberFormat="1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/>
    </xf>
    <xf numFmtId="0" fontId="5" fillId="5" borderId="20" xfId="0" applyFont="1" applyFill="1" applyBorder="1" applyAlignment="1" applyProtection="1">
      <alignment horizontal="center"/>
    </xf>
    <xf numFmtId="0" fontId="5" fillId="5" borderId="16" xfId="0" applyFont="1" applyFill="1" applyBorder="1" applyAlignment="1" applyProtection="1">
      <alignment horizontal="center"/>
    </xf>
    <xf numFmtId="4" fontId="5" fillId="3" borderId="1" xfId="0" applyNumberFormat="1" applyFont="1" applyFill="1" applyBorder="1" applyAlignment="1" applyProtection="1">
      <alignment horizontal="center" vertical="center"/>
    </xf>
    <xf numFmtId="14" fontId="5" fillId="5" borderId="13" xfId="0" applyNumberFormat="1" applyFont="1" applyFill="1" applyBorder="1" applyAlignment="1" applyProtection="1">
      <alignment horizontal="center" vertical="center" textRotation="90"/>
    </xf>
    <xf numFmtId="2" fontId="5" fillId="4" borderId="47" xfId="0" applyNumberFormat="1" applyFont="1" applyFill="1" applyBorder="1" applyAlignment="1" applyProtection="1">
      <alignment horizontal="center" vertical="center"/>
    </xf>
    <xf numFmtId="2" fontId="3" fillId="6" borderId="25" xfId="0" applyNumberFormat="1" applyFont="1" applyFill="1" applyBorder="1" applyAlignment="1" applyProtection="1">
      <alignment horizontal="center" vertical="center"/>
    </xf>
    <xf numFmtId="0" fontId="9" fillId="2" borderId="22" xfId="0" applyFont="1" applyFill="1" applyBorder="1" applyAlignment="1" applyProtection="1">
      <alignment horizontal="center" vertical="center" textRotation="90" wrapText="1"/>
    </xf>
    <xf numFmtId="0" fontId="10" fillId="5" borderId="10" xfId="0" applyFont="1" applyFill="1" applyBorder="1" applyAlignment="1" applyProtection="1">
      <alignment horizontal="center" vertical="center" textRotation="90"/>
    </xf>
    <xf numFmtId="0" fontId="10" fillId="5" borderId="22" xfId="0" applyFont="1" applyFill="1" applyBorder="1" applyAlignment="1" applyProtection="1">
      <alignment horizontal="center" vertical="center" textRotation="90" wrapText="1"/>
    </xf>
    <xf numFmtId="0" fontId="10" fillId="5" borderId="10" xfId="0" applyFont="1" applyFill="1" applyBorder="1" applyAlignment="1" applyProtection="1">
      <alignment horizontal="center" vertical="center" textRotation="90" wrapText="1"/>
    </xf>
    <xf numFmtId="0" fontId="10" fillId="2" borderId="22" xfId="0" applyFont="1" applyFill="1" applyBorder="1" applyAlignment="1" applyProtection="1">
      <alignment horizontal="center" vertical="center" textRotation="90"/>
    </xf>
    <xf numFmtId="0" fontId="10" fillId="2" borderId="10" xfId="0" applyFont="1" applyFill="1" applyBorder="1" applyAlignment="1" applyProtection="1">
      <alignment horizontal="center" vertical="center" textRotation="90" wrapText="1"/>
    </xf>
    <xf numFmtId="14" fontId="5" fillId="8" borderId="43" xfId="0" applyNumberFormat="1" applyFont="1" applyFill="1" applyBorder="1" applyAlignment="1" applyProtection="1">
      <alignment horizontal="center" vertical="center" textRotation="90"/>
    </xf>
    <xf numFmtId="2" fontId="21" fillId="8" borderId="21" xfId="0" applyNumberFormat="1" applyFont="1" applyFill="1" applyBorder="1" applyAlignment="1" applyProtection="1">
      <alignment horizontal="center" vertical="center"/>
    </xf>
    <xf numFmtId="0" fontId="5" fillId="8" borderId="3" xfId="0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 applyProtection="1">
      <alignment horizontal="center"/>
    </xf>
    <xf numFmtId="0" fontId="3" fillId="8" borderId="1" xfId="0" applyFont="1" applyFill="1" applyBorder="1" applyAlignment="1" applyProtection="1">
      <alignment horizontal="center"/>
    </xf>
    <xf numFmtId="0" fontId="5" fillId="8" borderId="18" xfId="0" applyFont="1" applyFill="1" applyBorder="1" applyAlignment="1" applyProtection="1">
      <alignment horizontal="center" vertical="center"/>
    </xf>
    <xf numFmtId="0" fontId="5" fillId="8" borderId="19" xfId="0" applyFont="1" applyFill="1" applyBorder="1" applyAlignment="1" applyProtection="1">
      <alignment horizontal="center" vertical="center"/>
    </xf>
    <xf numFmtId="0" fontId="5" fillId="8" borderId="19" xfId="0" applyFont="1" applyFill="1" applyBorder="1" applyAlignment="1" applyProtection="1">
      <alignment horizontal="center"/>
    </xf>
    <xf numFmtId="0" fontId="3" fillId="8" borderId="19" xfId="0" applyFont="1" applyFill="1" applyBorder="1" applyAlignment="1" applyProtection="1">
      <alignment horizontal="center"/>
    </xf>
    <xf numFmtId="1" fontId="19" fillId="8" borderId="9" xfId="0" applyNumberFormat="1" applyFont="1" applyFill="1" applyBorder="1" applyAlignment="1" applyProtection="1">
      <alignment horizontal="center" vertical="center"/>
    </xf>
    <xf numFmtId="1" fontId="3" fillId="8" borderId="21" xfId="0" applyNumberFormat="1" applyFont="1" applyFill="1" applyBorder="1" applyAlignment="1" applyProtection="1">
      <alignment horizontal="center"/>
    </xf>
    <xf numFmtId="1" fontId="3" fillId="8" borderId="17" xfId="0" applyNumberFormat="1" applyFont="1" applyFill="1" applyBorder="1" applyAlignment="1" applyProtection="1">
      <alignment horizontal="center"/>
    </xf>
    <xf numFmtId="0" fontId="3" fillId="8" borderId="35" xfId="0" applyFont="1" applyFill="1" applyBorder="1" applyAlignment="1" applyProtection="1">
      <alignment horizontal="center"/>
    </xf>
    <xf numFmtId="2" fontId="3" fillId="8" borderId="13" xfId="0" applyNumberFormat="1" applyFont="1" applyFill="1" applyBorder="1" applyAlignment="1" applyProtection="1">
      <alignment horizontal="center" vertical="center"/>
    </xf>
    <xf numFmtId="2" fontId="17" fillId="8" borderId="21" xfId="0" applyNumberFormat="1" applyFont="1" applyFill="1" applyBorder="1" applyAlignment="1" applyProtection="1">
      <alignment horizontal="center" vertical="center"/>
    </xf>
    <xf numFmtId="0" fontId="12" fillId="8" borderId="33" xfId="0" applyFont="1" applyFill="1" applyBorder="1" applyAlignment="1" applyProtection="1">
      <alignment horizontal="center" textRotation="90" wrapText="1"/>
    </xf>
    <xf numFmtId="0" fontId="12" fillId="8" borderId="33" xfId="0" applyFont="1" applyFill="1" applyBorder="1" applyAlignment="1" applyProtection="1">
      <alignment horizontal="center" textRotation="90"/>
    </xf>
    <xf numFmtId="1" fontId="3" fillId="3" borderId="25" xfId="0" applyNumberFormat="1" applyFont="1" applyFill="1" applyBorder="1" applyAlignment="1" applyProtection="1">
      <alignment horizontal="center" vertical="center"/>
    </xf>
    <xf numFmtId="1" fontId="3" fillId="3" borderId="23" xfId="0" applyNumberFormat="1" applyFont="1" applyFill="1" applyBorder="1" applyAlignment="1" applyProtection="1">
      <alignment horizontal="center" vertical="center"/>
    </xf>
    <xf numFmtId="1" fontId="3" fillId="8" borderId="47" xfId="0" applyNumberFormat="1" applyFont="1" applyFill="1" applyBorder="1" applyAlignment="1" applyProtection="1">
      <alignment horizontal="center"/>
    </xf>
    <xf numFmtId="2" fontId="5" fillId="8" borderId="1" xfId="0" applyNumberFormat="1" applyFont="1" applyFill="1" applyBorder="1" applyAlignment="1" applyProtection="1">
      <alignment horizontal="center"/>
    </xf>
    <xf numFmtId="2" fontId="5" fillId="8" borderId="18" xfId="0" applyNumberFormat="1" applyFont="1" applyFill="1" applyBorder="1" applyAlignment="1" applyProtection="1">
      <alignment horizontal="center"/>
    </xf>
    <xf numFmtId="0" fontId="3" fillId="8" borderId="36" xfId="0" applyFont="1" applyFill="1" applyBorder="1" applyAlignment="1" applyProtection="1">
      <alignment horizontal="center"/>
    </xf>
    <xf numFmtId="0" fontId="5" fillId="8" borderId="50" xfId="0" applyFont="1" applyFill="1" applyBorder="1" applyAlignment="1" applyProtection="1">
      <alignment horizontal="center" vertical="center"/>
    </xf>
    <xf numFmtId="0" fontId="10" fillId="5" borderId="22" xfId="0" applyFont="1" applyFill="1" applyBorder="1" applyAlignment="1" applyProtection="1">
      <alignment horizontal="center" vertical="center" textRotation="90"/>
    </xf>
    <xf numFmtId="2" fontId="17" fillId="8" borderId="28" xfId="0" applyNumberFormat="1" applyFont="1" applyFill="1" applyBorder="1" applyAlignment="1" applyProtection="1">
      <alignment horizontal="center" vertical="center"/>
    </xf>
    <xf numFmtId="0" fontId="5" fillId="5" borderId="51" xfId="0" applyFont="1" applyFill="1" applyBorder="1" applyAlignment="1" applyProtection="1">
      <alignment horizontal="center" vertical="center" textRotation="90"/>
    </xf>
    <xf numFmtId="0" fontId="10" fillId="8" borderId="10" xfId="0" applyFont="1" applyFill="1" applyBorder="1" applyAlignment="1" applyProtection="1">
      <alignment horizontal="center" vertical="center" textRotation="90"/>
    </xf>
    <xf numFmtId="0" fontId="10" fillId="8" borderId="10" xfId="0" applyFont="1" applyFill="1" applyBorder="1" applyAlignment="1" applyProtection="1">
      <alignment horizontal="center" vertical="center" textRotation="90" wrapText="1"/>
    </xf>
    <xf numFmtId="0" fontId="10" fillId="8" borderId="22" xfId="0" applyFont="1" applyFill="1" applyBorder="1" applyAlignment="1" applyProtection="1">
      <alignment horizontal="center" vertical="center" textRotation="90" wrapText="1"/>
    </xf>
    <xf numFmtId="0" fontId="10" fillId="5" borderId="27" xfId="0" applyFont="1" applyFill="1" applyBorder="1" applyAlignment="1" applyProtection="1">
      <alignment horizontal="center" vertical="center" textRotation="90" wrapText="1"/>
    </xf>
    <xf numFmtId="0" fontId="10" fillId="5" borderId="28" xfId="0" applyFont="1" applyFill="1" applyBorder="1" applyAlignment="1" applyProtection="1">
      <alignment horizontal="center" vertical="center" textRotation="90" wrapText="1"/>
    </xf>
    <xf numFmtId="0" fontId="5" fillId="5" borderId="45" xfId="0" applyFont="1" applyFill="1" applyBorder="1" applyAlignment="1" applyProtection="1">
      <alignment horizontal="center"/>
    </xf>
    <xf numFmtId="0" fontId="10" fillId="5" borderId="27" xfId="0" applyFont="1" applyFill="1" applyBorder="1" applyAlignment="1" applyProtection="1">
      <alignment horizontal="center" vertical="center" textRotation="90"/>
    </xf>
    <xf numFmtId="14" fontId="5" fillId="5" borderId="51" xfId="0" applyNumberFormat="1" applyFont="1" applyFill="1" applyBorder="1" applyAlignment="1" applyProtection="1">
      <alignment horizontal="center" vertical="center" textRotation="90"/>
    </xf>
    <xf numFmtId="0" fontId="5" fillId="5" borderId="53" xfId="0" applyFont="1" applyFill="1" applyBorder="1" applyAlignment="1" applyProtection="1">
      <alignment horizontal="center"/>
    </xf>
    <xf numFmtId="0" fontId="3" fillId="8" borderId="50" xfId="0" applyFont="1" applyFill="1" applyBorder="1" applyAlignment="1" applyProtection="1">
      <alignment horizontal="center"/>
    </xf>
    <xf numFmtId="2" fontId="20" fillId="8" borderId="1" xfId="0" applyNumberFormat="1" applyFont="1" applyFill="1" applyBorder="1" applyAlignment="1" applyProtection="1">
      <alignment horizontal="center" vertical="center"/>
    </xf>
    <xf numFmtId="0" fontId="12" fillId="8" borderId="50" xfId="0" applyFont="1" applyFill="1" applyBorder="1" applyAlignment="1" applyProtection="1">
      <alignment horizontal="center" vertical="center" textRotation="90" wrapText="1"/>
    </xf>
    <xf numFmtId="0" fontId="12" fillId="8" borderId="1" xfId="0" applyFont="1" applyFill="1" applyBorder="1" applyAlignment="1" applyProtection="1">
      <alignment horizontal="center" vertical="center" textRotation="90" wrapText="1"/>
    </xf>
    <xf numFmtId="0" fontId="12" fillId="8" borderId="2" xfId="0" applyFont="1" applyFill="1" applyBorder="1" applyAlignment="1" applyProtection="1">
      <alignment horizontal="center" vertical="center" textRotation="90" wrapText="1"/>
    </xf>
    <xf numFmtId="14" fontId="5" fillId="5" borderId="22" xfId="0" applyNumberFormat="1" applyFont="1" applyFill="1" applyBorder="1" applyAlignment="1" applyProtection="1">
      <alignment horizontal="center" vertical="center" textRotation="90"/>
    </xf>
    <xf numFmtId="2" fontId="17" fillId="8" borderId="52" xfId="0" applyNumberFormat="1" applyFont="1" applyFill="1" applyBorder="1" applyAlignment="1" applyProtection="1">
      <alignment horizontal="center" vertical="center"/>
    </xf>
    <xf numFmtId="0" fontId="5" fillId="5" borderId="58" xfId="0" applyFont="1" applyFill="1" applyBorder="1" applyAlignment="1" applyProtection="1">
      <alignment horizontal="center"/>
    </xf>
    <xf numFmtId="14" fontId="5" fillId="8" borderId="51" xfId="0" applyNumberFormat="1" applyFont="1" applyFill="1" applyBorder="1" applyAlignment="1" applyProtection="1">
      <alignment horizontal="center" vertical="center" textRotation="90"/>
    </xf>
    <xf numFmtId="0" fontId="3" fillId="5" borderId="2" xfId="0" applyFont="1" applyFill="1" applyBorder="1" applyAlignment="1" applyProtection="1">
      <alignment horizontal="center"/>
    </xf>
    <xf numFmtId="0" fontId="3" fillId="5" borderId="59" xfId="0" applyFont="1" applyFill="1" applyBorder="1" applyAlignment="1" applyProtection="1">
      <alignment horizontal="center"/>
    </xf>
    <xf numFmtId="0" fontId="3" fillId="5" borderId="60" xfId="0" applyFont="1" applyFill="1" applyBorder="1" applyAlignment="1" applyProtection="1">
      <alignment horizontal="center"/>
    </xf>
    <xf numFmtId="2" fontId="21" fillId="8" borderId="58" xfId="0" applyNumberFormat="1" applyFont="1" applyFill="1" applyBorder="1" applyAlignment="1" applyProtection="1">
      <alignment horizontal="center" vertical="center"/>
    </xf>
    <xf numFmtId="1" fontId="19" fillId="8" borderId="64" xfId="0" applyNumberFormat="1" applyFont="1" applyFill="1" applyBorder="1" applyAlignment="1" applyProtection="1">
      <alignment horizontal="center" vertical="center"/>
    </xf>
    <xf numFmtId="1" fontId="3" fillId="8" borderId="7" xfId="0" applyNumberFormat="1" applyFont="1" applyFill="1" applyBorder="1" applyAlignment="1" applyProtection="1">
      <alignment horizontal="center"/>
    </xf>
    <xf numFmtId="1" fontId="3" fillId="8" borderId="3" xfId="0" applyNumberFormat="1" applyFont="1" applyFill="1" applyBorder="1" applyAlignment="1" applyProtection="1">
      <alignment horizontal="center"/>
    </xf>
    <xf numFmtId="2" fontId="17" fillId="4" borderId="65" xfId="0" applyNumberFormat="1" applyFont="1" applyFill="1" applyBorder="1" applyAlignment="1" applyProtection="1">
      <alignment horizontal="center" vertical="center"/>
    </xf>
    <xf numFmtId="2" fontId="3" fillId="8" borderId="34" xfId="0" applyNumberFormat="1" applyFont="1" applyFill="1" applyBorder="1" applyAlignment="1" applyProtection="1">
      <alignment horizontal="center" vertical="center"/>
    </xf>
    <xf numFmtId="2" fontId="3" fillId="8" borderId="14" xfId="0" applyNumberFormat="1" applyFont="1" applyFill="1" applyBorder="1" applyAlignment="1" applyProtection="1">
      <alignment horizontal="center" vertical="center"/>
    </xf>
    <xf numFmtId="1" fontId="19" fillId="8" borderId="25" xfId="0" applyNumberFormat="1" applyFont="1" applyFill="1" applyBorder="1" applyAlignment="1" applyProtection="1">
      <alignment horizontal="center" vertical="center"/>
    </xf>
    <xf numFmtId="2" fontId="17" fillId="4" borderId="12" xfId="0" applyNumberFormat="1" applyFont="1" applyFill="1" applyBorder="1" applyAlignment="1" applyProtection="1">
      <alignment horizontal="center" vertical="center"/>
    </xf>
    <xf numFmtId="14" fontId="5" fillId="5" borderId="10" xfId="0" applyNumberFormat="1" applyFont="1" applyFill="1" applyBorder="1" applyAlignment="1" applyProtection="1">
      <alignment horizontal="center" vertical="center" textRotation="90"/>
    </xf>
    <xf numFmtId="2" fontId="20" fillId="4" borderId="13" xfId="0" applyNumberFormat="1" applyFont="1" applyFill="1" applyBorder="1" applyAlignment="1" applyProtection="1">
      <alignment horizontal="center" vertical="center"/>
    </xf>
    <xf numFmtId="2" fontId="20" fillId="8" borderId="36" xfId="0" applyNumberFormat="1" applyFont="1" applyFill="1" applyBorder="1" applyAlignment="1" applyProtection="1">
      <alignment horizontal="center" vertical="center"/>
    </xf>
    <xf numFmtId="1" fontId="19" fillId="8" borderId="4" xfId="0" applyNumberFormat="1" applyFont="1" applyFill="1" applyBorder="1" applyAlignment="1" applyProtection="1">
      <alignment horizontal="center" vertical="center"/>
    </xf>
    <xf numFmtId="1" fontId="19" fillId="8" borderId="5" xfId="0" applyNumberFormat="1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 applyProtection="1">
      <alignment horizontal="center" vertical="top"/>
    </xf>
    <xf numFmtId="0" fontId="5" fillId="8" borderId="36" xfId="0" applyFont="1" applyFill="1" applyBorder="1" applyAlignment="1" applyProtection="1">
      <alignment horizontal="center"/>
    </xf>
    <xf numFmtId="2" fontId="17" fillId="8" borderId="36" xfId="0" applyNumberFormat="1" applyFont="1" applyFill="1" applyBorder="1" applyAlignment="1" applyProtection="1">
      <alignment horizontal="center" vertical="center"/>
    </xf>
    <xf numFmtId="1" fontId="17" fillId="8" borderId="23" xfId="0" applyNumberFormat="1" applyFont="1" applyFill="1" applyBorder="1" applyAlignment="1" applyProtection="1">
      <alignment horizontal="center" vertical="center"/>
    </xf>
    <xf numFmtId="2" fontId="5" fillId="8" borderId="50" xfId="0" applyNumberFormat="1" applyFont="1" applyFill="1" applyBorder="1" applyAlignment="1" applyProtection="1">
      <alignment horizontal="center" vertical="center"/>
    </xf>
    <xf numFmtId="2" fontId="5" fillId="8" borderId="1" xfId="0" applyNumberFormat="1" applyFont="1" applyFill="1" applyBorder="1" applyAlignment="1" applyProtection="1">
      <alignment horizontal="center" vertical="center"/>
    </xf>
    <xf numFmtId="0" fontId="12" fillId="9" borderId="1" xfId="0" applyFont="1" applyFill="1" applyBorder="1" applyAlignment="1" applyProtection="1">
      <alignment horizontal="center" vertical="center" textRotation="90" wrapText="1"/>
    </xf>
    <xf numFmtId="2" fontId="17" fillId="9" borderId="52" xfId="0" applyNumberFormat="1" applyFont="1" applyFill="1" applyBorder="1" applyAlignment="1" applyProtection="1">
      <alignment horizontal="center" vertical="center"/>
    </xf>
    <xf numFmtId="0" fontId="5" fillId="9" borderId="1" xfId="0" applyFont="1" applyFill="1" applyBorder="1" applyAlignment="1" applyProtection="1">
      <alignment horizontal="center" vertical="center"/>
    </xf>
    <xf numFmtId="0" fontId="3" fillId="9" borderId="1" xfId="0" applyFont="1" applyFill="1" applyBorder="1" applyAlignment="1" applyProtection="1">
      <alignment horizontal="center"/>
    </xf>
    <xf numFmtId="0" fontId="5" fillId="9" borderId="1" xfId="0" applyFont="1" applyFill="1" applyBorder="1" applyAlignment="1" applyProtection="1">
      <alignment horizontal="center"/>
    </xf>
    <xf numFmtId="2" fontId="17" fillId="9" borderId="21" xfId="0" applyNumberFormat="1" applyFont="1" applyFill="1" applyBorder="1" applyAlignment="1" applyProtection="1">
      <alignment horizontal="center" vertical="center"/>
    </xf>
    <xf numFmtId="2" fontId="17" fillId="9" borderId="36" xfId="0" applyNumberFormat="1" applyFont="1" applyFill="1" applyBorder="1" applyAlignment="1" applyProtection="1">
      <alignment horizontal="center" vertical="center"/>
    </xf>
    <xf numFmtId="0" fontId="5" fillId="9" borderId="50" xfId="0" applyFont="1" applyFill="1" applyBorder="1" applyAlignment="1" applyProtection="1">
      <alignment horizontal="center" vertical="center"/>
    </xf>
    <xf numFmtId="1" fontId="17" fillId="9" borderId="23" xfId="0" applyNumberFormat="1" applyFont="1" applyFill="1" applyBorder="1" applyAlignment="1" applyProtection="1">
      <alignment horizontal="center" vertical="center"/>
    </xf>
    <xf numFmtId="1" fontId="3" fillId="9" borderId="47" xfId="0" applyNumberFormat="1" applyFont="1" applyFill="1" applyBorder="1" applyAlignment="1" applyProtection="1">
      <alignment horizontal="center"/>
    </xf>
    <xf numFmtId="2" fontId="5" fillId="9" borderId="18" xfId="0" applyNumberFormat="1" applyFont="1" applyFill="1" applyBorder="1" applyAlignment="1" applyProtection="1">
      <alignment horizontal="center"/>
    </xf>
    <xf numFmtId="0" fontId="5" fillId="9" borderId="18" xfId="0" applyFont="1" applyFill="1" applyBorder="1" applyAlignment="1" applyProtection="1">
      <alignment horizontal="center"/>
    </xf>
    <xf numFmtId="0" fontId="5" fillId="9" borderId="1" xfId="0" applyFont="1" applyFill="1" applyBorder="1" applyAlignment="1" applyProtection="1">
      <alignment horizontal="center" vertical="top"/>
    </xf>
    <xf numFmtId="2" fontId="17" fillId="9" borderId="28" xfId="0" applyNumberFormat="1" applyFont="1" applyFill="1" applyBorder="1" applyAlignment="1" applyProtection="1">
      <alignment horizontal="center" vertical="center"/>
    </xf>
    <xf numFmtId="0" fontId="3" fillId="9" borderId="36" xfId="0" applyFont="1" applyFill="1" applyBorder="1" applyAlignment="1" applyProtection="1">
      <alignment horizontal="center"/>
    </xf>
    <xf numFmtId="0" fontId="5" fillId="9" borderId="36" xfId="0" applyFont="1" applyFill="1" applyBorder="1" applyAlignment="1" applyProtection="1">
      <alignment horizontal="center"/>
    </xf>
    <xf numFmtId="1" fontId="19" fillId="9" borderId="25" xfId="0" applyNumberFormat="1" applyFont="1" applyFill="1" applyBorder="1" applyAlignment="1" applyProtection="1">
      <alignment horizontal="center" vertical="center"/>
    </xf>
    <xf numFmtId="1" fontId="3" fillId="8" borderId="44" xfId="0" applyNumberFormat="1" applyFont="1" applyFill="1" applyBorder="1" applyAlignment="1" applyProtection="1">
      <alignment horizontal="center"/>
    </xf>
    <xf numFmtId="0" fontId="12" fillId="9" borderId="2" xfId="0" applyFont="1" applyFill="1" applyBorder="1" applyAlignment="1" applyProtection="1">
      <alignment horizontal="center" vertical="center" textRotation="90" wrapText="1"/>
    </xf>
    <xf numFmtId="2" fontId="20" fillId="9" borderId="1" xfId="0" applyNumberFormat="1" applyFont="1" applyFill="1" applyBorder="1" applyAlignment="1" applyProtection="1">
      <alignment horizontal="center" vertical="center"/>
    </xf>
    <xf numFmtId="0" fontId="3" fillId="9" borderId="50" xfId="0" applyFont="1" applyFill="1" applyBorder="1" applyAlignment="1" applyProtection="1">
      <alignment horizontal="center"/>
    </xf>
    <xf numFmtId="2" fontId="20" fillId="9" borderId="36" xfId="0" applyNumberFormat="1" applyFont="1" applyFill="1" applyBorder="1" applyAlignment="1" applyProtection="1">
      <alignment horizontal="center" vertical="center"/>
    </xf>
    <xf numFmtId="1" fontId="19" fillId="9" borderId="1" xfId="0" applyNumberFormat="1" applyFont="1" applyFill="1" applyBorder="1" applyAlignment="1" applyProtection="1">
      <alignment horizontal="center" vertical="center"/>
    </xf>
    <xf numFmtId="2" fontId="5" fillId="9" borderId="50" xfId="0" applyNumberFormat="1" applyFont="1" applyFill="1" applyBorder="1" applyAlignment="1" applyProtection="1">
      <alignment horizontal="center" vertical="center"/>
    </xf>
    <xf numFmtId="2" fontId="5" fillId="9" borderId="1" xfId="0" applyNumberFormat="1" applyFont="1" applyFill="1" applyBorder="1" applyAlignment="1" applyProtection="1">
      <alignment horizontal="center" vertical="center"/>
    </xf>
    <xf numFmtId="0" fontId="4" fillId="0" borderId="45" xfId="0" applyFont="1" applyBorder="1" applyProtection="1"/>
    <xf numFmtId="0" fontId="4" fillId="0" borderId="50" xfId="0" applyFont="1" applyBorder="1" applyProtection="1"/>
    <xf numFmtId="0" fontId="12" fillId="9" borderId="33" xfId="0" applyFont="1" applyFill="1" applyBorder="1" applyAlignment="1" applyProtection="1">
      <alignment horizontal="center" vertical="center" textRotation="90" wrapText="1"/>
    </xf>
    <xf numFmtId="2" fontId="5" fillId="9" borderId="1" xfId="0" applyNumberFormat="1" applyFont="1" applyFill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 vertical="center"/>
    </xf>
    <xf numFmtId="0" fontId="10" fillId="9" borderId="54" xfId="0" applyFont="1" applyFill="1" applyBorder="1" applyAlignment="1" applyProtection="1">
      <alignment horizontal="center" vertical="center" textRotation="90"/>
    </xf>
    <xf numFmtId="0" fontId="10" fillId="9" borderId="54" xfId="0" applyFont="1" applyFill="1" applyBorder="1" applyAlignment="1" applyProtection="1">
      <alignment horizontal="center" vertical="center" textRotation="90" wrapText="1"/>
    </xf>
    <xf numFmtId="0" fontId="10" fillId="9" borderId="61" xfId="0" applyFont="1" applyFill="1" applyBorder="1" applyAlignment="1" applyProtection="1">
      <alignment horizontal="center" vertical="center" textRotation="90" wrapText="1"/>
    </xf>
    <xf numFmtId="14" fontId="5" fillId="9" borderId="51" xfId="0" applyNumberFormat="1" applyFont="1" applyFill="1" applyBorder="1" applyAlignment="1" applyProtection="1">
      <alignment horizontal="center" vertical="center" textRotation="90"/>
    </xf>
    <xf numFmtId="2" fontId="21" fillId="9" borderId="58" xfId="0" applyNumberFormat="1" applyFont="1" applyFill="1" applyBorder="1" applyAlignment="1" applyProtection="1">
      <alignment horizontal="center" vertical="center"/>
    </xf>
    <xf numFmtId="0" fontId="5" fillId="9" borderId="3" xfId="0" applyFont="1" applyFill="1" applyBorder="1" applyAlignment="1" applyProtection="1">
      <alignment horizontal="center" vertical="center"/>
    </xf>
    <xf numFmtId="0" fontId="5" fillId="9" borderId="18" xfId="0" applyFont="1" applyFill="1" applyBorder="1" applyAlignment="1" applyProtection="1">
      <alignment horizontal="center" vertical="center"/>
    </xf>
    <xf numFmtId="0" fontId="5" fillId="9" borderId="19" xfId="0" applyFont="1" applyFill="1" applyBorder="1" applyAlignment="1" applyProtection="1">
      <alignment horizontal="center" vertical="center"/>
    </xf>
    <xf numFmtId="0" fontId="5" fillId="9" borderId="19" xfId="0" applyFont="1" applyFill="1" applyBorder="1" applyAlignment="1" applyProtection="1">
      <alignment horizontal="center"/>
    </xf>
    <xf numFmtId="0" fontId="3" fillId="9" borderId="19" xfId="0" applyFont="1" applyFill="1" applyBorder="1" applyAlignment="1" applyProtection="1">
      <alignment horizontal="center"/>
    </xf>
    <xf numFmtId="1" fontId="19" fillId="9" borderId="64" xfId="0" applyNumberFormat="1" applyFont="1" applyFill="1" applyBorder="1" applyAlignment="1" applyProtection="1">
      <alignment horizontal="center" vertical="center"/>
    </xf>
    <xf numFmtId="1" fontId="3" fillId="9" borderId="21" xfId="0" applyNumberFormat="1" applyFont="1" applyFill="1" applyBorder="1" applyAlignment="1" applyProtection="1">
      <alignment horizontal="center"/>
    </xf>
    <xf numFmtId="1" fontId="3" fillId="9" borderId="7" xfId="0" applyNumberFormat="1" applyFont="1" applyFill="1" applyBorder="1" applyAlignment="1" applyProtection="1">
      <alignment horizontal="center"/>
    </xf>
    <xf numFmtId="1" fontId="3" fillId="9" borderId="17" xfId="0" applyNumberFormat="1" applyFont="1" applyFill="1" applyBorder="1" applyAlignment="1" applyProtection="1">
      <alignment horizontal="center"/>
    </xf>
    <xf numFmtId="1" fontId="3" fillId="9" borderId="3" xfId="0" applyNumberFormat="1" applyFont="1" applyFill="1" applyBorder="1" applyAlignment="1" applyProtection="1">
      <alignment horizontal="center"/>
    </xf>
    <xf numFmtId="0" fontId="3" fillId="9" borderId="35" xfId="0" applyFont="1" applyFill="1" applyBorder="1" applyAlignment="1" applyProtection="1">
      <alignment horizontal="center"/>
    </xf>
    <xf numFmtId="2" fontId="3" fillId="9" borderId="34" xfId="0" applyNumberFormat="1" applyFont="1" applyFill="1" applyBorder="1" applyAlignment="1" applyProtection="1">
      <alignment horizontal="center" vertical="center"/>
    </xf>
    <xf numFmtId="2" fontId="3" fillId="9" borderId="14" xfId="0" applyNumberFormat="1" applyFont="1" applyFill="1" applyBorder="1" applyAlignment="1" applyProtection="1">
      <alignment horizontal="center" vertical="center"/>
    </xf>
    <xf numFmtId="0" fontId="10" fillId="2" borderId="10" xfId="0" applyFont="1" applyFill="1" applyBorder="1" applyAlignment="1" applyProtection="1">
      <alignment horizontal="center" vertical="center" textRotation="90"/>
    </xf>
    <xf numFmtId="0" fontId="10" fillId="8" borderId="27" xfId="0" applyFont="1" applyFill="1" applyBorder="1" applyAlignment="1" applyProtection="1">
      <alignment horizontal="center" vertical="center" textRotation="90"/>
    </xf>
    <xf numFmtId="0" fontId="10" fillId="8" borderId="27" xfId="0" applyFont="1" applyFill="1" applyBorder="1" applyAlignment="1" applyProtection="1">
      <alignment horizontal="center" vertical="center" textRotation="90" wrapText="1"/>
    </xf>
    <xf numFmtId="0" fontId="10" fillId="8" borderId="67" xfId="0" applyFont="1" applyFill="1" applyBorder="1" applyAlignment="1" applyProtection="1">
      <alignment horizontal="center" vertical="center" textRotation="90" wrapText="1"/>
    </xf>
    <xf numFmtId="0" fontId="10" fillId="9" borderId="27" xfId="0" applyFont="1" applyFill="1" applyBorder="1" applyAlignment="1" applyProtection="1">
      <alignment horizontal="center" vertical="center" textRotation="90"/>
    </xf>
    <xf numFmtId="0" fontId="10" fillId="9" borderId="27" xfId="0" applyFont="1" applyFill="1" applyBorder="1" applyAlignment="1" applyProtection="1">
      <alignment horizontal="center" vertical="center" textRotation="90" wrapText="1"/>
    </xf>
    <xf numFmtId="0" fontId="10" fillId="9" borderId="67" xfId="0" applyFont="1" applyFill="1" applyBorder="1" applyAlignment="1" applyProtection="1">
      <alignment horizontal="center" vertical="center" textRotation="90" wrapText="1"/>
    </xf>
    <xf numFmtId="0" fontId="8" fillId="0" borderId="1" xfId="0" applyFont="1" applyBorder="1" applyAlignment="1" applyProtection="1">
      <alignment horizontal="center" vertical="center"/>
    </xf>
    <xf numFmtId="0" fontId="5" fillId="9" borderId="4" xfId="0" applyFont="1" applyFill="1" applyBorder="1" applyAlignment="1" applyProtection="1">
      <alignment horizontal="center" vertical="center"/>
    </xf>
    <xf numFmtId="0" fontId="5" fillId="9" borderId="5" xfId="0" applyFont="1" applyFill="1" applyBorder="1" applyAlignment="1" applyProtection="1">
      <alignment horizontal="center" vertical="center"/>
    </xf>
    <xf numFmtId="0" fontId="5" fillId="9" borderId="6" xfId="0" applyFont="1" applyFill="1" applyBorder="1" applyAlignment="1" applyProtection="1">
      <alignment horizontal="center" vertical="center"/>
    </xf>
    <xf numFmtId="0" fontId="5" fillId="9" borderId="50" xfId="0" applyFont="1" applyFill="1" applyBorder="1" applyAlignment="1" applyProtection="1">
      <alignment horizontal="center"/>
    </xf>
    <xf numFmtId="0" fontId="5" fillId="9" borderId="68" xfId="0" applyFont="1" applyFill="1" applyBorder="1" applyAlignment="1" applyProtection="1">
      <alignment horizontal="center"/>
    </xf>
    <xf numFmtId="0" fontId="5" fillId="9" borderId="5" xfId="0" applyFont="1" applyFill="1" applyBorder="1" applyAlignment="1" applyProtection="1">
      <alignment horizontal="center"/>
    </xf>
    <xf numFmtId="0" fontId="5" fillId="9" borderId="6" xfId="0" applyFont="1" applyFill="1" applyBorder="1" applyAlignment="1" applyProtection="1">
      <alignment horizontal="center"/>
    </xf>
    <xf numFmtId="0" fontId="3" fillId="9" borderId="5" xfId="0" applyFont="1" applyFill="1" applyBorder="1" applyAlignment="1" applyProtection="1">
      <alignment horizontal="center"/>
    </xf>
    <xf numFmtId="0" fontId="3" fillId="9" borderId="6" xfId="0" applyFont="1" applyFill="1" applyBorder="1" applyAlignment="1" applyProtection="1">
      <alignment horizontal="center"/>
    </xf>
    <xf numFmtId="0" fontId="5" fillId="9" borderId="34" xfId="0" applyFont="1" applyFill="1" applyBorder="1" applyAlignment="1" applyProtection="1">
      <alignment horizontal="center" vertical="center"/>
    </xf>
    <xf numFmtId="0" fontId="5" fillId="9" borderId="17" xfId="0" applyFont="1" applyFill="1" applyBorder="1" applyAlignment="1" applyProtection="1">
      <alignment horizontal="center" vertical="center"/>
    </xf>
    <xf numFmtId="0" fontId="5" fillId="9" borderId="12" xfId="0" applyFont="1" applyFill="1" applyBorder="1" applyAlignment="1" applyProtection="1">
      <alignment horizontal="center" vertical="center"/>
    </xf>
    <xf numFmtId="14" fontId="5" fillId="9" borderId="36" xfId="0" applyNumberFormat="1" applyFont="1" applyFill="1" applyBorder="1" applyAlignment="1" applyProtection="1">
      <alignment horizontal="center" vertical="center" textRotation="90"/>
    </xf>
    <xf numFmtId="14" fontId="5" fillId="9" borderId="1" xfId="0" applyNumberFormat="1" applyFont="1" applyFill="1" applyBorder="1" applyAlignment="1" applyProtection="1">
      <alignment horizontal="center" vertical="center" textRotation="90"/>
    </xf>
    <xf numFmtId="0" fontId="12" fillId="9" borderId="33" xfId="0" applyFont="1" applyFill="1" applyBorder="1" applyAlignment="1" applyProtection="1">
      <alignment horizontal="center" vertical="center" textRotation="90"/>
    </xf>
    <xf numFmtId="14" fontId="5" fillId="9" borderId="50" xfId="0" applyNumberFormat="1" applyFont="1" applyFill="1" applyBorder="1" applyAlignment="1" applyProtection="1">
      <alignment horizontal="center" vertical="center" textRotation="90"/>
    </xf>
    <xf numFmtId="0" fontId="16" fillId="0" borderId="69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2" fillId="8" borderId="33" xfId="0" applyFont="1" applyFill="1" applyBorder="1" applyAlignment="1" applyProtection="1">
      <alignment horizontal="center" vertical="center" textRotation="90" wrapText="1"/>
    </xf>
    <xf numFmtId="0" fontId="3" fillId="2" borderId="7" xfId="0" applyNumberFormat="1" applyFont="1" applyFill="1" applyBorder="1" applyAlignment="1" applyProtection="1">
      <alignment horizontal="center"/>
    </xf>
    <xf numFmtId="14" fontId="5" fillId="2" borderId="23" xfId="0" applyNumberFormat="1" applyFont="1" applyFill="1" applyBorder="1" applyAlignment="1" applyProtection="1">
      <alignment horizontal="center" vertical="center" textRotation="90"/>
    </xf>
    <xf numFmtId="14" fontId="14" fillId="5" borderId="51" xfId="0" applyNumberFormat="1" applyFont="1" applyFill="1" applyBorder="1" applyAlignment="1" applyProtection="1">
      <alignment horizontal="center" vertical="center" textRotation="90"/>
    </xf>
    <xf numFmtId="14" fontId="3" fillId="5" borderId="10" xfId="0" applyNumberFormat="1" applyFont="1" applyFill="1" applyBorder="1" applyAlignment="1" applyProtection="1">
      <alignment horizontal="center" vertical="center" textRotation="90"/>
    </xf>
    <xf numFmtId="0" fontId="10" fillId="5" borderId="23" xfId="0" applyFont="1" applyFill="1" applyBorder="1" applyAlignment="1" applyProtection="1">
      <alignment horizontal="center" vertical="center" textRotation="90" wrapText="1"/>
    </xf>
    <xf numFmtId="14" fontId="5" fillId="5" borderId="23" xfId="0" applyNumberFormat="1" applyFont="1" applyFill="1" applyBorder="1" applyAlignment="1" applyProtection="1">
      <alignment horizontal="center" vertical="center" textRotation="90"/>
    </xf>
    <xf numFmtId="0" fontId="10" fillId="5" borderId="25" xfId="0" applyFont="1" applyFill="1" applyBorder="1" applyAlignment="1" applyProtection="1">
      <alignment horizontal="center" vertical="center" textRotation="90" wrapText="1"/>
    </xf>
    <xf numFmtId="0" fontId="10" fillId="5" borderId="1" xfId="0" applyFont="1" applyFill="1" applyBorder="1" applyAlignment="1" applyProtection="1">
      <alignment horizontal="center" vertical="center" textRotation="90" wrapText="1"/>
    </xf>
    <xf numFmtId="0" fontId="3" fillId="5" borderId="58" xfId="0" applyFont="1" applyFill="1" applyBorder="1" applyAlignment="1" applyProtection="1">
      <alignment horizontal="center"/>
    </xf>
    <xf numFmtId="14" fontId="5" fillId="8" borderId="1" xfId="0" applyNumberFormat="1" applyFont="1" applyFill="1" applyBorder="1" applyAlignment="1" applyProtection="1">
      <alignment horizontal="center" vertical="center" textRotation="90"/>
    </xf>
    <xf numFmtId="14" fontId="5" fillId="8" borderId="50" xfId="0" applyNumberFormat="1" applyFont="1" applyFill="1" applyBorder="1" applyAlignment="1" applyProtection="1">
      <alignment horizontal="center" vertical="center" textRotation="90"/>
    </xf>
    <xf numFmtId="14" fontId="5" fillId="8" borderId="36" xfId="0" applyNumberFormat="1" applyFont="1" applyFill="1" applyBorder="1" applyAlignment="1" applyProtection="1">
      <alignment horizontal="center" vertical="center" textRotation="90"/>
    </xf>
    <xf numFmtId="0" fontId="12" fillId="5" borderId="13" xfId="0" applyFont="1" applyFill="1" applyBorder="1" applyAlignment="1" applyProtection="1">
      <alignment horizontal="center" vertical="center" textRotation="90" wrapText="1"/>
    </xf>
    <xf numFmtId="0" fontId="10" fillId="5" borderId="13" xfId="0" applyFont="1" applyFill="1" applyBorder="1" applyAlignment="1" applyProtection="1">
      <alignment horizontal="center" vertical="center" textRotation="90" wrapText="1"/>
    </xf>
    <xf numFmtId="0" fontId="10" fillId="5" borderId="23" xfId="0" applyFont="1" applyFill="1" applyBorder="1" applyAlignment="1" applyProtection="1">
      <alignment horizontal="center" vertical="center" textRotation="90"/>
    </xf>
    <xf numFmtId="0" fontId="12" fillId="8" borderId="71" xfId="0" applyFont="1" applyFill="1" applyBorder="1" applyAlignment="1" applyProtection="1">
      <alignment horizontal="center" textRotation="90" wrapText="1"/>
    </xf>
    <xf numFmtId="14" fontId="5" fillId="8" borderId="55" xfId="0" applyNumberFormat="1" applyFont="1" applyFill="1" applyBorder="1" applyAlignment="1" applyProtection="1">
      <alignment horizontal="center" textRotation="90"/>
    </xf>
    <xf numFmtId="0" fontId="5" fillId="8" borderId="50" xfId="0" applyFont="1" applyFill="1" applyBorder="1" applyAlignment="1" applyProtection="1">
      <alignment horizontal="center"/>
    </xf>
    <xf numFmtId="2" fontId="5" fillId="8" borderId="50" xfId="0" applyNumberFormat="1" applyFont="1" applyFill="1" applyBorder="1" applyAlignment="1" applyProtection="1">
      <alignment horizontal="center"/>
    </xf>
    <xf numFmtId="2" fontId="17" fillId="8" borderId="4" xfId="0" applyNumberFormat="1" applyFont="1" applyFill="1" applyBorder="1" applyAlignment="1" applyProtection="1">
      <alignment horizontal="center" vertical="center"/>
    </xf>
    <xf numFmtId="2" fontId="17" fillId="8" borderId="8" xfId="0" applyNumberFormat="1" applyFont="1" applyFill="1" applyBorder="1" applyAlignment="1" applyProtection="1">
      <alignment horizontal="center" vertical="center"/>
    </xf>
    <xf numFmtId="14" fontId="14" fillId="5" borderId="23" xfId="0" applyNumberFormat="1" applyFont="1" applyFill="1" applyBorder="1" applyAlignment="1" applyProtection="1">
      <alignment horizontal="center" vertical="center" textRotation="90"/>
    </xf>
    <xf numFmtId="0" fontId="5" fillId="2" borderId="58" xfId="0" applyFont="1" applyFill="1" applyBorder="1" applyAlignment="1" applyProtection="1">
      <alignment horizontal="center" vertical="center"/>
    </xf>
    <xf numFmtId="0" fontId="5" fillId="5" borderId="71" xfId="0" applyFont="1" applyFill="1" applyBorder="1" applyAlignment="1" applyProtection="1">
      <alignment horizontal="center" vertical="center"/>
    </xf>
    <xf numFmtId="0" fontId="5" fillId="5" borderId="50" xfId="0" applyFont="1" applyFill="1" applyBorder="1" applyAlignment="1" applyProtection="1">
      <alignment horizontal="center" vertical="center"/>
    </xf>
    <xf numFmtId="0" fontId="5" fillId="5" borderId="68" xfId="0" applyFont="1" applyFill="1" applyBorder="1" applyAlignment="1" applyProtection="1">
      <alignment horizontal="center" vertical="center"/>
    </xf>
    <xf numFmtId="2" fontId="3" fillId="5" borderId="25" xfId="0" applyNumberFormat="1" applyFont="1" applyFill="1" applyBorder="1" applyAlignment="1" applyProtection="1">
      <alignment horizontal="center" vertical="center"/>
    </xf>
    <xf numFmtId="2" fontId="17" fillId="5" borderId="4" xfId="0" applyNumberFormat="1" applyFont="1" applyFill="1" applyBorder="1" applyAlignment="1" applyProtection="1">
      <alignment horizontal="center" vertical="center"/>
    </xf>
    <xf numFmtId="1" fontId="19" fillId="5" borderId="5" xfId="0" applyNumberFormat="1" applyFont="1" applyFill="1" applyBorder="1" applyAlignment="1" applyProtection="1">
      <alignment horizontal="center" vertical="center"/>
    </xf>
    <xf numFmtId="1" fontId="19" fillId="5" borderId="8" xfId="0" applyNumberFormat="1" applyFont="1" applyFill="1" applyBorder="1" applyAlignment="1" applyProtection="1">
      <alignment horizontal="center" vertical="center"/>
    </xf>
    <xf numFmtId="2" fontId="17" fillId="5" borderId="10" xfId="0" applyNumberFormat="1" applyFont="1" applyFill="1" applyBorder="1" applyAlignment="1" applyProtection="1">
      <alignment horizontal="center" vertical="center"/>
    </xf>
    <xf numFmtId="1" fontId="19" fillId="8" borderId="8" xfId="0" applyNumberFormat="1" applyFont="1" applyFill="1" applyBorder="1" applyAlignment="1" applyProtection="1">
      <alignment horizontal="center" vertical="center"/>
    </xf>
    <xf numFmtId="2" fontId="17" fillId="8" borderId="10" xfId="0" applyNumberFormat="1" applyFont="1" applyFill="1" applyBorder="1" applyAlignment="1" applyProtection="1">
      <alignment horizontal="center" vertical="center"/>
    </xf>
    <xf numFmtId="0" fontId="5" fillId="9" borderId="8" xfId="0" applyFont="1" applyFill="1" applyBorder="1" applyAlignment="1" applyProtection="1">
      <alignment horizontal="center" vertical="center"/>
    </xf>
    <xf numFmtId="0" fontId="5" fillId="4" borderId="30" xfId="0" applyFont="1" applyFill="1" applyBorder="1" applyAlignment="1" applyProtection="1">
      <alignment horizontal="center" vertical="center" wrapText="1"/>
    </xf>
    <xf numFmtId="0" fontId="5" fillId="4" borderId="41" xfId="0" applyFont="1" applyFill="1" applyBorder="1" applyAlignment="1" applyProtection="1">
      <alignment horizontal="center" vertical="center" wrapText="1"/>
    </xf>
    <xf numFmtId="0" fontId="5" fillId="4" borderId="26" xfId="0" applyFont="1" applyFill="1" applyBorder="1" applyAlignment="1" applyProtection="1">
      <alignment horizontal="center" vertical="center" wrapText="1"/>
    </xf>
    <xf numFmtId="0" fontId="12" fillId="5" borderId="13" xfId="0" applyFont="1" applyFill="1" applyBorder="1" applyAlignment="1" applyProtection="1">
      <alignment horizontal="center" vertical="center"/>
    </xf>
    <xf numFmtId="0" fontId="12" fillId="5" borderId="24" xfId="0" applyFont="1" applyFill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center" vertical="center"/>
    </xf>
    <xf numFmtId="0" fontId="12" fillId="8" borderId="2" xfId="0" applyFont="1" applyFill="1" applyBorder="1" applyAlignment="1" applyProtection="1">
      <alignment horizontal="center"/>
    </xf>
    <xf numFmtId="0" fontId="12" fillId="8" borderId="45" xfId="0" applyFont="1" applyFill="1" applyBorder="1" applyAlignment="1" applyProtection="1">
      <alignment horizontal="center"/>
    </xf>
    <xf numFmtId="0" fontId="12" fillId="8" borderId="50" xfId="0" applyFont="1" applyFill="1" applyBorder="1" applyAlignment="1" applyProtection="1">
      <alignment horizontal="center"/>
    </xf>
    <xf numFmtId="0" fontId="17" fillId="5" borderId="27" xfId="0" applyFont="1" applyFill="1" applyBorder="1" applyAlignment="1" applyProtection="1">
      <alignment horizontal="center" vertical="center" wrapText="1"/>
    </xf>
    <xf numFmtId="0" fontId="17" fillId="5" borderId="28" xfId="0" applyFont="1" applyFill="1" applyBorder="1" applyAlignment="1" applyProtection="1">
      <alignment horizontal="center" vertical="center" wrapText="1"/>
    </xf>
    <xf numFmtId="0" fontId="17" fillId="5" borderId="22" xfId="0" applyFont="1" applyFill="1" applyBorder="1" applyAlignment="1" applyProtection="1">
      <alignment horizontal="center" vertical="center" wrapText="1"/>
    </xf>
    <xf numFmtId="0" fontId="4" fillId="0" borderId="18" xfId="0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center" vertical="center" wrapText="1"/>
    </xf>
    <xf numFmtId="0" fontId="5" fillId="0" borderId="19" xfId="0" applyFont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17" fillId="9" borderId="56" xfId="0" applyFont="1" applyFill="1" applyBorder="1" applyAlignment="1" applyProtection="1">
      <alignment horizontal="center" vertical="center" wrapText="1"/>
    </xf>
    <xf numFmtId="0" fontId="17" fillId="9" borderId="57" xfId="0" applyFont="1" applyFill="1" applyBorder="1" applyAlignment="1" applyProtection="1">
      <alignment horizontal="center" vertical="center" wrapText="1"/>
    </xf>
    <xf numFmtId="0" fontId="10" fillId="2" borderId="29" xfId="0" applyFont="1" applyFill="1" applyBorder="1" applyAlignment="1" applyProtection="1">
      <alignment horizontal="center" vertical="center"/>
    </xf>
    <xf numFmtId="0" fontId="10" fillId="2" borderId="11" xfId="0" applyFont="1" applyFill="1" applyBorder="1" applyAlignment="1" applyProtection="1">
      <alignment horizontal="center" vertical="center"/>
    </xf>
    <xf numFmtId="0" fontId="10" fillId="2" borderId="30" xfId="0" applyFont="1" applyFill="1" applyBorder="1" applyAlignment="1" applyProtection="1">
      <alignment horizontal="center" vertical="center"/>
    </xf>
    <xf numFmtId="0" fontId="12" fillId="5" borderId="1" xfId="0" applyFont="1" applyFill="1" applyBorder="1" applyAlignment="1" applyProtection="1">
      <alignment horizontal="center" vertical="center"/>
    </xf>
    <xf numFmtId="0" fontId="12" fillId="5" borderId="33" xfId="0" applyFont="1" applyFill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center" vertical="center"/>
    </xf>
    <xf numFmtId="0" fontId="8" fillId="0" borderId="24" xfId="0" applyFont="1" applyBorder="1" applyAlignment="1" applyProtection="1">
      <alignment horizontal="center" vertical="center"/>
    </xf>
    <xf numFmtId="0" fontId="8" fillId="0" borderId="11" xfId="0" applyFont="1" applyBorder="1" applyAlignment="1" applyProtection="1">
      <alignment horizontal="center" vertical="center"/>
    </xf>
    <xf numFmtId="0" fontId="8" fillId="0" borderId="25" xfId="0" applyFont="1" applyBorder="1" applyAlignment="1" applyProtection="1">
      <alignment horizontal="center" vertical="center"/>
    </xf>
    <xf numFmtId="0" fontId="12" fillId="0" borderId="9" xfId="0" applyFont="1" applyBorder="1" applyAlignment="1" applyProtection="1">
      <alignment horizontal="center" vertical="center" wrapText="1"/>
    </xf>
    <xf numFmtId="0" fontId="12" fillId="0" borderId="27" xfId="0" applyFont="1" applyBorder="1" applyAlignment="1" applyProtection="1">
      <alignment horizontal="center" vertical="center" wrapText="1"/>
    </xf>
    <xf numFmtId="0" fontId="12" fillId="0" borderId="10" xfId="0" applyFont="1" applyBorder="1" applyAlignment="1" applyProtection="1">
      <alignment horizontal="center" vertical="center" wrapText="1"/>
    </xf>
    <xf numFmtId="0" fontId="12" fillId="0" borderId="9" xfId="0" applyFont="1" applyBorder="1" applyAlignment="1" applyProtection="1">
      <alignment horizontal="center" vertical="center"/>
    </xf>
    <xf numFmtId="0" fontId="12" fillId="0" borderId="27" xfId="0" applyFont="1" applyBorder="1" applyAlignment="1" applyProtection="1">
      <alignment horizontal="center" vertical="center"/>
    </xf>
    <xf numFmtId="0" fontId="12" fillId="0" borderId="10" xfId="0" applyFont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horizontal="center" vertical="center" wrapText="1"/>
    </xf>
    <xf numFmtId="0" fontId="17" fillId="2" borderId="26" xfId="0" applyFont="1" applyFill="1" applyBorder="1" applyAlignment="1" applyProtection="1">
      <alignment horizontal="center" vertical="center" wrapText="1"/>
    </xf>
    <xf numFmtId="0" fontId="8" fillId="0" borderId="45" xfId="0" applyFont="1" applyBorder="1" applyAlignment="1" applyProtection="1">
      <alignment horizontal="center" vertical="center"/>
    </xf>
    <xf numFmtId="0" fontId="12" fillId="9" borderId="2" xfId="0" applyFont="1" applyFill="1" applyBorder="1" applyAlignment="1" applyProtection="1">
      <alignment horizontal="center"/>
    </xf>
    <xf numFmtId="0" fontId="12" fillId="9" borderId="45" xfId="0" applyFont="1" applyFill="1" applyBorder="1" applyAlignment="1" applyProtection="1">
      <alignment horizontal="center"/>
    </xf>
    <xf numFmtId="0" fontId="12" fillId="9" borderId="50" xfId="0" applyFont="1" applyFill="1" applyBorder="1" applyAlignment="1" applyProtection="1">
      <alignment horizontal="center"/>
    </xf>
    <xf numFmtId="0" fontId="10" fillId="2" borderId="13" xfId="0" applyFont="1" applyFill="1" applyBorder="1" applyAlignment="1" applyProtection="1">
      <alignment horizontal="center" vertical="center"/>
    </xf>
    <xf numFmtId="0" fontId="10" fillId="2" borderId="24" xfId="0" applyFont="1" applyFill="1" applyBorder="1" applyAlignment="1" applyProtection="1">
      <alignment horizontal="center" vertical="center"/>
    </xf>
    <xf numFmtId="0" fontId="10" fillId="2" borderId="25" xfId="0" applyFont="1" applyFill="1" applyBorder="1" applyAlignment="1" applyProtection="1">
      <alignment horizontal="center" vertical="center"/>
    </xf>
    <xf numFmtId="0" fontId="17" fillId="9" borderId="36" xfId="0" applyFont="1" applyFill="1" applyBorder="1" applyAlignment="1" applyProtection="1">
      <alignment horizontal="center" vertical="center" wrapText="1"/>
    </xf>
    <xf numFmtId="0" fontId="17" fillId="9" borderId="33" xfId="0" applyFont="1" applyFill="1" applyBorder="1" applyAlignment="1" applyProtection="1">
      <alignment horizontal="center" vertical="center" wrapText="1"/>
    </xf>
    <xf numFmtId="0" fontId="12" fillId="5" borderId="28" xfId="0" applyFont="1" applyFill="1" applyBorder="1" applyAlignment="1" applyProtection="1">
      <alignment horizontal="center" vertical="center"/>
    </xf>
    <xf numFmtId="0" fontId="12" fillId="5" borderId="0" xfId="0" applyFont="1" applyFill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</xf>
    <xf numFmtId="0" fontId="5" fillId="0" borderId="24" xfId="0" applyFont="1" applyBorder="1" applyAlignment="1" applyProtection="1">
      <alignment horizontal="center" vertical="center" wrapText="1"/>
    </xf>
    <xf numFmtId="0" fontId="5" fillId="0" borderId="25" xfId="0" applyFont="1" applyBorder="1" applyAlignment="1" applyProtection="1">
      <alignment horizontal="center" vertical="center" wrapText="1"/>
    </xf>
    <xf numFmtId="0" fontId="11" fillId="0" borderId="0" xfId="0" applyFont="1" applyAlignment="1" applyProtection="1">
      <alignment horizontal="center"/>
    </xf>
    <xf numFmtId="0" fontId="7" fillId="5" borderId="13" xfId="0" applyFont="1" applyFill="1" applyBorder="1" applyAlignment="1" applyProtection="1">
      <alignment horizontal="center" vertical="center"/>
    </xf>
    <xf numFmtId="0" fontId="7" fillId="5" borderId="24" xfId="0" applyFont="1" applyFill="1" applyBorder="1" applyAlignment="1" applyProtection="1">
      <alignment horizontal="center" vertical="center"/>
    </xf>
    <xf numFmtId="0" fontId="7" fillId="5" borderId="25" xfId="0" applyFont="1" applyFill="1" applyBorder="1" applyAlignment="1" applyProtection="1">
      <alignment horizontal="center" vertical="center"/>
    </xf>
    <xf numFmtId="0" fontId="17" fillId="8" borderId="9" xfId="0" applyFont="1" applyFill="1" applyBorder="1" applyAlignment="1" applyProtection="1">
      <alignment horizontal="center" vertical="center" wrapText="1"/>
    </xf>
    <xf numFmtId="0" fontId="17" fillId="8" borderId="27" xfId="0" applyFont="1" applyFill="1" applyBorder="1" applyAlignment="1" applyProtection="1">
      <alignment horizontal="center" vertical="center" wrapText="1"/>
    </xf>
    <xf numFmtId="0" fontId="17" fillId="8" borderId="10" xfId="0" applyFont="1" applyFill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/>
    </xf>
    <xf numFmtId="0" fontId="8" fillId="0" borderId="53" xfId="0" applyFont="1" applyBorder="1" applyAlignment="1" applyProtection="1">
      <alignment horizontal="center" vertical="center"/>
    </xf>
    <xf numFmtId="0" fontId="8" fillId="0" borderId="50" xfId="0" applyFont="1" applyBorder="1" applyAlignment="1" applyProtection="1">
      <alignment horizontal="center" vertical="center"/>
    </xf>
    <xf numFmtId="0" fontId="5" fillId="4" borderId="27" xfId="0" applyFont="1" applyFill="1" applyBorder="1" applyAlignment="1" applyProtection="1">
      <alignment horizontal="center" vertical="center" wrapText="1"/>
    </xf>
    <xf numFmtId="0" fontId="5" fillId="4" borderId="10" xfId="0" applyFont="1" applyFill="1" applyBorder="1" applyAlignment="1" applyProtection="1">
      <alignment horizontal="center" vertical="center" wrapText="1"/>
    </xf>
    <xf numFmtId="0" fontId="17" fillId="2" borderId="27" xfId="0" applyFont="1" applyFill="1" applyBorder="1" applyAlignment="1" applyProtection="1">
      <alignment horizontal="center" vertical="center" wrapText="1"/>
    </xf>
    <xf numFmtId="0" fontId="17" fillId="2" borderId="10" xfId="0" applyFont="1" applyFill="1" applyBorder="1" applyAlignment="1" applyProtection="1">
      <alignment horizontal="center" vertical="center" wrapText="1"/>
    </xf>
    <xf numFmtId="0" fontId="10" fillId="2" borderId="28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10" fillId="2" borderId="41" xfId="0" applyFont="1" applyFill="1" applyBorder="1" applyAlignment="1" applyProtection="1">
      <alignment horizontal="center" vertical="center"/>
    </xf>
    <xf numFmtId="0" fontId="5" fillId="8" borderId="45" xfId="0" applyFont="1" applyFill="1" applyBorder="1" applyAlignment="1" applyProtection="1">
      <alignment horizontal="center" wrapText="1"/>
    </xf>
    <xf numFmtId="0" fontId="5" fillId="8" borderId="48" xfId="0" applyFont="1" applyFill="1" applyBorder="1" applyAlignment="1" applyProtection="1">
      <alignment horizontal="center" wrapText="1"/>
    </xf>
    <xf numFmtId="0" fontId="12" fillId="0" borderId="29" xfId="0" applyFont="1" applyBorder="1" applyAlignment="1" applyProtection="1">
      <alignment horizontal="center" vertical="center"/>
    </xf>
    <xf numFmtId="0" fontId="7" fillId="8" borderId="53" xfId="0" applyFont="1" applyFill="1" applyBorder="1" applyAlignment="1" applyProtection="1">
      <alignment horizontal="center"/>
    </xf>
    <xf numFmtId="0" fontId="17" fillId="8" borderId="1" xfId="0" applyFont="1" applyFill="1" applyBorder="1" applyAlignment="1" applyProtection="1">
      <alignment horizontal="center" vertical="center" wrapText="1"/>
    </xf>
    <xf numFmtId="0" fontId="17" fillId="5" borderId="10" xfId="0" applyFont="1" applyFill="1" applyBorder="1" applyAlignment="1" applyProtection="1">
      <alignment horizontal="center" vertical="center" wrapText="1"/>
    </xf>
    <xf numFmtId="0" fontId="17" fillId="9" borderId="1" xfId="0" applyFont="1" applyFill="1" applyBorder="1" applyAlignment="1" applyProtection="1">
      <alignment horizontal="center" vertical="center" wrapText="1"/>
    </xf>
    <xf numFmtId="0" fontId="7" fillId="9" borderId="53" xfId="0" applyFont="1" applyFill="1" applyBorder="1" applyAlignment="1" applyProtection="1">
      <alignment horizontal="center"/>
    </xf>
    <xf numFmtId="0" fontId="17" fillId="9" borderId="27" xfId="0" applyFont="1" applyFill="1" applyBorder="1" applyAlignment="1" applyProtection="1">
      <alignment horizontal="center" vertical="center" wrapText="1"/>
    </xf>
    <xf numFmtId="0" fontId="17" fillId="9" borderId="41" xfId="0" applyFont="1" applyFill="1" applyBorder="1" applyAlignment="1" applyProtection="1">
      <alignment horizontal="center" vertical="center" wrapText="1"/>
    </xf>
    <xf numFmtId="0" fontId="17" fillId="9" borderId="22" xfId="0" applyFont="1" applyFill="1" applyBorder="1" applyAlignment="1" applyProtection="1">
      <alignment horizontal="center" vertical="center" wrapText="1"/>
    </xf>
    <xf numFmtId="0" fontId="5" fillId="9" borderId="17" xfId="0" applyFont="1" applyFill="1" applyBorder="1" applyAlignment="1" applyProtection="1">
      <alignment horizontal="center" wrapText="1"/>
    </xf>
    <xf numFmtId="0" fontId="5" fillId="9" borderId="45" xfId="0" applyFont="1" applyFill="1" applyBorder="1" applyAlignment="1" applyProtection="1">
      <alignment horizontal="center" wrapText="1"/>
    </xf>
    <xf numFmtId="0" fontId="5" fillId="9" borderId="48" xfId="0" applyFont="1" applyFill="1" applyBorder="1" applyAlignment="1" applyProtection="1">
      <alignment horizontal="center" wrapText="1"/>
    </xf>
    <xf numFmtId="0" fontId="5" fillId="0" borderId="9" xfId="0" applyFont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12" fillId="8" borderId="13" xfId="0" applyFont="1" applyFill="1" applyBorder="1" applyAlignment="1" applyProtection="1">
      <alignment horizontal="center" vertical="center"/>
    </xf>
    <xf numFmtId="0" fontId="12" fillId="8" borderId="24" xfId="0" applyFont="1" applyFill="1" applyBorder="1" applyAlignment="1" applyProtection="1">
      <alignment horizontal="center" vertical="center"/>
    </xf>
    <xf numFmtId="0" fontId="12" fillId="8" borderId="25" xfId="0" applyFont="1" applyFill="1" applyBorder="1" applyAlignment="1" applyProtection="1">
      <alignment horizontal="center" vertical="center"/>
    </xf>
    <xf numFmtId="0" fontId="17" fillId="8" borderId="56" xfId="0" applyFont="1" applyFill="1" applyBorder="1" applyAlignment="1" applyProtection="1">
      <alignment horizontal="center" vertical="center" wrapText="1"/>
    </xf>
    <xf numFmtId="0" fontId="17" fillId="8" borderId="57" xfId="0" applyFont="1" applyFill="1" applyBorder="1" applyAlignment="1" applyProtection="1">
      <alignment horizontal="center" vertical="center" wrapText="1"/>
    </xf>
    <xf numFmtId="0" fontId="12" fillId="9" borderId="2" xfId="0" applyFont="1" applyFill="1" applyBorder="1" applyAlignment="1" applyProtection="1">
      <alignment horizontal="center" vertical="center"/>
    </xf>
    <xf numFmtId="0" fontId="12" fillId="9" borderId="45" xfId="0" applyFont="1" applyFill="1" applyBorder="1" applyAlignment="1" applyProtection="1">
      <alignment horizontal="center" vertical="center"/>
    </xf>
    <xf numFmtId="0" fontId="17" fillId="9" borderId="39" xfId="0" applyFont="1" applyFill="1" applyBorder="1" applyAlignment="1" applyProtection="1">
      <alignment horizontal="center" vertical="center" wrapText="1"/>
    </xf>
    <xf numFmtId="0" fontId="17" fillId="9" borderId="62" xfId="0" applyFont="1" applyFill="1" applyBorder="1" applyAlignment="1" applyProtection="1">
      <alignment horizontal="center" vertical="center" wrapText="1"/>
    </xf>
    <xf numFmtId="0" fontId="17" fillId="9" borderId="63" xfId="0" applyFont="1" applyFill="1" applyBorder="1" applyAlignment="1" applyProtection="1">
      <alignment horizontal="center" vertical="center" wrapText="1"/>
    </xf>
    <xf numFmtId="0" fontId="17" fillId="8" borderId="55" xfId="0" applyFont="1" applyFill="1" applyBorder="1" applyAlignment="1" applyProtection="1">
      <alignment horizontal="center" vertical="center" wrapText="1"/>
    </xf>
    <xf numFmtId="0" fontId="17" fillId="8" borderId="71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/>
    </xf>
    <xf numFmtId="0" fontId="4" fillId="0" borderId="45" xfId="0" applyFont="1" applyBorder="1" applyAlignment="1" applyProtection="1">
      <alignment horizontal="center"/>
    </xf>
    <xf numFmtId="0" fontId="4" fillId="0" borderId="50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27" xfId="0" applyFont="1" applyBorder="1" applyAlignment="1" applyProtection="1">
      <alignment horizontal="center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29" xfId="0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</xf>
    <xf numFmtId="0" fontId="17" fillId="9" borderId="66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/>
    </xf>
    <xf numFmtId="0" fontId="5" fillId="0" borderId="45" xfId="0" applyFont="1" applyBorder="1" applyAlignment="1" applyProtection="1">
      <alignment horizontal="center" vertical="center"/>
    </xf>
    <xf numFmtId="0" fontId="5" fillId="0" borderId="50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45" xfId="0" applyFont="1" applyBorder="1" applyAlignment="1" applyProtection="1">
      <alignment horizontal="center" vertical="center"/>
    </xf>
    <xf numFmtId="0" fontId="4" fillId="0" borderId="48" xfId="0" applyFont="1" applyBorder="1" applyAlignment="1" applyProtection="1">
      <alignment horizontal="center" vertical="center"/>
    </xf>
    <xf numFmtId="0" fontId="4" fillId="0" borderId="34" xfId="0" applyFont="1" applyBorder="1" applyAlignment="1" applyProtection="1">
      <alignment horizontal="center" vertical="center"/>
    </xf>
    <xf numFmtId="0" fontId="4" fillId="0" borderId="44" xfId="0" applyFont="1" applyBorder="1" applyAlignment="1" applyProtection="1">
      <alignment horizontal="center" vertical="center"/>
    </xf>
    <xf numFmtId="0" fontId="4" fillId="0" borderId="47" xfId="0" applyFont="1" applyBorder="1" applyAlignment="1" applyProtection="1">
      <alignment horizontal="center" vertical="center"/>
    </xf>
    <xf numFmtId="0" fontId="4" fillId="0" borderId="35" xfId="0" applyFont="1" applyBorder="1" applyAlignment="1" applyProtection="1">
      <alignment horizontal="center" vertical="center"/>
    </xf>
    <xf numFmtId="0" fontId="4" fillId="0" borderId="46" xfId="0" applyFont="1" applyBorder="1" applyAlignment="1" applyProtection="1">
      <alignment horizontal="center" vertical="center"/>
    </xf>
    <xf numFmtId="0" fontId="4" fillId="0" borderId="49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13" fillId="2" borderId="29" xfId="0" applyFont="1" applyFill="1" applyBorder="1" applyAlignment="1" applyProtection="1">
      <alignment horizontal="center" vertical="center"/>
    </xf>
    <xf numFmtId="0" fontId="13" fillId="2" borderId="11" xfId="0" applyFont="1" applyFill="1" applyBorder="1" applyAlignment="1" applyProtection="1">
      <alignment horizontal="center" vertical="center"/>
    </xf>
    <xf numFmtId="0" fontId="13" fillId="2" borderId="30" xfId="0" applyFont="1" applyFill="1" applyBorder="1" applyAlignment="1" applyProtection="1">
      <alignment horizontal="center" vertical="center"/>
    </xf>
    <xf numFmtId="0" fontId="12" fillId="8" borderId="2" xfId="0" applyFont="1" applyFill="1" applyBorder="1" applyAlignment="1" applyProtection="1">
      <alignment horizontal="center" vertical="center"/>
    </xf>
    <xf numFmtId="0" fontId="12" fillId="8" borderId="45" xfId="0" applyFont="1" applyFill="1" applyBorder="1" applyAlignment="1" applyProtection="1">
      <alignment horizontal="center" vertical="center"/>
    </xf>
    <xf numFmtId="0" fontId="12" fillId="8" borderId="50" xfId="0" applyFont="1" applyFill="1" applyBorder="1" applyAlignment="1" applyProtection="1">
      <alignment horizontal="center" vertical="center"/>
    </xf>
    <xf numFmtId="0" fontId="12" fillId="5" borderId="25" xfId="0" applyFont="1" applyFill="1" applyBorder="1" applyAlignment="1" applyProtection="1">
      <alignment horizontal="center" vertical="center"/>
    </xf>
    <xf numFmtId="0" fontId="17" fillId="8" borderId="66" xfId="0" applyFont="1" applyFill="1" applyBorder="1" applyAlignment="1" applyProtection="1">
      <alignment horizontal="center" vertical="center" wrapText="1"/>
    </xf>
    <xf numFmtId="0" fontId="17" fillId="8" borderId="62" xfId="0" applyFont="1" applyFill="1" applyBorder="1" applyAlignment="1" applyProtection="1">
      <alignment horizontal="center" vertical="center" wrapText="1"/>
    </xf>
    <xf numFmtId="0" fontId="17" fillId="8" borderId="26" xfId="0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N139"/>
  <sheetViews>
    <sheetView tabSelected="1" topLeftCell="S85" zoomScale="70" zoomScaleNormal="70" zoomScaleSheetLayoutView="80" workbookViewId="0">
      <selection activeCell="AJ114" sqref="AJ114"/>
    </sheetView>
  </sheetViews>
  <sheetFormatPr defaultColWidth="9.140625" defaultRowHeight="18.75" x14ac:dyDescent="0.3"/>
  <cols>
    <col min="1" max="1" width="9.140625" style="12"/>
    <col min="2" max="2" width="18.140625" style="1" bestFit="1" customWidth="1"/>
    <col min="3" max="3" width="46.85546875" style="1" customWidth="1"/>
    <col min="4" max="4" width="16.28515625" style="1" customWidth="1"/>
    <col min="5" max="5" width="15.140625" style="1" customWidth="1"/>
    <col min="6" max="6" width="13.7109375" style="1" customWidth="1"/>
    <col min="7" max="7" width="12.85546875" style="1" customWidth="1"/>
    <col min="8" max="8" width="15.5703125" style="1" customWidth="1"/>
    <col min="9" max="9" width="12.7109375" style="1" customWidth="1"/>
    <col min="10" max="10" width="14.5703125" style="1" customWidth="1"/>
    <col min="11" max="11" width="13.7109375" style="1" customWidth="1"/>
    <col min="12" max="12" width="14.28515625" style="1" customWidth="1"/>
    <col min="13" max="13" width="13.140625" style="1" customWidth="1"/>
    <col min="14" max="14" width="12.85546875" style="1" customWidth="1"/>
    <col min="15" max="15" width="12" style="1" customWidth="1"/>
    <col min="16" max="16" width="14.28515625" style="1" customWidth="1"/>
    <col min="17" max="17" width="15.7109375" style="1" customWidth="1"/>
    <col min="18" max="18" width="12.5703125" style="1" customWidth="1"/>
    <col min="19" max="22" width="13.42578125" style="1" customWidth="1"/>
    <col min="23" max="23" width="14.140625" style="1" customWidth="1"/>
    <col min="24" max="24" width="13.140625" style="1" customWidth="1"/>
    <col min="25" max="25" width="11.85546875" style="1" customWidth="1"/>
    <col min="26" max="26" width="12.42578125" style="1" customWidth="1"/>
    <col min="27" max="27" width="12.85546875" style="1" customWidth="1"/>
    <col min="28" max="28" width="10" style="1" customWidth="1"/>
    <col min="29" max="29" width="13.140625" style="1" customWidth="1"/>
    <col min="30" max="30" width="11.5703125" style="1" customWidth="1"/>
    <col min="31" max="31" width="14.28515625" style="1" customWidth="1"/>
    <col min="32" max="32" width="11.5703125" style="1" customWidth="1"/>
    <col min="33" max="36" width="9.140625" style="1"/>
    <col min="37" max="37" width="9.85546875" style="1" bestFit="1" customWidth="1"/>
    <col min="38" max="16384" width="9.140625" style="1"/>
  </cols>
  <sheetData>
    <row r="1" spans="1:37" ht="27" x14ac:dyDescent="0.35">
      <c r="A1" s="382" t="s">
        <v>81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</row>
    <row r="2" spans="1:37" ht="19.5" thickBot="1" x14ac:dyDescent="0.35"/>
    <row r="3" spans="1:37" s="2" customFormat="1" ht="24" customHeight="1" x14ac:dyDescent="0.25">
      <c r="A3" s="431" t="s">
        <v>0</v>
      </c>
      <c r="B3" s="413" t="s">
        <v>1</v>
      </c>
      <c r="C3" s="434" t="s">
        <v>2</v>
      </c>
      <c r="D3" s="449" t="s">
        <v>3</v>
      </c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37"/>
      <c r="AB3" s="438"/>
      <c r="AC3" s="438"/>
      <c r="AD3" s="438"/>
      <c r="AE3" s="438"/>
      <c r="AF3" s="438"/>
      <c r="AG3" s="438"/>
      <c r="AH3" s="438"/>
      <c r="AI3" s="438"/>
      <c r="AJ3" s="439"/>
      <c r="AK3" s="326" t="s">
        <v>34</v>
      </c>
    </row>
    <row r="4" spans="1:37" s="2" customFormat="1" ht="24" customHeight="1" x14ac:dyDescent="0.25">
      <c r="A4" s="432"/>
      <c r="B4" s="414"/>
      <c r="C4" s="435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327"/>
    </row>
    <row r="5" spans="1:37" s="5" customFormat="1" ht="93" customHeight="1" thickBot="1" x14ac:dyDescent="0.3">
      <c r="A5" s="432"/>
      <c r="B5" s="414"/>
      <c r="C5" s="414"/>
      <c r="D5" s="394" t="s">
        <v>17</v>
      </c>
      <c r="E5" s="265" t="s">
        <v>14</v>
      </c>
      <c r="F5" s="265" t="s">
        <v>11</v>
      </c>
      <c r="G5" s="265" t="s">
        <v>12</v>
      </c>
      <c r="H5" s="265" t="s">
        <v>13</v>
      </c>
      <c r="I5" s="265" t="s">
        <v>18</v>
      </c>
      <c r="J5" s="147" t="s">
        <v>147</v>
      </c>
      <c r="K5" s="337" t="s">
        <v>29</v>
      </c>
      <c r="L5" s="180" t="s">
        <v>26</v>
      </c>
      <c r="M5" s="182" t="s">
        <v>23</v>
      </c>
      <c r="N5" s="179" t="s">
        <v>12</v>
      </c>
      <c r="O5" s="145" t="s">
        <v>27</v>
      </c>
      <c r="P5" s="182" t="s">
        <v>24</v>
      </c>
      <c r="Q5" s="179" t="s">
        <v>54</v>
      </c>
      <c r="R5" s="182" t="s">
        <v>25</v>
      </c>
      <c r="S5" s="173" t="s">
        <v>22</v>
      </c>
      <c r="T5" s="457" t="s">
        <v>36</v>
      </c>
      <c r="U5" s="266" t="s">
        <v>38</v>
      </c>
      <c r="V5" s="266" t="s">
        <v>39</v>
      </c>
      <c r="W5" s="267" t="s">
        <v>12</v>
      </c>
      <c r="X5" s="266" t="s">
        <v>55</v>
      </c>
      <c r="Y5" s="266" t="s">
        <v>56</v>
      </c>
      <c r="Z5" s="268" t="s">
        <v>42</v>
      </c>
      <c r="AA5" s="436" t="s">
        <v>57</v>
      </c>
      <c r="AB5" s="269" t="s">
        <v>61</v>
      </c>
      <c r="AC5" s="269" t="s">
        <v>63</v>
      </c>
      <c r="AD5" s="270" t="s">
        <v>64</v>
      </c>
      <c r="AE5" s="269" t="s">
        <v>67</v>
      </c>
      <c r="AF5" s="269" t="s">
        <v>65</v>
      </c>
      <c r="AG5" s="271" t="s">
        <v>72</v>
      </c>
      <c r="AH5" s="269" t="s">
        <v>69</v>
      </c>
      <c r="AI5" s="269" t="s">
        <v>73</v>
      </c>
      <c r="AJ5" s="270" t="s">
        <v>79</v>
      </c>
      <c r="AK5" s="392"/>
    </row>
    <row r="6" spans="1:37" s="5" customFormat="1" ht="30.75" customHeight="1" thickBot="1" x14ac:dyDescent="0.3">
      <c r="A6" s="432"/>
      <c r="B6" s="414"/>
      <c r="C6" s="414"/>
      <c r="D6" s="394"/>
      <c r="E6" s="372" t="s">
        <v>10</v>
      </c>
      <c r="F6" s="373"/>
      <c r="G6" s="373"/>
      <c r="H6" s="373"/>
      <c r="I6" s="373"/>
      <c r="J6" s="374"/>
      <c r="K6" s="337"/>
      <c r="L6" s="329" t="s">
        <v>28</v>
      </c>
      <c r="M6" s="330"/>
      <c r="N6" s="330"/>
      <c r="O6" s="330"/>
      <c r="P6" s="330"/>
      <c r="Q6" s="330"/>
      <c r="R6" s="330"/>
      <c r="S6" s="330"/>
      <c r="T6" s="458"/>
      <c r="U6" s="453" t="s">
        <v>37</v>
      </c>
      <c r="V6" s="454"/>
      <c r="W6" s="454"/>
      <c r="X6" s="454"/>
      <c r="Y6" s="454"/>
      <c r="Z6" s="455"/>
      <c r="AA6" s="424"/>
      <c r="AB6" s="421" t="s">
        <v>58</v>
      </c>
      <c r="AC6" s="422"/>
      <c r="AD6" s="422"/>
      <c r="AE6" s="422"/>
      <c r="AF6" s="422"/>
      <c r="AG6" s="422"/>
      <c r="AH6" s="422"/>
      <c r="AI6" s="422"/>
      <c r="AJ6" s="422"/>
      <c r="AK6" s="327"/>
    </row>
    <row r="7" spans="1:37" s="18" customFormat="1" ht="89.25" customHeight="1" thickBot="1" x14ac:dyDescent="0.3">
      <c r="A7" s="433"/>
      <c r="B7" s="415"/>
      <c r="C7" s="415"/>
      <c r="D7" s="395"/>
      <c r="E7" s="37">
        <v>45237</v>
      </c>
      <c r="F7" s="37">
        <v>45246</v>
      </c>
      <c r="G7" s="37">
        <v>45251</v>
      </c>
      <c r="H7" s="37">
        <v>45254</v>
      </c>
      <c r="I7" s="37">
        <v>45282</v>
      </c>
      <c r="J7" s="51">
        <v>45283</v>
      </c>
      <c r="K7" s="404"/>
      <c r="L7" s="294">
        <v>45385</v>
      </c>
      <c r="M7" s="183">
        <v>45408</v>
      </c>
      <c r="N7" s="183">
        <v>45447</v>
      </c>
      <c r="O7" s="183">
        <v>45457</v>
      </c>
      <c r="P7" s="183">
        <v>45463</v>
      </c>
      <c r="Q7" s="183">
        <v>45468</v>
      </c>
      <c r="R7" s="183">
        <v>45470</v>
      </c>
      <c r="S7" s="297">
        <v>45471</v>
      </c>
      <c r="T7" s="459"/>
      <c r="U7" s="193">
        <v>45548</v>
      </c>
      <c r="V7" s="193">
        <v>45631</v>
      </c>
      <c r="W7" s="193">
        <v>45622</v>
      </c>
      <c r="X7" s="193">
        <v>45650</v>
      </c>
      <c r="Y7" s="193">
        <v>45637</v>
      </c>
      <c r="Z7" s="193">
        <v>45651</v>
      </c>
      <c r="AA7" s="425"/>
      <c r="AB7" s="250"/>
      <c r="AC7" s="250"/>
      <c r="AD7" s="250"/>
      <c r="AE7" s="250"/>
      <c r="AF7" s="250"/>
      <c r="AG7" s="250"/>
      <c r="AH7" s="250"/>
      <c r="AI7" s="250"/>
      <c r="AJ7" s="250"/>
      <c r="AK7" s="393"/>
    </row>
    <row r="8" spans="1:37" ht="19.5" customHeight="1" thickBot="1" x14ac:dyDescent="0.35">
      <c r="A8" s="29">
        <v>1</v>
      </c>
      <c r="B8" s="289" t="s">
        <v>9</v>
      </c>
      <c r="C8" s="289" t="s">
        <v>86</v>
      </c>
      <c r="D8" s="96">
        <f>AVERAGE(E8:J8)</f>
        <v>4.166666666666667</v>
      </c>
      <c r="E8" s="57">
        <v>4</v>
      </c>
      <c r="F8" s="57">
        <v>4</v>
      </c>
      <c r="G8" s="34">
        <v>5</v>
      </c>
      <c r="H8" s="14">
        <v>4</v>
      </c>
      <c r="I8" s="14">
        <v>4</v>
      </c>
      <c r="J8" s="52">
        <v>4</v>
      </c>
      <c r="K8" s="106">
        <f t="shared" ref="K8:K16" si="0">AVERAGE(L8:S8)</f>
        <v>4.25</v>
      </c>
      <c r="L8" s="89">
        <v>4</v>
      </c>
      <c r="M8" s="110">
        <v>5</v>
      </c>
      <c r="N8" s="128">
        <v>5</v>
      </c>
      <c r="O8" s="128">
        <v>4</v>
      </c>
      <c r="P8" s="128">
        <v>4</v>
      </c>
      <c r="Q8" s="128">
        <v>4</v>
      </c>
      <c r="R8" s="128">
        <v>4</v>
      </c>
      <c r="S8" s="300">
        <v>4</v>
      </c>
      <c r="T8" s="197">
        <f t="shared" ref="T8:T16" si="1">AVERAGE(U8:Z8)</f>
        <v>4.5</v>
      </c>
      <c r="U8" s="150">
        <v>5</v>
      </c>
      <c r="V8" s="151">
        <v>4</v>
      </c>
      <c r="W8" s="152">
        <v>5</v>
      </c>
      <c r="X8" s="152">
        <v>5</v>
      </c>
      <c r="Y8" s="153">
        <v>4</v>
      </c>
      <c r="Z8" s="152">
        <v>4</v>
      </c>
      <c r="AA8" s="251">
        <f t="shared" ref="AA8:AA16" si="2">AVERAGE(AB8:AG8)</f>
        <v>4</v>
      </c>
      <c r="AB8" s="252">
        <v>4</v>
      </c>
      <c r="AC8" s="219">
        <v>4</v>
      </c>
      <c r="AD8" s="221">
        <v>4</v>
      </c>
      <c r="AE8" s="221">
        <v>4</v>
      </c>
      <c r="AF8" s="220">
        <v>4</v>
      </c>
      <c r="AG8" s="221">
        <v>4</v>
      </c>
      <c r="AH8" s="221">
        <v>4</v>
      </c>
      <c r="AI8" s="219">
        <v>5</v>
      </c>
      <c r="AJ8" s="221">
        <v>5</v>
      </c>
      <c r="AK8" s="133">
        <f>AVERAGE(E8:J8,L8:S8,U8:Z8,AB8:AJ8)</f>
        <v>4.2758620689655169</v>
      </c>
    </row>
    <row r="9" spans="1:37" ht="19.5" customHeight="1" thickBot="1" x14ac:dyDescent="0.35">
      <c r="A9" s="30">
        <v>2</v>
      </c>
      <c r="B9" s="290" t="s">
        <v>9</v>
      </c>
      <c r="C9" s="290" t="s">
        <v>88</v>
      </c>
      <c r="D9" s="96">
        <f t="shared" ref="D9:D16" si="3">AVERAGE(E9:J9)</f>
        <v>4</v>
      </c>
      <c r="E9" s="36">
        <v>4</v>
      </c>
      <c r="F9" s="36">
        <v>3</v>
      </c>
      <c r="G9" s="36">
        <v>5</v>
      </c>
      <c r="H9" s="15">
        <v>5</v>
      </c>
      <c r="I9" s="15">
        <v>3</v>
      </c>
      <c r="J9" s="53">
        <v>4</v>
      </c>
      <c r="K9" s="107">
        <f t="shared" si="0"/>
        <v>4.375</v>
      </c>
      <c r="L9" s="74">
        <v>4</v>
      </c>
      <c r="M9" s="75">
        <v>5</v>
      </c>
      <c r="N9" s="124">
        <v>5</v>
      </c>
      <c r="O9" s="124">
        <v>4</v>
      </c>
      <c r="P9" s="124">
        <v>4</v>
      </c>
      <c r="Q9" s="124">
        <v>4</v>
      </c>
      <c r="R9" s="124">
        <v>5</v>
      </c>
      <c r="S9" s="194">
        <v>4</v>
      </c>
      <c r="T9" s="197">
        <f t="shared" si="1"/>
        <v>4.5</v>
      </c>
      <c r="U9" s="150">
        <v>5</v>
      </c>
      <c r="V9" s="151">
        <v>4</v>
      </c>
      <c r="W9" s="152">
        <v>5</v>
      </c>
      <c r="X9" s="152">
        <v>5</v>
      </c>
      <c r="Y9" s="153">
        <v>4</v>
      </c>
      <c r="Z9" s="152">
        <v>4</v>
      </c>
      <c r="AA9" s="251">
        <f t="shared" si="2"/>
        <v>4.5</v>
      </c>
      <c r="AB9" s="252">
        <v>4</v>
      </c>
      <c r="AC9" s="219">
        <v>5</v>
      </c>
      <c r="AD9" s="221">
        <v>5</v>
      </c>
      <c r="AE9" s="221">
        <v>4</v>
      </c>
      <c r="AF9" s="220">
        <v>4</v>
      </c>
      <c r="AG9" s="221">
        <v>5</v>
      </c>
      <c r="AH9" s="221">
        <v>4</v>
      </c>
      <c r="AI9" s="219">
        <v>5</v>
      </c>
      <c r="AJ9" s="221">
        <v>4</v>
      </c>
      <c r="AK9" s="133">
        <f t="shared" ref="AK9:AK16" si="4">AVERAGE(E9:J9,L9:S9,U9:Z9,AB9:AJ9)</f>
        <v>4.3448275862068968</v>
      </c>
    </row>
    <row r="10" spans="1:37" s="24" customFormat="1" ht="19.5" customHeight="1" thickBot="1" x14ac:dyDescent="0.35">
      <c r="A10" s="30">
        <v>3</v>
      </c>
      <c r="B10" s="290" t="s">
        <v>9</v>
      </c>
      <c r="C10" s="290" t="s">
        <v>89</v>
      </c>
      <c r="D10" s="96">
        <f t="shared" si="3"/>
        <v>5</v>
      </c>
      <c r="E10" s="36">
        <v>5</v>
      </c>
      <c r="F10" s="36">
        <v>5</v>
      </c>
      <c r="G10" s="36">
        <v>5</v>
      </c>
      <c r="H10" s="15">
        <v>5</v>
      </c>
      <c r="I10" s="15">
        <v>5</v>
      </c>
      <c r="J10" s="53">
        <v>5</v>
      </c>
      <c r="K10" s="107">
        <f t="shared" si="0"/>
        <v>4.875</v>
      </c>
      <c r="L10" s="74">
        <v>5</v>
      </c>
      <c r="M10" s="75">
        <v>5</v>
      </c>
      <c r="N10" s="124">
        <v>5</v>
      </c>
      <c r="O10" s="124">
        <v>5</v>
      </c>
      <c r="P10" s="124">
        <v>5</v>
      </c>
      <c r="Q10" s="124">
        <v>4</v>
      </c>
      <c r="R10" s="124">
        <v>5</v>
      </c>
      <c r="S10" s="194">
        <v>5</v>
      </c>
      <c r="T10" s="197">
        <f t="shared" si="1"/>
        <v>5</v>
      </c>
      <c r="U10" s="150">
        <v>5</v>
      </c>
      <c r="V10" s="151">
        <v>5</v>
      </c>
      <c r="W10" s="152">
        <v>5</v>
      </c>
      <c r="X10" s="152">
        <v>5</v>
      </c>
      <c r="Y10" s="153">
        <v>5</v>
      </c>
      <c r="Z10" s="152">
        <v>5</v>
      </c>
      <c r="AA10" s="251">
        <f t="shared" si="2"/>
        <v>4.666666666666667</v>
      </c>
      <c r="AB10" s="252">
        <v>5</v>
      </c>
      <c r="AC10" s="219">
        <v>5</v>
      </c>
      <c r="AD10" s="221">
        <v>5</v>
      </c>
      <c r="AE10" s="221">
        <v>4</v>
      </c>
      <c r="AF10" s="220">
        <v>4</v>
      </c>
      <c r="AG10" s="221">
        <v>5</v>
      </c>
      <c r="AH10" s="221">
        <v>5</v>
      </c>
      <c r="AI10" s="219">
        <v>5</v>
      </c>
      <c r="AJ10" s="221">
        <v>5</v>
      </c>
      <c r="AK10" s="133">
        <f t="shared" si="4"/>
        <v>4.8965517241379306</v>
      </c>
    </row>
    <row r="11" spans="1:37" ht="19.5" customHeight="1" thickBot="1" x14ac:dyDescent="0.35">
      <c r="A11" s="30">
        <v>4</v>
      </c>
      <c r="B11" s="290" t="s">
        <v>9</v>
      </c>
      <c r="C11" s="290" t="s">
        <v>90</v>
      </c>
      <c r="D11" s="96">
        <f t="shared" si="3"/>
        <v>5</v>
      </c>
      <c r="E11" s="36">
        <v>5</v>
      </c>
      <c r="F11" s="36">
        <v>5</v>
      </c>
      <c r="G11" s="36">
        <v>5</v>
      </c>
      <c r="H11" s="15">
        <v>5</v>
      </c>
      <c r="I11" s="15">
        <v>5</v>
      </c>
      <c r="J11" s="53">
        <v>5</v>
      </c>
      <c r="K11" s="107">
        <f t="shared" si="0"/>
        <v>4.875</v>
      </c>
      <c r="L11" s="74">
        <v>5</v>
      </c>
      <c r="M11" s="75">
        <v>5</v>
      </c>
      <c r="N11" s="124">
        <v>5</v>
      </c>
      <c r="O11" s="124">
        <v>5</v>
      </c>
      <c r="P11" s="124">
        <v>5</v>
      </c>
      <c r="Q11" s="124">
        <v>4</v>
      </c>
      <c r="R11" s="124">
        <v>5</v>
      </c>
      <c r="S11" s="194">
        <v>5</v>
      </c>
      <c r="T11" s="197">
        <f t="shared" si="1"/>
        <v>5</v>
      </c>
      <c r="U11" s="150">
        <v>5</v>
      </c>
      <c r="V11" s="151">
        <v>5</v>
      </c>
      <c r="W11" s="152">
        <v>5</v>
      </c>
      <c r="X11" s="152">
        <v>5</v>
      </c>
      <c r="Y11" s="153">
        <v>5</v>
      </c>
      <c r="Z11" s="152">
        <v>5</v>
      </c>
      <c r="AA11" s="251">
        <f t="shared" si="2"/>
        <v>4.5</v>
      </c>
      <c r="AB11" s="252">
        <v>5</v>
      </c>
      <c r="AC11" s="219">
        <v>4</v>
      </c>
      <c r="AD11" s="221">
        <v>4</v>
      </c>
      <c r="AE11" s="221">
        <v>4</v>
      </c>
      <c r="AF11" s="220">
        <v>5</v>
      </c>
      <c r="AG11" s="221">
        <v>5</v>
      </c>
      <c r="AH11" s="221">
        <v>5</v>
      </c>
      <c r="AI11" s="219">
        <v>5</v>
      </c>
      <c r="AJ11" s="221">
        <v>4</v>
      </c>
      <c r="AK11" s="133">
        <f t="shared" si="4"/>
        <v>4.8275862068965516</v>
      </c>
    </row>
    <row r="12" spans="1:37" s="24" customFormat="1" ht="19.5" customHeight="1" thickBot="1" x14ac:dyDescent="0.35">
      <c r="A12" s="30">
        <v>5</v>
      </c>
      <c r="B12" s="290" t="s">
        <v>87</v>
      </c>
      <c r="C12" s="290" t="s">
        <v>91</v>
      </c>
      <c r="D12" s="96">
        <f t="shared" si="3"/>
        <v>5</v>
      </c>
      <c r="E12" s="36">
        <v>5</v>
      </c>
      <c r="F12" s="36">
        <v>5</v>
      </c>
      <c r="G12" s="36">
        <v>5</v>
      </c>
      <c r="H12" s="15">
        <v>5</v>
      </c>
      <c r="I12" s="15">
        <v>5</v>
      </c>
      <c r="J12" s="53">
        <v>5</v>
      </c>
      <c r="K12" s="107">
        <f t="shared" si="0"/>
        <v>5</v>
      </c>
      <c r="L12" s="74">
        <v>5</v>
      </c>
      <c r="M12" s="75">
        <v>5</v>
      </c>
      <c r="N12" s="124">
        <v>5</v>
      </c>
      <c r="O12" s="124">
        <v>5</v>
      </c>
      <c r="P12" s="124">
        <v>5</v>
      </c>
      <c r="Q12" s="124">
        <v>5</v>
      </c>
      <c r="R12" s="124">
        <v>5</v>
      </c>
      <c r="S12" s="194">
        <v>5</v>
      </c>
      <c r="T12" s="197">
        <f t="shared" si="1"/>
        <v>5</v>
      </c>
      <c r="U12" s="150">
        <v>5</v>
      </c>
      <c r="V12" s="151">
        <v>5</v>
      </c>
      <c r="W12" s="152">
        <v>5</v>
      </c>
      <c r="X12" s="152">
        <v>5</v>
      </c>
      <c r="Y12" s="153">
        <v>5</v>
      </c>
      <c r="Z12" s="152">
        <v>5</v>
      </c>
      <c r="AA12" s="251">
        <f t="shared" si="2"/>
        <v>5</v>
      </c>
      <c r="AB12" s="252">
        <v>5</v>
      </c>
      <c r="AC12" s="219">
        <v>5</v>
      </c>
      <c r="AD12" s="221">
        <v>5</v>
      </c>
      <c r="AE12" s="221">
        <v>5</v>
      </c>
      <c r="AF12" s="220">
        <v>5</v>
      </c>
      <c r="AG12" s="221">
        <v>5</v>
      </c>
      <c r="AH12" s="221">
        <v>5</v>
      </c>
      <c r="AI12" s="219">
        <v>5</v>
      </c>
      <c r="AJ12" s="221">
        <v>4</v>
      </c>
      <c r="AK12" s="133">
        <f t="shared" si="4"/>
        <v>4.9655172413793105</v>
      </c>
    </row>
    <row r="13" spans="1:37" ht="19.5" customHeight="1" thickBot="1" x14ac:dyDescent="0.35">
      <c r="A13" s="30">
        <v>6</v>
      </c>
      <c r="B13" s="290" t="s">
        <v>87</v>
      </c>
      <c r="C13" s="290" t="s">
        <v>92</v>
      </c>
      <c r="D13" s="96">
        <f t="shared" si="3"/>
        <v>5</v>
      </c>
      <c r="E13" s="36">
        <v>5</v>
      </c>
      <c r="F13" s="36">
        <v>5</v>
      </c>
      <c r="G13" s="36">
        <v>5</v>
      </c>
      <c r="H13" s="15">
        <v>5</v>
      </c>
      <c r="I13" s="15">
        <v>5</v>
      </c>
      <c r="J13" s="53">
        <v>5</v>
      </c>
      <c r="K13" s="107">
        <f t="shared" si="0"/>
        <v>4.875</v>
      </c>
      <c r="L13" s="74">
        <v>5</v>
      </c>
      <c r="M13" s="75">
        <v>5</v>
      </c>
      <c r="N13" s="124">
        <v>5</v>
      </c>
      <c r="O13" s="124">
        <v>5</v>
      </c>
      <c r="P13" s="124">
        <v>5</v>
      </c>
      <c r="Q13" s="124">
        <v>4</v>
      </c>
      <c r="R13" s="124">
        <v>5</v>
      </c>
      <c r="S13" s="194">
        <v>5</v>
      </c>
      <c r="T13" s="197">
        <f t="shared" si="1"/>
        <v>5</v>
      </c>
      <c r="U13" s="150">
        <v>5</v>
      </c>
      <c r="V13" s="151">
        <v>5</v>
      </c>
      <c r="W13" s="152">
        <v>5</v>
      </c>
      <c r="X13" s="152">
        <v>5</v>
      </c>
      <c r="Y13" s="153">
        <v>5</v>
      </c>
      <c r="Z13" s="152">
        <v>5</v>
      </c>
      <c r="AA13" s="251">
        <f t="shared" si="2"/>
        <v>4.5</v>
      </c>
      <c r="AB13" s="252">
        <v>5</v>
      </c>
      <c r="AC13" s="219">
        <v>4</v>
      </c>
      <c r="AD13" s="221">
        <v>4</v>
      </c>
      <c r="AE13" s="221">
        <v>5</v>
      </c>
      <c r="AF13" s="220">
        <v>4</v>
      </c>
      <c r="AG13" s="221">
        <v>5</v>
      </c>
      <c r="AH13" s="221">
        <v>5</v>
      </c>
      <c r="AI13" s="219">
        <v>5</v>
      </c>
      <c r="AJ13" s="221">
        <v>5</v>
      </c>
      <c r="AK13" s="133">
        <f t="shared" si="4"/>
        <v>4.8620689655172411</v>
      </c>
    </row>
    <row r="14" spans="1:37" ht="19.5" customHeight="1" thickBot="1" x14ac:dyDescent="0.35">
      <c r="A14" s="30">
        <v>7</v>
      </c>
      <c r="B14" s="290" t="s">
        <v>87</v>
      </c>
      <c r="C14" s="290" t="s">
        <v>93</v>
      </c>
      <c r="D14" s="96">
        <f t="shared" si="3"/>
        <v>4.333333333333333</v>
      </c>
      <c r="E14" s="36">
        <v>4</v>
      </c>
      <c r="F14" s="36">
        <v>5</v>
      </c>
      <c r="G14" s="36">
        <v>5</v>
      </c>
      <c r="H14" s="15">
        <v>4</v>
      </c>
      <c r="I14" s="15">
        <v>4</v>
      </c>
      <c r="J14" s="53">
        <v>4</v>
      </c>
      <c r="K14" s="107">
        <f t="shared" si="0"/>
        <v>4.5</v>
      </c>
      <c r="L14" s="74">
        <v>5</v>
      </c>
      <c r="M14" s="75">
        <v>5</v>
      </c>
      <c r="N14" s="124">
        <v>5</v>
      </c>
      <c r="O14" s="124">
        <v>3</v>
      </c>
      <c r="P14" s="124">
        <v>5</v>
      </c>
      <c r="Q14" s="124">
        <v>4</v>
      </c>
      <c r="R14" s="124">
        <v>5</v>
      </c>
      <c r="S14" s="194">
        <v>4</v>
      </c>
      <c r="T14" s="197">
        <f t="shared" si="1"/>
        <v>4.666666666666667</v>
      </c>
      <c r="U14" s="150">
        <v>5</v>
      </c>
      <c r="V14" s="151">
        <v>5</v>
      </c>
      <c r="W14" s="152">
        <v>5</v>
      </c>
      <c r="X14" s="152">
        <v>5</v>
      </c>
      <c r="Y14" s="153">
        <v>4</v>
      </c>
      <c r="Z14" s="152">
        <v>4</v>
      </c>
      <c r="AA14" s="251">
        <f t="shared" si="2"/>
        <v>4.333333333333333</v>
      </c>
      <c r="AB14" s="252">
        <v>5</v>
      </c>
      <c r="AC14" s="219">
        <v>4</v>
      </c>
      <c r="AD14" s="221">
        <v>4</v>
      </c>
      <c r="AE14" s="221">
        <v>5</v>
      </c>
      <c r="AF14" s="220">
        <v>4</v>
      </c>
      <c r="AG14" s="221">
        <v>4</v>
      </c>
      <c r="AH14" s="221">
        <v>5</v>
      </c>
      <c r="AI14" s="219">
        <v>5</v>
      </c>
      <c r="AJ14" s="221">
        <v>3</v>
      </c>
      <c r="AK14" s="133">
        <f t="shared" si="4"/>
        <v>4.4482758620689653</v>
      </c>
    </row>
    <row r="15" spans="1:37" s="25" customFormat="1" ht="19.5" customHeight="1" thickBot="1" x14ac:dyDescent="0.35">
      <c r="A15" s="30">
        <v>8</v>
      </c>
      <c r="B15" s="290" t="s">
        <v>9</v>
      </c>
      <c r="C15" s="290" t="s">
        <v>94</v>
      </c>
      <c r="D15" s="96">
        <f t="shared" si="3"/>
        <v>4.333333333333333</v>
      </c>
      <c r="E15" s="36">
        <v>4</v>
      </c>
      <c r="F15" s="36">
        <v>4</v>
      </c>
      <c r="G15" s="36">
        <v>5</v>
      </c>
      <c r="H15" s="15">
        <v>4</v>
      </c>
      <c r="I15" s="15">
        <v>4</v>
      </c>
      <c r="J15" s="53">
        <v>5</v>
      </c>
      <c r="K15" s="107">
        <f t="shared" si="0"/>
        <v>4.5</v>
      </c>
      <c r="L15" s="74">
        <v>4</v>
      </c>
      <c r="M15" s="75">
        <v>4</v>
      </c>
      <c r="N15" s="124">
        <v>5</v>
      </c>
      <c r="O15" s="124">
        <v>4</v>
      </c>
      <c r="P15" s="124">
        <v>4</v>
      </c>
      <c r="Q15" s="124">
        <v>5</v>
      </c>
      <c r="R15" s="124">
        <v>5</v>
      </c>
      <c r="S15" s="194">
        <v>5</v>
      </c>
      <c r="T15" s="197">
        <f t="shared" si="1"/>
        <v>4.333333333333333</v>
      </c>
      <c r="U15" s="150">
        <v>5</v>
      </c>
      <c r="V15" s="151">
        <v>4</v>
      </c>
      <c r="W15" s="152">
        <v>5</v>
      </c>
      <c r="X15" s="152">
        <v>4</v>
      </c>
      <c r="Y15" s="153">
        <v>4</v>
      </c>
      <c r="Z15" s="152">
        <v>4</v>
      </c>
      <c r="AA15" s="251">
        <f t="shared" si="2"/>
        <v>4</v>
      </c>
      <c r="AB15" s="252">
        <v>4</v>
      </c>
      <c r="AC15" s="219">
        <v>4</v>
      </c>
      <c r="AD15" s="221">
        <v>4</v>
      </c>
      <c r="AE15" s="221">
        <v>4</v>
      </c>
      <c r="AF15" s="220">
        <v>4</v>
      </c>
      <c r="AG15" s="221">
        <v>4</v>
      </c>
      <c r="AH15" s="221">
        <v>4</v>
      </c>
      <c r="AI15" s="219">
        <v>5</v>
      </c>
      <c r="AJ15" s="221">
        <v>3</v>
      </c>
      <c r="AK15" s="133">
        <f t="shared" si="4"/>
        <v>4.2758620689655169</v>
      </c>
    </row>
    <row r="16" spans="1:37" s="24" customFormat="1" ht="19.5" customHeight="1" thickBot="1" x14ac:dyDescent="0.35">
      <c r="A16" s="30">
        <v>9</v>
      </c>
      <c r="B16" s="290" t="s">
        <v>9</v>
      </c>
      <c r="C16" s="290" t="s">
        <v>95</v>
      </c>
      <c r="D16" s="96">
        <f t="shared" si="3"/>
        <v>5</v>
      </c>
      <c r="E16" s="23">
        <v>5</v>
      </c>
      <c r="F16" s="23">
        <v>5</v>
      </c>
      <c r="G16" s="36">
        <v>5</v>
      </c>
      <c r="H16" s="15">
        <v>5</v>
      </c>
      <c r="I16" s="15">
        <v>5</v>
      </c>
      <c r="J16" s="53">
        <v>5</v>
      </c>
      <c r="K16" s="108">
        <f t="shared" si="0"/>
        <v>5</v>
      </c>
      <c r="L16" s="74">
        <v>5</v>
      </c>
      <c r="M16" s="75">
        <v>5</v>
      </c>
      <c r="N16" s="124">
        <v>5</v>
      </c>
      <c r="O16" s="124">
        <v>5</v>
      </c>
      <c r="P16" s="124">
        <v>5</v>
      </c>
      <c r="Q16" s="124">
        <v>5</v>
      </c>
      <c r="R16" s="124">
        <v>5</v>
      </c>
      <c r="S16" s="195">
        <v>5</v>
      </c>
      <c r="T16" s="197">
        <f t="shared" si="1"/>
        <v>5</v>
      </c>
      <c r="U16" s="154">
        <v>5</v>
      </c>
      <c r="V16" s="155">
        <v>5</v>
      </c>
      <c r="W16" s="156">
        <v>5</v>
      </c>
      <c r="X16" s="156">
        <v>5</v>
      </c>
      <c r="Y16" s="157">
        <v>5</v>
      </c>
      <c r="Z16" s="156">
        <v>5</v>
      </c>
      <c r="AA16" s="251">
        <f t="shared" si="2"/>
        <v>5</v>
      </c>
      <c r="AB16" s="253">
        <v>5</v>
      </c>
      <c r="AC16" s="254">
        <v>5</v>
      </c>
      <c r="AD16" s="255">
        <v>5</v>
      </c>
      <c r="AE16" s="255">
        <v>5</v>
      </c>
      <c r="AF16" s="256">
        <v>5</v>
      </c>
      <c r="AG16" s="255">
        <v>5</v>
      </c>
      <c r="AH16" s="255">
        <v>5</v>
      </c>
      <c r="AI16" s="254">
        <v>5</v>
      </c>
      <c r="AJ16" s="255">
        <v>4</v>
      </c>
      <c r="AK16" s="133">
        <f t="shared" si="4"/>
        <v>4.9655172413793105</v>
      </c>
    </row>
    <row r="17" spans="1:37" ht="18" customHeight="1" thickBot="1" x14ac:dyDescent="0.35">
      <c r="A17" s="443" t="s">
        <v>4</v>
      </c>
      <c r="B17" s="444"/>
      <c r="C17" s="445"/>
      <c r="D17" s="111">
        <f>SUM(E17:J17)</f>
        <v>37</v>
      </c>
      <c r="E17" s="21">
        <f t="shared" ref="E17:J17" si="5">COUNTIF(E8:E16,5)</f>
        <v>5</v>
      </c>
      <c r="F17" s="21">
        <f t="shared" si="5"/>
        <v>6</v>
      </c>
      <c r="G17" s="35">
        <f t="shared" si="5"/>
        <v>9</v>
      </c>
      <c r="H17" s="28">
        <f t="shared" si="5"/>
        <v>6</v>
      </c>
      <c r="I17" s="28">
        <f t="shared" si="5"/>
        <v>5</v>
      </c>
      <c r="J17" s="21">
        <f t="shared" si="5"/>
        <v>6</v>
      </c>
      <c r="K17" s="109">
        <f>SUM(L17:S17)</f>
        <v>51</v>
      </c>
      <c r="L17" s="103">
        <f t="shared" ref="L17:S17" si="6">COUNTIF(L8:L16,5)</f>
        <v>6</v>
      </c>
      <c r="M17" s="76">
        <f t="shared" si="6"/>
        <v>8</v>
      </c>
      <c r="N17" s="76">
        <f t="shared" si="6"/>
        <v>9</v>
      </c>
      <c r="O17" s="76">
        <f t="shared" si="6"/>
        <v>5</v>
      </c>
      <c r="P17" s="76">
        <f t="shared" si="6"/>
        <v>6</v>
      </c>
      <c r="Q17" s="76">
        <f t="shared" si="6"/>
        <v>3</v>
      </c>
      <c r="R17" s="76">
        <f t="shared" si="6"/>
        <v>8</v>
      </c>
      <c r="S17" s="76">
        <f t="shared" si="6"/>
        <v>6</v>
      </c>
      <c r="T17" s="198">
        <f>SUM(U17:Z17)</f>
        <v>42</v>
      </c>
      <c r="U17" s="159">
        <f t="shared" ref="U17:Z17" si="7">COUNTIF(U8:U16,5)</f>
        <v>9</v>
      </c>
      <c r="V17" s="159">
        <f t="shared" si="7"/>
        <v>6</v>
      </c>
      <c r="W17" s="159">
        <f t="shared" si="7"/>
        <v>9</v>
      </c>
      <c r="X17" s="159">
        <f t="shared" si="7"/>
        <v>8</v>
      </c>
      <c r="Y17" s="159">
        <f t="shared" si="7"/>
        <v>5</v>
      </c>
      <c r="Z17" s="199">
        <f t="shared" si="7"/>
        <v>5</v>
      </c>
      <c r="AA17" s="257">
        <f>SUM(AB17:AJ17)</f>
        <v>45</v>
      </c>
      <c r="AB17" s="258">
        <f t="shared" ref="AB17:AG17" si="8">COUNTIF(AB8:AB16,5)</f>
        <v>6</v>
      </c>
      <c r="AC17" s="258">
        <f t="shared" si="8"/>
        <v>4</v>
      </c>
      <c r="AD17" s="258">
        <f t="shared" si="8"/>
        <v>4</v>
      </c>
      <c r="AE17" s="258">
        <f t="shared" si="8"/>
        <v>4</v>
      </c>
      <c r="AF17" s="258">
        <f t="shared" si="8"/>
        <v>3</v>
      </c>
      <c r="AG17" s="259">
        <f t="shared" si="8"/>
        <v>6</v>
      </c>
      <c r="AH17" s="258">
        <f t="shared" ref="AH17:AJ17" si="9">COUNTIF(AH8:AH16,5)</f>
        <v>6</v>
      </c>
      <c r="AI17" s="258">
        <f t="shared" si="9"/>
        <v>9</v>
      </c>
      <c r="AJ17" s="258">
        <f t="shared" si="9"/>
        <v>3</v>
      </c>
      <c r="AK17" s="138">
        <f>SUM(E17:J17,L17:S17,U17:Z17,AB17:AJ17)</f>
        <v>175</v>
      </c>
    </row>
    <row r="18" spans="1:37" ht="18" customHeight="1" thickBot="1" x14ac:dyDescent="0.35">
      <c r="A18" s="440" t="s">
        <v>5</v>
      </c>
      <c r="B18" s="441"/>
      <c r="C18" s="442"/>
      <c r="D18" s="111">
        <f t="shared" ref="D18:D20" si="10">SUM(E18:J18)</f>
        <v>15</v>
      </c>
      <c r="E18" s="22">
        <f t="shared" ref="E18:J18" si="11">COUNTIF(E8:E16,4)</f>
        <v>4</v>
      </c>
      <c r="F18" s="22">
        <f t="shared" si="11"/>
        <v>2</v>
      </c>
      <c r="G18" s="33">
        <f t="shared" si="11"/>
        <v>0</v>
      </c>
      <c r="H18" s="26">
        <f t="shared" si="11"/>
        <v>3</v>
      </c>
      <c r="I18" s="26">
        <f t="shared" si="11"/>
        <v>3</v>
      </c>
      <c r="J18" s="22">
        <f t="shared" si="11"/>
        <v>3</v>
      </c>
      <c r="K18" s="109">
        <f>SUM(L18:S18)</f>
        <v>20</v>
      </c>
      <c r="L18" s="104">
        <f t="shared" ref="L18:S18" si="12">COUNTIF(L8:L16,4)</f>
        <v>3</v>
      </c>
      <c r="M18" s="77">
        <f t="shared" si="12"/>
        <v>1</v>
      </c>
      <c r="N18" s="77">
        <f t="shared" si="12"/>
        <v>0</v>
      </c>
      <c r="O18" s="77">
        <f t="shared" si="12"/>
        <v>3</v>
      </c>
      <c r="P18" s="77">
        <f t="shared" si="12"/>
        <v>3</v>
      </c>
      <c r="Q18" s="77">
        <f t="shared" si="12"/>
        <v>6</v>
      </c>
      <c r="R18" s="77">
        <f t="shared" si="12"/>
        <v>1</v>
      </c>
      <c r="S18" s="77">
        <f t="shared" si="12"/>
        <v>3</v>
      </c>
      <c r="T18" s="198">
        <f>SUM(U18:Z18)</f>
        <v>12</v>
      </c>
      <c r="U18" s="160">
        <f t="shared" ref="U18:Z18" si="13">COUNTIF(U8:U16,4)</f>
        <v>0</v>
      </c>
      <c r="V18" s="160">
        <f t="shared" si="13"/>
        <v>3</v>
      </c>
      <c r="W18" s="160">
        <f t="shared" si="13"/>
        <v>0</v>
      </c>
      <c r="X18" s="160">
        <f t="shared" si="13"/>
        <v>1</v>
      </c>
      <c r="Y18" s="160">
        <f t="shared" si="13"/>
        <v>4</v>
      </c>
      <c r="Z18" s="200">
        <f t="shared" si="13"/>
        <v>4</v>
      </c>
      <c r="AA18" s="257">
        <f t="shared" ref="AA18:AA20" si="14">SUM(AB18:AJ18)</f>
        <v>34</v>
      </c>
      <c r="AB18" s="260">
        <f t="shared" ref="AB18:AG18" si="15">COUNTIF(AB8:AB16,4)</f>
        <v>3</v>
      </c>
      <c r="AC18" s="260">
        <f t="shared" si="15"/>
        <v>5</v>
      </c>
      <c r="AD18" s="260">
        <f t="shared" si="15"/>
        <v>5</v>
      </c>
      <c r="AE18" s="260">
        <f t="shared" si="15"/>
        <v>5</v>
      </c>
      <c r="AF18" s="260">
        <f t="shared" si="15"/>
        <v>6</v>
      </c>
      <c r="AG18" s="261">
        <f t="shared" si="15"/>
        <v>3</v>
      </c>
      <c r="AH18" s="260">
        <f t="shared" ref="AH18:AJ18" si="16">COUNTIF(AH8:AH16,4)</f>
        <v>3</v>
      </c>
      <c r="AI18" s="260">
        <f t="shared" si="16"/>
        <v>0</v>
      </c>
      <c r="AJ18" s="260">
        <f t="shared" si="16"/>
        <v>4</v>
      </c>
      <c r="AK18" s="138">
        <f t="shared" ref="AK18:AK19" si="17">SUM(E18:J18,L18:S18,U18:Z18,AB18:AJ18)</f>
        <v>81</v>
      </c>
    </row>
    <row r="19" spans="1:37" ht="18" customHeight="1" thickBot="1" x14ac:dyDescent="0.35">
      <c r="A19" s="440" t="s">
        <v>6</v>
      </c>
      <c r="B19" s="441"/>
      <c r="C19" s="442"/>
      <c r="D19" s="111">
        <f t="shared" si="10"/>
        <v>2</v>
      </c>
      <c r="E19" s="22">
        <f t="shared" ref="E19:J19" si="18">COUNTIF(E8:E16,3)</f>
        <v>0</v>
      </c>
      <c r="F19" s="22">
        <f t="shared" si="18"/>
        <v>1</v>
      </c>
      <c r="G19" s="33">
        <f t="shared" si="18"/>
        <v>0</v>
      </c>
      <c r="H19" s="26">
        <f t="shared" si="18"/>
        <v>0</v>
      </c>
      <c r="I19" s="26">
        <f t="shared" si="18"/>
        <v>1</v>
      </c>
      <c r="J19" s="22">
        <f t="shared" si="18"/>
        <v>0</v>
      </c>
      <c r="K19" s="109">
        <f>SUM(L19:S19)</f>
        <v>1</v>
      </c>
      <c r="L19" s="104">
        <f t="shared" ref="L19:S19" si="19">COUNTIF(L8:L16,3)</f>
        <v>0</v>
      </c>
      <c r="M19" s="77">
        <f t="shared" si="19"/>
        <v>0</v>
      </c>
      <c r="N19" s="77">
        <f t="shared" si="19"/>
        <v>0</v>
      </c>
      <c r="O19" s="77">
        <f t="shared" si="19"/>
        <v>1</v>
      </c>
      <c r="P19" s="77">
        <f t="shared" si="19"/>
        <v>0</v>
      </c>
      <c r="Q19" s="77">
        <f t="shared" si="19"/>
        <v>0</v>
      </c>
      <c r="R19" s="77">
        <f t="shared" si="19"/>
        <v>0</v>
      </c>
      <c r="S19" s="77">
        <f t="shared" si="19"/>
        <v>0</v>
      </c>
      <c r="T19" s="198">
        <f>SUM(U19:Z19)</f>
        <v>0</v>
      </c>
      <c r="U19" s="160">
        <f t="shared" ref="U19:Z20" si="20">COUNTIF(U8:U16,3)</f>
        <v>0</v>
      </c>
      <c r="V19" s="160">
        <f t="shared" si="20"/>
        <v>0</v>
      </c>
      <c r="W19" s="160">
        <f t="shared" si="20"/>
        <v>0</v>
      </c>
      <c r="X19" s="160">
        <f t="shared" si="20"/>
        <v>0</v>
      </c>
      <c r="Y19" s="160">
        <f t="shared" si="20"/>
        <v>0</v>
      </c>
      <c r="Z19" s="200">
        <f t="shared" si="20"/>
        <v>0</v>
      </c>
      <c r="AA19" s="257">
        <f t="shared" si="14"/>
        <v>2</v>
      </c>
      <c r="AB19" s="260">
        <f t="shared" ref="AB19:AG19" si="21">COUNTIF(AB8:AB16,3)</f>
        <v>0</v>
      </c>
      <c r="AC19" s="260">
        <f t="shared" si="21"/>
        <v>0</v>
      </c>
      <c r="AD19" s="260">
        <f t="shared" si="21"/>
        <v>0</v>
      </c>
      <c r="AE19" s="260">
        <f t="shared" si="21"/>
        <v>0</v>
      </c>
      <c r="AF19" s="260">
        <f t="shared" si="21"/>
        <v>0</v>
      </c>
      <c r="AG19" s="261">
        <f t="shared" si="21"/>
        <v>0</v>
      </c>
      <c r="AH19" s="260">
        <f t="shared" ref="AH19:AJ19" si="22">COUNTIF(AH8:AH16,3)</f>
        <v>0</v>
      </c>
      <c r="AI19" s="260">
        <f t="shared" si="22"/>
        <v>0</v>
      </c>
      <c r="AJ19" s="260">
        <f t="shared" si="22"/>
        <v>2</v>
      </c>
      <c r="AK19" s="138">
        <f t="shared" si="17"/>
        <v>5</v>
      </c>
    </row>
    <row r="20" spans="1:37" ht="18" customHeight="1" thickBot="1" x14ac:dyDescent="0.35">
      <c r="A20" s="446" t="s">
        <v>7</v>
      </c>
      <c r="B20" s="447"/>
      <c r="C20" s="448"/>
      <c r="D20" s="111">
        <f t="shared" si="10"/>
        <v>0</v>
      </c>
      <c r="E20" s="23">
        <f t="shared" ref="E20:J20" si="23">COUNTIF(E5:E16,2)</f>
        <v>0</v>
      </c>
      <c r="F20" s="23">
        <f t="shared" si="23"/>
        <v>0</v>
      </c>
      <c r="G20" s="32">
        <f t="shared" si="23"/>
        <v>0</v>
      </c>
      <c r="H20" s="27">
        <f t="shared" si="23"/>
        <v>0</v>
      </c>
      <c r="I20" s="27">
        <f t="shared" si="23"/>
        <v>0</v>
      </c>
      <c r="J20" s="23">
        <f t="shared" si="23"/>
        <v>0</v>
      </c>
      <c r="K20" s="109">
        <f>SUM(L20:S20)</f>
        <v>0</v>
      </c>
      <c r="L20" s="105">
        <f>COUNTIF(L5:L16,2)</f>
        <v>0</v>
      </c>
      <c r="M20" s="78">
        <f t="shared" ref="M20:R20" si="24">COUNTIF(M5:M16,2)</f>
        <v>0</v>
      </c>
      <c r="N20" s="78">
        <f t="shared" si="24"/>
        <v>0</v>
      </c>
      <c r="O20" s="78">
        <f t="shared" si="24"/>
        <v>0</v>
      </c>
      <c r="P20" s="78">
        <f t="shared" si="24"/>
        <v>0</v>
      </c>
      <c r="Q20" s="78">
        <f t="shared" si="24"/>
        <v>0</v>
      </c>
      <c r="R20" s="78">
        <f t="shared" si="24"/>
        <v>0</v>
      </c>
      <c r="S20" s="196">
        <f>COUNTIF(S5:S16,2)</f>
        <v>0</v>
      </c>
      <c r="T20" s="198">
        <f>SUM(U20:Z20)</f>
        <v>0</v>
      </c>
      <c r="U20" s="161">
        <f>COUNTIF(X5:X16,2)</f>
        <v>0</v>
      </c>
      <c r="V20" s="161">
        <f>COUNTIF(Y5:Y16,2)</f>
        <v>0</v>
      </c>
      <c r="W20" s="161">
        <f>COUNTIF(Z5:Z16,2)</f>
        <v>0</v>
      </c>
      <c r="X20" s="160">
        <f t="shared" si="20"/>
        <v>0</v>
      </c>
      <c r="Y20" s="160">
        <f>COUNTIF(Y9:Y17,3)</f>
        <v>0</v>
      </c>
      <c r="Z20" s="200">
        <f>COUNTIF(Z9:Z17,3)</f>
        <v>0</v>
      </c>
      <c r="AA20" s="257">
        <f t="shared" si="14"/>
        <v>1</v>
      </c>
      <c r="AB20" s="262">
        <f>COUNTIF(AE5:AE16,2)</f>
        <v>0</v>
      </c>
      <c r="AC20" s="262">
        <f>COUNTIF(AF5:AF16,2)</f>
        <v>0</v>
      </c>
      <c r="AD20" s="262">
        <f>COUNTIF(AG5:AG16,2)</f>
        <v>0</v>
      </c>
      <c r="AE20" s="262">
        <f>COUNTIF(AH5:AH16,2)</f>
        <v>0</v>
      </c>
      <c r="AF20" s="260">
        <f>COUNTIF(AF9:AF17,3)</f>
        <v>1</v>
      </c>
      <c r="AG20" s="261">
        <f>COUNTIF(AG9:AG17,3)</f>
        <v>0</v>
      </c>
      <c r="AH20" s="262">
        <f>COUNTIF(AK5:AK16,2)</f>
        <v>0</v>
      </c>
      <c r="AI20" s="262">
        <f>COUNTIF(AL5:AL16,2)</f>
        <v>0</v>
      </c>
      <c r="AJ20" s="262">
        <f>COUNTIF(AM5:AM16,2)</f>
        <v>0</v>
      </c>
      <c r="AK20" s="138">
        <f>SUM(E20:J20,L20:S20)</f>
        <v>0</v>
      </c>
    </row>
    <row r="21" spans="1:37" ht="24" customHeight="1" thickBot="1" x14ac:dyDescent="0.35">
      <c r="A21" s="379" t="s">
        <v>8</v>
      </c>
      <c r="B21" s="380"/>
      <c r="C21" s="381"/>
      <c r="D21" s="94">
        <f>(D8+D9+D10+D11+D12+D13+D14+D15+D16)/9</f>
        <v>4.6481481481481488</v>
      </c>
      <c r="E21" s="50">
        <f>AVERAGE(E8:E16)</f>
        <v>4.5555555555555554</v>
      </c>
      <c r="F21" s="50">
        <f t="shared" ref="F21:J21" si="25">AVERAGE(F8:F16)</f>
        <v>4.5555555555555554</v>
      </c>
      <c r="G21" s="50">
        <f t="shared" si="25"/>
        <v>5</v>
      </c>
      <c r="H21" s="50">
        <f t="shared" si="25"/>
        <v>4.666666666666667</v>
      </c>
      <c r="I21" s="50">
        <f t="shared" si="25"/>
        <v>4.4444444444444446</v>
      </c>
      <c r="J21" s="71">
        <f t="shared" si="25"/>
        <v>4.666666666666667</v>
      </c>
      <c r="K21" s="73">
        <f>(K8+K9+K10+K11+K12+K13+K14+K15+K16)/9</f>
        <v>4.6944444444444446</v>
      </c>
      <c r="L21" s="79">
        <f>AVERAGE(L8:L16)</f>
        <v>4.666666666666667</v>
      </c>
      <c r="M21" s="79">
        <f t="shared" ref="M21:S21" si="26">AVERAGE(M8:M16)</f>
        <v>4.8888888888888893</v>
      </c>
      <c r="N21" s="79">
        <f t="shared" si="26"/>
        <v>5</v>
      </c>
      <c r="O21" s="79">
        <f t="shared" si="26"/>
        <v>4.4444444444444446</v>
      </c>
      <c r="P21" s="79">
        <f t="shared" si="26"/>
        <v>4.666666666666667</v>
      </c>
      <c r="Q21" s="79">
        <f t="shared" si="26"/>
        <v>4.333333333333333</v>
      </c>
      <c r="R21" s="79">
        <f t="shared" si="26"/>
        <v>4.8888888888888893</v>
      </c>
      <c r="S21" s="79">
        <f t="shared" si="26"/>
        <v>4.666666666666667</v>
      </c>
      <c r="T21" s="201">
        <f>(T8+T9+T11+T10+T12+T13+T14+T15+T16)/9</f>
        <v>4.7777777777777777</v>
      </c>
      <c r="U21" s="202">
        <f t="shared" ref="U21:Z21" si="27">AVERAGE(U8:U16)</f>
        <v>5</v>
      </c>
      <c r="V21" s="202">
        <f t="shared" si="27"/>
        <v>4.666666666666667</v>
      </c>
      <c r="W21" s="202">
        <f t="shared" si="27"/>
        <v>5</v>
      </c>
      <c r="X21" s="202">
        <f t="shared" si="27"/>
        <v>4.8888888888888893</v>
      </c>
      <c r="Y21" s="202">
        <f t="shared" si="27"/>
        <v>4.5555555555555554</v>
      </c>
      <c r="Z21" s="203">
        <f t="shared" si="27"/>
        <v>4.5555555555555554</v>
      </c>
      <c r="AA21" s="201">
        <f>(AA8+AA9+AA11+AA10+AA12+AA13+AA14+AA15+AA16)/9</f>
        <v>4.5</v>
      </c>
      <c r="AB21" s="263">
        <f t="shared" ref="AB21:AG21" si="28">AVERAGE(AB8:AB16)</f>
        <v>4.666666666666667</v>
      </c>
      <c r="AC21" s="263">
        <f t="shared" si="28"/>
        <v>4.4444444444444446</v>
      </c>
      <c r="AD21" s="263">
        <f t="shared" si="28"/>
        <v>4.4444444444444446</v>
      </c>
      <c r="AE21" s="263">
        <f t="shared" si="28"/>
        <v>4.4444444444444446</v>
      </c>
      <c r="AF21" s="263">
        <f t="shared" si="28"/>
        <v>4.333333333333333</v>
      </c>
      <c r="AG21" s="264">
        <f t="shared" si="28"/>
        <v>4.666666666666667</v>
      </c>
      <c r="AH21" s="263">
        <f t="shared" ref="AH21:AJ21" si="29">AVERAGE(AH8:AH16)</f>
        <v>4.666666666666667</v>
      </c>
      <c r="AI21" s="263">
        <f t="shared" si="29"/>
        <v>5</v>
      </c>
      <c r="AJ21" s="263">
        <f t="shared" si="29"/>
        <v>4.1111111111111107</v>
      </c>
      <c r="AK21" s="134">
        <f t="shared" ref="AK21" si="30">AVERAGE(AK8:AK16)</f>
        <v>4.6513409961685817</v>
      </c>
    </row>
    <row r="22" spans="1:37" ht="20.100000000000001" customHeight="1" x14ac:dyDescent="0.3">
      <c r="A22" s="4"/>
      <c r="B22" s="5"/>
      <c r="C22" s="5"/>
      <c r="D22" s="5"/>
      <c r="E22" s="3"/>
      <c r="F22" s="3"/>
      <c r="G22" s="3"/>
      <c r="H22" s="3"/>
      <c r="I22" s="3"/>
      <c r="J22" s="3"/>
    </row>
    <row r="23" spans="1:37" ht="20.100000000000001" customHeight="1" x14ac:dyDescent="0.3">
      <c r="C23" s="7"/>
      <c r="D23" s="7"/>
      <c r="E23" s="7"/>
      <c r="F23" s="7"/>
      <c r="G23" s="7"/>
      <c r="H23" s="6"/>
      <c r="I23" s="6"/>
      <c r="J23" s="6"/>
    </row>
    <row r="24" spans="1:37" ht="40.5" customHeight="1" x14ac:dyDescent="0.35">
      <c r="A24" s="382" t="s">
        <v>144</v>
      </c>
      <c r="B24" s="382"/>
      <c r="C24" s="382"/>
      <c r="D24" s="382"/>
      <c r="E24" s="382"/>
      <c r="F24" s="382"/>
      <c r="G24" s="382"/>
      <c r="H24" s="382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  <c r="AA24" s="382"/>
      <c r="AB24" s="382"/>
      <c r="AC24" s="382"/>
    </row>
    <row r="25" spans="1:37" ht="15" customHeight="1" thickBot="1" x14ac:dyDescent="0.35"/>
    <row r="26" spans="1:37" ht="30" customHeight="1" x14ac:dyDescent="0.3">
      <c r="A26" s="360" t="s">
        <v>0</v>
      </c>
      <c r="B26" s="363" t="s">
        <v>1</v>
      </c>
      <c r="C26" s="363" t="s">
        <v>2</v>
      </c>
      <c r="D26" s="368" t="s">
        <v>3</v>
      </c>
      <c r="E26" s="368"/>
      <c r="F26" s="368"/>
      <c r="G26" s="368"/>
      <c r="H26" s="368"/>
      <c r="I26" s="368"/>
      <c r="J26" s="368"/>
      <c r="K26" s="368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  <c r="AA26" s="428"/>
      <c r="AB26" s="429"/>
      <c r="AC26" s="429"/>
      <c r="AD26" s="429"/>
      <c r="AE26" s="429"/>
      <c r="AF26" s="429"/>
      <c r="AG26" s="429"/>
      <c r="AH26" s="429"/>
      <c r="AI26" s="429"/>
      <c r="AJ26" s="430"/>
      <c r="AK26" s="326" t="s">
        <v>34</v>
      </c>
    </row>
    <row r="27" spans="1:37" s="10" customFormat="1" ht="88.5" customHeight="1" thickBot="1" x14ac:dyDescent="0.35">
      <c r="A27" s="361"/>
      <c r="B27" s="364"/>
      <c r="C27" s="364"/>
      <c r="D27" s="366" t="s">
        <v>17</v>
      </c>
      <c r="E27" s="47" t="s">
        <v>14</v>
      </c>
      <c r="F27" s="47" t="s">
        <v>13</v>
      </c>
      <c r="G27" s="47" t="s">
        <v>145</v>
      </c>
      <c r="H27" s="47" t="s">
        <v>12</v>
      </c>
      <c r="I27" s="47" t="s">
        <v>147</v>
      </c>
      <c r="J27" s="147" t="s">
        <v>18</v>
      </c>
      <c r="K27" s="337" t="s">
        <v>29</v>
      </c>
      <c r="L27" s="180" t="s">
        <v>26</v>
      </c>
      <c r="M27" s="143" t="s">
        <v>23</v>
      </c>
      <c r="N27" s="145" t="s">
        <v>12</v>
      </c>
      <c r="O27" s="145" t="s">
        <v>27</v>
      </c>
      <c r="P27" s="179" t="s">
        <v>54</v>
      </c>
      <c r="Q27" s="143" t="s">
        <v>25</v>
      </c>
      <c r="R27" s="173" t="s">
        <v>22</v>
      </c>
      <c r="S27" s="182" t="s">
        <v>24</v>
      </c>
      <c r="T27" s="387" t="s">
        <v>36</v>
      </c>
      <c r="U27" s="176" t="s">
        <v>38</v>
      </c>
      <c r="V27" s="176" t="s">
        <v>39</v>
      </c>
      <c r="W27" s="177" t="s">
        <v>12</v>
      </c>
      <c r="X27" s="176" t="s">
        <v>40</v>
      </c>
      <c r="Y27" s="176" t="s">
        <v>41</v>
      </c>
      <c r="Z27" s="178" t="s">
        <v>42</v>
      </c>
      <c r="AA27" s="423" t="s">
        <v>57</v>
      </c>
      <c r="AB27" s="247" t="s">
        <v>61</v>
      </c>
      <c r="AC27" s="247" t="s">
        <v>62</v>
      </c>
      <c r="AD27" s="248" t="s">
        <v>63</v>
      </c>
      <c r="AE27" s="247" t="s">
        <v>70</v>
      </c>
      <c r="AF27" s="247" t="s">
        <v>71</v>
      </c>
      <c r="AG27" s="249" t="s">
        <v>72</v>
      </c>
      <c r="AH27" s="247" t="s">
        <v>69</v>
      </c>
      <c r="AI27" s="247" t="s">
        <v>73</v>
      </c>
      <c r="AJ27" s="248" t="s">
        <v>66</v>
      </c>
      <c r="AK27" s="392"/>
    </row>
    <row r="28" spans="1:37" ht="20.100000000000001" customHeight="1" thickBot="1" x14ac:dyDescent="0.35">
      <c r="A28" s="361"/>
      <c r="B28" s="364"/>
      <c r="C28" s="364"/>
      <c r="D28" s="366"/>
      <c r="E28" s="450" t="s">
        <v>10</v>
      </c>
      <c r="F28" s="451"/>
      <c r="G28" s="451"/>
      <c r="H28" s="451"/>
      <c r="I28" s="451"/>
      <c r="J28" s="452"/>
      <c r="K28" s="337"/>
      <c r="L28" s="329" t="s">
        <v>28</v>
      </c>
      <c r="M28" s="330"/>
      <c r="N28" s="330"/>
      <c r="O28" s="330"/>
      <c r="P28" s="330"/>
      <c r="Q28" s="330"/>
      <c r="R28" s="330"/>
      <c r="S28" s="456"/>
      <c r="T28" s="387"/>
      <c r="U28" s="416" t="s">
        <v>37</v>
      </c>
      <c r="V28" s="417"/>
      <c r="W28" s="417"/>
      <c r="X28" s="417"/>
      <c r="Y28" s="417"/>
      <c r="Z28" s="418"/>
      <c r="AA28" s="424"/>
      <c r="AB28" s="421" t="s">
        <v>58</v>
      </c>
      <c r="AC28" s="422"/>
      <c r="AD28" s="422"/>
      <c r="AE28" s="422"/>
      <c r="AF28" s="422"/>
      <c r="AG28" s="422"/>
      <c r="AH28" s="422"/>
      <c r="AI28" s="422"/>
      <c r="AJ28" s="422"/>
      <c r="AK28" s="392"/>
    </row>
    <row r="29" spans="1:37" s="16" customFormat="1" ht="79.5" customHeight="1" thickBot="1" x14ac:dyDescent="0.3">
      <c r="A29" s="362"/>
      <c r="B29" s="365"/>
      <c r="C29" s="365"/>
      <c r="D29" s="367"/>
      <c r="E29" s="37">
        <v>45233</v>
      </c>
      <c r="F29" s="63">
        <v>45244</v>
      </c>
      <c r="G29" s="39">
        <v>45247</v>
      </c>
      <c r="H29" s="39">
        <v>45251</v>
      </c>
      <c r="I29" s="39">
        <v>45282</v>
      </c>
      <c r="J29" s="17">
        <v>45283</v>
      </c>
      <c r="K29" s="339"/>
      <c r="L29" s="294">
        <v>45384</v>
      </c>
      <c r="M29" s="183">
        <v>45408</v>
      </c>
      <c r="N29" s="183">
        <v>45447</v>
      </c>
      <c r="O29" s="183">
        <v>45454</v>
      </c>
      <c r="P29" s="183">
        <v>45438</v>
      </c>
      <c r="Q29" s="183">
        <v>45470</v>
      </c>
      <c r="R29" s="183">
        <v>45471</v>
      </c>
      <c r="S29" s="183">
        <v>45472</v>
      </c>
      <c r="T29" s="388"/>
      <c r="U29" s="148">
        <v>45549</v>
      </c>
      <c r="V29" s="148">
        <v>45630</v>
      </c>
      <c r="W29" s="148">
        <v>45622</v>
      </c>
      <c r="X29" s="148">
        <v>45639</v>
      </c>
      <c r="Y29" s="148">
        <v>45651</v>
      </c>
      <c r="Z29" s="148">
        <v>45650</v>
      </c>
      <c r="AA29" s="425"/>
      <c r="AB29" s="250"/>
      <c r="AC29" s="250"/>
      <c r="AD29" s="250"/>
      <c r="AE29" s="250"/>
      <c r="AF29" s="250"/>
      <c r="AG29" s="250"/>
      <c r="AH29" s="250"/>
      <c r="AI29" s="250"/>
      <c r="AJ29" s="250"/>
      <c r="AK29" s="393"/>
    </row>
    <row r="30" spans="1:37" ht="19.5" thickBot="1" x14ac:dyDescent="0.35">
      <c r="A30" s="29">
        <v>1</v>
      </c>
      <c r="B30" s="290" t="s">
        <v>9</v>
      </c>
      <c r="C30" s="290" t="s">
        <v>97</v>
      </c>
      <c r="D30" s="96">
        <f>AVERAGE(E30:J30)</f>
        <v>4.166666666666667</v>
      </c>
      <c r="E30" s="58">
        <v>4</v>
      </c>
      <c r="F30" s="64">
        <v>4</v>
      </c>
      <c r="G30" s="31">
        <v>5</v>
      </c>
      <c r="H30" s="31">
        <v>4</v>
      </c>
      <c r="I30" s="31">
        <v>4</v>
      </c>
      <c r="J30" s="54">
        <v>4</v>
      </c>
      <c r="K30" s="97">
        <f t="shared" ref="K30:K38" si="31">AVERAGE(L30:S30)</f>
        <v>4.75</v>
      </c>
      <c r="L30" s="74">
        <v>5</v>
      </c>
      <c r="M30" s="75">
        <v>4</v>
      </c>
      <c r="N30" s="124">
        <v>5</v>
      </c>
      <c r="O30" s="124">
        <v>5</v>
      </c>
      <c r="P30" s="129">
        <v>4</v>
      </c>
      <c r="Q30" s="124">
        <v>5</v>
      </c>
      <c r="R30" s="124">
        <v>5</v>
      </c>
      <c r="S30" s="131">
        <v>5</v>
      </c>
      <c r="T30" s="149">
        <f t="shared" ref="T30:T38" si="32">AVERAGE(U30:Z30)</f>
        <v>5</v>
      </c>
      <c r="U30" s="150">
        <v>5</v>
      </c>
      <c r="V30" s="151">
        <v>5</v>
      </c>
      <c r="W30" s="152">
        <v>5</v>
      </c>
      <c r="X30" s="152">
        <v>5</v>
      </c>
      <c r="Y30" s="153">
        <v>5</v>
      </c>
      <c r="Z30" s="152">
        <v>5</v>
      </c>
      <c r="AA30" s="251">
        <f t="shared" ref="AA30:AA38" si="33">AVERAGE(AB30:AG30)</f>
        <v>4.4000000000000004</v>
      </c>
      <c r="AB30" s="273">
        <v>5</v>
      </c>
      <c r="AC30" s="273">
        <v>4</v>
      </c>
      <c r="AD30" s="273">
        <v>5</v>
      </c>
      <c r="AE30" s="273"/>
      <c r="AF30" s="273">
        <v>4</v>
      </c>
      <c r="AG30" s="224">
        <v>4</v>
      </c>
      <c r="AH30" s="273">
        <v>5</v>
      </c>
      <c r="AI30" s="282">
        <v>5</v>
      </c>
      <c r="AJ30" s="273">
        <v>4</v>
      </c>
      <c r="AK30" s="98">
        <f>AVERAGE(E30:J30,L30:S30,U30:Z30,AB30:AJ30)</f>
        <v>4.6071428571428568</v>
      </c>
    </row>
    <row r="31" spans="1:37" s="24" customFormat="1" ht="19.5" thickBot="1" x14ac:dyDescent="0.35">
      <c r="A31" s="30">
        <v>2</v>
      </c>
      <c r="B31" s="290" t="s">
        <v>96</v>
      </c>
      <c r="C31" s="290" t="s">
        <v>98</v>
      </c>
      <c r="D31" s="96">
        <f>AVERAGE(E31:J31)</f>
        <v>4.5</v>
      </c>
      <c r="E31" s="59">
        <v>4</v>
      </c>
      <c r="F31" s="9">
        <v>5</v>
      </c>
      <c r="G31" s="38">
        <v>5</v>
      </c>
      <c r="H31" s="38">
        <v>5</v>
      </c>
      <c r="I31" s="38">
        <v>5</v>
      </c>
      <c r="J31" s="55">
        <v>3</v>
      </c>
      <c r="K31" s="97">
        <f t="shared" si="31"/>
        <v>4.875</v>
      </c>
      <c r="L31" s="74">
        <v>5</v>
      </c>
      <c r="M31" s="75">
        <v>4</v>
      </c>
      <c r="N31" s="124">
        <v>5</v>
      </c>
      <c r="O31" s="124">
        <v>5</v>
      </c>
      <c r="P31" s="129">
        <v>5</v>
      </c>
      <c r="Q31" s="124">
        <v>5</v>
      </c>
      <c r="R31" s="124">
        <v>5</v>
      </c>
      <c r="S31" s="131">
        <v>5</v>
      </c>
      <c r="T31" s="149">
        <f t="shared" si="32"/>
        <v>4.5</v>
      </c>
      <c r="U31" s="150">
        <v>4</v>
      </c>
      <c r="V31" s="151">
        <v>5</v>
      </c>
      <c r="W31" s="152">
        <v>5</v>
      </c>
      <c r="X31" s="152">
        <v>4</v>
      </c>
      <c r="Y31" s="153">
        <v>5</v>
      </c>
      <c r="Z31" s="152">
        <v>4</v>
      </c>
      <c r="AA31" s="251">
        <f t="shared" si="33"/>
        <v>4.5999999999999996</v>
      </c>
      <c r="AB31" s="274">
        <v>4</v>
      </c>
      <c r="AC31" s="274">
        <v>5</v>
      </c>
      <c r="AD31" s="325">
        <v>5</v>
      </c>
      <c r="AE31" s="274"/>
      <c r="AF31" s="274">
        <v>5</v>
      </c>
      <c r="AG31" s="224">
        <v>4</v>
      </c>
      <c r="AH31" s="274">
        <v>4</v>
      </c>
      <c r="AI31" s="283">
        <v>5</v>
      </c>
      <c r="AJ31" s="274">
        <v>4</v>
      </c>
      <c r="AK31" s="98">
        <f t="shared" ref="AK31:AK38" si="34">AVERAGE(E31:J31,L31:S31,U31:Z31,AB31:AJ31)</f>
        <v>4.6071428571428568</v>
      </c>
    </row>
    <row r="32" spans="1:37" ht="19.5" thickBot="1" x14ac:dyDescent="0.35">
      <c r="A32" s="30">
        <v>3</v>
      </c>
      <c r="B32" s="290" t="s">
        <v>87</v>
      </c>
      <c r="C32" s="290" t="s">
        <v>99</v>
      </c>
      <c r="D32" s="96">
        <f t="shared" ref="D32:D38" si="35">AVERAGE(E32:J32)</f>
        <v>5</v>
      </c>
      <c r="E32" s="59">
        <v>5</v>
      </c>
      <c r="F32" s="9">
        <v>5</v>
      </c>
      <c r="G32" s="38">
        <v>5</v>
      </c>
      <c r="H32" s="38">
        <v>5</v>
      </c>
      <c r="I32" s="38">
        <v>5</v>
      </c>
      <c r="J32" s="55">
        <v>5</v>
      </c>
      <c r="K32" s="97">
        <f t="shared" si="31"/>
        <v>5</v>
      </c>
      <c r="L32" s="74">
        <v>5</v>
      </c>
      <c r="M32" s="75">
        <v>5</v>
      </c>
      <c r="N32" s="124">
        <v>5</v>
      </c>
      <c r="O32" s="124">
        <v>5</v>
      </c>
      <c r="P32" s="129">
        <v>5</v>
      </c>
      <c r="Q32" s="124">
        <v>5</v>
      </c>
      <c r="R32" s="124">
        <v>5</v>
      </c>
      <c r="S32" s="131">
        <v>5</v>
      </c>
      <c r="T32" s="149">
        <f t="shared" si="32"/>
        <v>5</v>
      </c>
      <c r="U32" s="150">
        <v>5</v>
      </c>
      <c r="V32" s="151">
        <v>5</v>
      </c>
      <c r="W32" s="152">
        <v>5</v>
      </c>
      <c r="X32" s="152">
        <v>5</v>
      </c>
      <c r="Y32" s="153">
        <v>5</v>
      </c>
      <c r="Z32" s="152">
        <v>5</v>
      </c>
      <c r="AA32" s="251">
        <f t="shared" si="33"/>
        <v>4.8</v>
      </c>
      <c r="AB32" s="274">
        <v>5</v>
      </c>
      <c r="AC32" s="274">
        <v>5</v>
      </c>
      <c r="AD32" s="278">
        <v>5</v>
      </c>
      <c r="AE32" s="278"/>
      <c r="AF32" s="280">
        <v>4</v>
      </c>
      <c r="AG32" s="276">
        <v>5</v>
      </c>
      <c r="AH32" s="274">
        <v>5</v>
      </c>
      <c r="AI32" s="283">
        <v>5</v>
      </c>
      <c r="AJ32" s="278">
        <v>5</v>
      </c>
      <c r="AK32" s="98">
        <f t="shared" si="34"/>
        <v>4.9642857142857144</v>
      </c>
    </row>
    <row r="33" spans="1:40" s="24" customFormat="1" ht="19.5" thickBot="1" x14ac:dyDescent="0.35">
      <c r="A33" s="30">
        <v>4</v>
      </c>
      <c r="B33" s="290" t="s">
        <v>87</v>
      </c>
      <c r="C33" s="290" t="s">
        <v>100</v>
      </c>
      <c r="D33" s="96">
        <f t="shared" si="35"/>
        <v>5</v>
      </c>
      <c r="E33" s="59">
        <v>5</v>
      </c>
      <c r="F33" s="9">
        <v>5</v>
      </c>
      <c r="G33" s="38">
        <v>5</v>
      </c>
      <c r="H33" s="38">
        <v>5</v>
      </c>
      <c r="I33" s="38">
        <v>5</v>
      </c>
      <c r="J33" s="55">
        <v>5</v>
      </c>
      <c r="K33" s="97">
        <f t="shared" si="31"/>
        <v>4.125</v>
      </c>
      <c r="L33" s="74">
        <v>5</v>
      </c>
      <c r="M33" s="75">
        <v>5</v>
      </c>
      <c r="N33" s="124">
        <v>5</v>
      </c>
      <c r="O33" s="124">
        <v>3</v>
      </c>
      <c r="P33" s="129">
        <v>3</v>
      </c>
      <c r="Q33" s="124">
        <v>4</v>
      </c>
      <c r="R33" s="124">
        <v>4</v>
      </c>
      <c r="S33" s="131">
        <v>4</v>
      </c>
      <c r="T33" s="149">
        <f t="shared" si="32"/>
        <v>5</v>
      </c>
      <c r="U33" s="150">
        <v>5</v>
      </c>
      <c r="V33" s="151">
        <v>5</v>
      </c>
      <c r="W33" s="152">
        <v>5</v>
      </c>
      <c r="X33" s="152">
        <v>5</v>
      </c>
      <c r="Y33" s="153">
        <v>5</v>
      </c>
      <c r="Z33" s="152">
        <v>5</v>
      </c>
      <c r="AA33" s="251">
        <f t="shared" si="33"/>
        <v>4.5999999999999996</v>
      </c>
      <c r="AB33" s="274">
        <v>4</v>
      </c>
      <c r="AC33" s="274">
        <v>5</v>
      </c>
      <c r="AD33" s="278">
        <v>4</v>
      </c>
      <c r="AE33" s="278"/>
      <c r="AF33" s="280">
        <v>5</v>
      </c>
      <c r="AG33" s="276">
        <v>5</v>
      </c>
      <c r="AH33" s="274">
        <v>4</v>
      </c>
      <c r="AI33" s="283">
        <v>5</v>
      </c>
      <c r="AJ33" s="278">
        <v>5</v>
      </c>
      <c r="AK33" s="98">
        <f t="shared" si="34"/>
        <v>4.6428571428571432</v>
      </c>
    </row>
    <row r="34" spans="1:40" ht="19.5" thickBot="1" x14ac:dyDescent="0.35">
      <c r="A34" s="30">
        <v>5</v>
      </c>
      <c r="B34" s="290" t="s">
        <v>9</v>
      </c>
      <c r="C34" s="290" t="s">
        <v>101</v>
      </c>
      <c r="D34" s="96">
        <f t="shared" si="35"/>
        <v>4.166666666666667</v>
      </c>
      <c r="E34" s="59">
        <v>4</v>
      </c>
      <c r="F34" s="9">
        <v>4</v>
      </c>
      <c r="G34" s="38">
        <v>4</v>
      </c>
      <c r="H34" s="38">
        <v>5</v>
      </c>
      <c r="I34" s="38">
        <v>4</v>
      </c>
      <c r="J34" s="55">
        <v>4</v>
      </c>
      <c r="K34" s="97">
        <f t="shared" si="31"/>
        <v>4</v>
      </c>
      <c r="L34" s="74">
        <v>4</v>
      </c>
      <c r="M34" s="75">
        <v>4</v>
      </c>
      <c r="N34" s="124">
        <v>5</v>
      </c>
      <c r="O34" s="124">
        <v>3</v>
      </c>
      <c r="P34" s="129">
        <v>4</v>
      </c>
      <c r="Q34" s="124">
        <v>4</v>
      </c>
      <c r="R34" s="124">
        <v>4</v>
      </c>
      <c r="S34" s="131">
        <v>4</v>
      </c>
      <c r="T34" s="149">
        <f t="shared" si="32"/>
        <v>4.333333333333333</v>
      </c>
      <c r="U34" s="150">
        <v>5</v>
      </c>
      <c r="V34" s="151">
        <v>4</v>
      </c>
      <c r="W34" s="152">
        <v>5</v>
      </c>
      <c r="X34" s="152">
        <v>4</v>
      </c>
      <c r="Y34" s="153">
        <v>4</v>
      </c>
      <c r="Z34" s="152">
        <v>4</v>
      </c>
      <c r="AA34" s="251">
        <f t="shared" si="33"/>
        <v>4</v>
      </c>
      <c r="AB34" s="274">
        <v>4</v>
      </c>
      <c r="AC34" s="274">
        <v>4</v>
      </c>
      <c r="AD34" s="278">
        <v>4</v>
      </c>
      <c r="AE34" s="278"/>
      <c r="AF34" s="280">
        <v>4</v>
      </c>
      <c r="AG34" s="276">
        <v>4</v>
      </c>
      <c r="AH34" s="274">
        <v>5</v>
      </c>
      <c r="AI34" s="283">
        <v>5</v>
      </c>
      <c r="AJ34" s="278">
        <v>4</v>
      </c>
      <c r="AK34" s="98">
        <f t="shared" si="34"/>
        <v>4.1785714285714288</v>
      </c>
    </row>
    <row r="35" spans="1:40" ht="19.5" thickBot="1" x14ac:dyDescent="0.35">
      <c r="A35" s="30">
        <v>6</v>
      </c>
      <c r="B35" s="290" t="s">
        <v>9</v>
      </c>
      <c r="C35" s="290" t="s">
        <v>102</v>
      </c>
      <c r="D35" s="96">
        <f t="shared" si="35"/>
        <v>4.166666666666667</v>
      </c>
      <c r="E35" s="59">
        <v>4</v>
      </c>
      <c r="F35" s="9">
        <v>4</v>
      </c>
      <c r="G35" s="38">
        <v>4</v>
      </c>
      <c r="H35" s="38">
        <v>5</v>
      </c>
      <c r="I35" s="38">
        <v>4</v>
      </c>
      <c r="J35" s="55">
        <v>4</v>
      </c>
      <c r="K35" s="97">
        <f t="shared" si="31"/>
        <v>4.125</v>
      </c>
      <c r="L35" s="74">
        <v>4</v>
      </c>
      <c r="M35" s="75">
        <v>4</v>
      </c>
      <c r="N35" s="124">
        <v>5</v>
      </c>
      <c r="O35" s="124">
        <v>3</v>
      </c>
      <c r="P35" s="129">
        <v>3</v>
      </c>
      <c r="Q35" s="124">
        <v>4</v>
      </c>
      <c r="R35" s="124">
        <v>5</v>
      </c>
      <c r="S35" s="131">
        <v>5</v>
      </c>
      <c r="T35" s="149">
        <f t="shared" si="32"/>
        <v>4.333333333333333</v>
      </c>
      <c r="U35" s="150">
        <v>5</v>
      </c>
      <c r="V35" s="151">
        <v>4</v>
      </c>
      <c r="W35" s="152">
        <v>5</v>
      </c>
      <c r="X35" s="152">
        <v>4</v>
      </c>
      <c r="Y35" s="153">
        <v>4</v>
      </c>
      <c r="Z35" s="152">
        <v>4</v>
      </c>
      <c r="AA35" s="251">
        <f t="shared" si="33"/>
        <v>4</v>
      </c>
      <c r="AB35" s="274">
        <v>4</v>
      </c>
      <c r="AC35" s="274">
        <v>4</v>
      </c>
      <c r="AD35" s="278">
        <v>4</v>
      </c>
      <c r="AE35" s="278"/>
      <c r="AF35" s="280">
        <v>4</v>
      </c>
      <c r="AG35" s="276">
        <v>4</v>
      </c>
      <c r="AH35" s="274">
        <v>4</v>
      </c>
      <c r="AI35" s="283">
        <v>5</v>
      </c>
      <c r="AJ35" s="278">
        <v>4</v>
      </c>
      <c r="AK35" s="98">
        <f t="shared" si="34"/>
        <v>4.1785714285714288</v>
      </c>
    </row>
    <row r="36" spans="1:40" ht="19.5" thickBot="1" x14ac:dyDescent="0.35">
      <c r="A36" s="30">
        <v>7</v>
      </c>
      <c r="B36" s="290" t="s">
        <v>87</v>
      </c>
      <c r="C36" s="290" t="s">
        <v>103</v>
      </c>
      <c r="D36" s="96">
        <f t="shared" si="35"/>
        <v>4.166666666666667</v>
      </c>
      <c r="E36" s="59">
        <v>4</v>
      </c>
      <c r="F36" s="65">
        <v>4</v>
      </c>
      <c r="G36" s="41">
        <v>5</v>
      </c>
      <c r="H36" s="38">
        <v>5</v>
      </c>
      <c r="I36" s="38">
        <v>4</v>
      </c>
      <c r="J36" s="55">
        <v>3</v>
      </c>
      <c r="K36" s="97">
        <f t="shared" si="31"/>
        <v>4</v>
      </c>
      <c r="L36" s="74">
        <v>4</v>
      </c>
      <c r="M36" s="75">
        <v>4</v>
      </c>
      <c r="N36" s="124">
        <v>5</v>
      </c>
      <c r="O36" s="124">
        <v>3</v>
      </c>
      <c r="P36" s="129">
        <v>3</v>
      </c>
      <c r="Q36" s="124">
        <v>4</v>
      </c>
      <c r="R36" s="124">
        <v>5</v>
      </c>
      <c r="S36" s="131">
        <v>4</v>
      </c>
      <c r="T36" s="149">
        <f t="shared" si="32"/>
        <v>4.333333333333333</v>
      </c>
      <c r="U36" s="150">
        <v>5</v>
      </c>
      <c r="V36" s="151">
        <v>4</v>
      </c>
      <c r="W36" s="152">
        <v>5</v>
      </c>
      <c r="X36" s="152">
        <v>4</v>
      </c>
      <c r="Y36" s="153">
        <v>4</v>
      </c>
      <c r="Z36" s="152">
        <v>4</v>
      </c>
      <c r="AA36" s="251">
        <f t="shared" si="33"/>
        <v>3.8</v>
      </c>
      <c r="AB36" s="274">
        <v>4</v>
      </c>
      <c r="AC36" s="274">
        <v>4</v>
      </c>
      <c r="AD36" s="278">
        <v>4</v>
      </c>
      <c r="AE36" s="278"/>
      <c r="AF36" s="280">
        <v>4</v>
      </c>
      <c r="AG36" s="276">
        <v>3</v>
      </c>
      <c r="AH36" s="274">
        <v>4</v>
      </c>
      <c r="AI36" s="283">
        <v>5</v>
      </c>
      <c r="AJ36" s="278">
        <v>4</v>
      </c>
      <c r="AK36" s="98">
        <f t="shared" si="34"/>
        <v>4.1071428571428568</v>
      </c>
    </row>
    <row r="37" spans="1:40" s="8" customFormat="1" ht="19.5" thickBot="1" x14ac:dyDescent="0.35">
      <c r="A37" s="30">
        <v>8</v>
      </c>
      <c r="B37" s="290" t="s">
        <v>9</v>
      </c>
      <c r="C37" s="290" t="s">
        <v>104</v>
      </c>
      <c r="D37" s="96">
        <f t="shared" si="35"/>
        <v>4.5</v>
      </c>
      <c r="E37" s="59">
        <v>5</v>
      </c>
      <c r="F37" s="9">
        <v>4</v>
      </c>
      <c r="G37" s="38">
        <v>4</v>
      </c>
      <c r="H37" s="38">
        <v>5</v>
      </c>
      <c r="I37" s="38">
        <v>4</v>
      </c>
      <c r="J37" s="55">
        <v>5</v>
      </c>
      <c r="K37" s="97">
        <f t="shared" si="31"/>
        <v>4.75</v>
      </c>
      <c r="L37" s="74">
        <v>5</v>
      </c>
      <c r="M37" s="75">
        <v>4</v>
      </c>
      <c r="N37" s="124">
        <v>5</v>
      </c>
      <c r="O37" s="124">
        <v>4</v>
      </c>
      <c r="P37" s="129">
        <v>5</v>
      </c>
      <c r="Q37" s="124">
        <v>5</v>
      </c>
      <c r="R37" s="124">
        <v>5</v>
      </c>
      <c r="S37" s="131">
        <v>5</v>
      </c>
      <c r="T37" s="149">
        <f t="shared" si="32"/>
        <v>4.833333333333333</v>
      </c>
      <c r="U37" s="150">
        <v>5</v>
      </c>
      <c r="V37" s="151">
        <v>5</v>
      </c>
      <c r="W37" s="152">
        <v>5</v>
      </c>
      <c r="X37" s="152">
        <v>5</v>
      </c>
      <c r="Y37" s="153">
        <v>5</v>
      </c>
      <c r="Z37" s="152">
        <v>4</v>
      </c>
      <c r="AA37" s="251">
        <f t="shared" si="33"/>
        <v>4.4000000000000004</v>
      </c>
      <c r="AB37" s="274">
        <v>5</v>
      </c>
      <c r="AC37" s="274">
        <v>4</v>
      </c>
      <c r="AD37" s="278">
        <v>5</v>
      </c>
      <c r="AE37" s="278"/>
      <c r="AF37" s="280">
        <v>4</v>
      </c>
      <c r="AG37" s="276">
        <v>4</v>
      </c>
      <c r="AH37" s="274">
        <v>5</v>
      </c>
      <c r="AI37" s="274">
        <v>5</v>
      </c>
      <c r="AJ37" s="278">
        <v>4</v>
      </c>
      <c r="AK37" s="98">
        <f t="shared" si="34"/>
        <v>4.6428571428571432</v>
      </c>
    </row>
    <row r="38" spans="1:40" ht="19.5" thickBot="1" x14ac:dyDescent="0.35">
      <c r="A38" s="30">
        <v>9</v>
      </c>
      <c r="B38" s="290" t="s">
        <v>87</v>
      </c>
      <c r="C38" s="290" t="s">
        <v>105</v>
      </c>
      <c r="D38" s="96">
        <f t="shared" si="35"/>
        <v>5</v>
      </c>
      <c r="E38" s="60">
        <v>5</v>
      </c>
      <c r="F38" s="66">
        <v>5</v>
      </c>
      <c r="G38" s="40">
        <v>5</v>
      </c>
      <c r="H38" s="40">
        <v>5</v>
      </c>
      <c r="I38" s="40">
        <v>5</v>
      </c>
      <c r="J38" s="56">
        <v>5</v>
      </c>
      <c r="K38" s="97">
        <f t="shared" si="31"/>
        <v>5</v>
      </c>
      <c r="L38" s="87">
        <v>5</v>
      </c>
      <c r="M38" s="88">
        <v>5</v>
      </c>
      <c r="N38" s="125">
        <v>5</v>
      </c>
      <c r="O38" s="125">
        <v>5</v>
      </c>
      <c r="P38" s="130">
        <v>5</v>
      </c>
      <c r="Q38" s="125">
        <v>5</v>
      </c>
      <c r="R38" s="125">
        <v>5</v>
      </c>
      <c r="S38" s="132">
        <v>5</v>
      </c>
      <c r="T38" s="149">
        <f t="shared" si="32"/>
        <v>5</v>
      </c>
      <c r="U38" s="154">
        <v>5</v>
      </c>
      <c r="V38" s="155">
        <v>5</v>
      </c>
      <c r="W38" s="156">
        <v>5</v>
      </c>
      <c r="X38" s="156">
        <v>5</v>
      </c>
      <c r="Y38" s="157">
        <v>5</v>
      </c>
      <c r="Z38" s="156">
        <v>5</v>
      </c>
      <c r="AA38" s="251">
        <f t="shared" si="33"/>
        <v>5</v>
      </c>
      <c r="AB38" s="275">
        <v>5</v>
      </c>
      <c r="AC38" s="275">
        <v>5</v>
      </c>
      <c r="AD38" s="279">
        <v>5</v>
      </c>
      <c r="AE38" s="279"/>
      <c r="AF38" s="281">
        <v>5</v>
      </c>
      <c r="AG38" s="277">
        <v>5</v>
      </c>
      <c r="AH38" s="275">
        <v>5</v>
      </c>
      <c r="AI38" s="284">
        <v>5</v>
      </c>
      <c r="AJ38" s="279">
        <v>5</v>
      </c>
      <c r="AK38" s="98">
        <f t="shared" si="34"/>
        <v>5</v>
      </c>
    </row>
    <row r="39" spans="1:40" ht="19.5" thickBot="1" x14ac:dyDescent="0.35">
      <c r="A39" s="331" t="s">
        <v>15</v>
      </c>
      <c r="B39" s="332"/>
      <c r="C39" s="333"/>
      <c r="D39" s="111">
        <f>SUM(E39:J39)</f>
        <v>30</v>
      </c>
      <c r="E39" s="61">
        <f t="shared" ref="E39:J39" si="36">COUNTIF(E30:E38,5)</f>
        <v>4</v>
      </c>
      <c r="F39" s="61">
        <f t="shared" si="36"/>
        <v>4</v>
      </c>
      <c r="G39" s="44">
        <f t="shared" si="36"/>
        <v>6</v>
      </c>
      <c r="H39" s="44">
        <f t="shared" si="36"/>
        <v>8</v>
      </c>
      <c r="I39" s="44">
        <f t="shared" si="36"/>
        <v>4</v>
      </c>
      <c r="J39" s="44">
        <f t="shared" si="36"/>
        <v>4</v>
      </c>
      <c r="K39" s="112">
        <f>SUM(L39:S39)</f>
        <v>44</v>
      </c>
      <c r="L39" s="84">
        <f t="shared" ref="L39:S39" si="37">COUNTIF(L30:L38,5)</f>
        <v>6</v>
      </c>
      <c r="M39" s="84">
        <f t="shared" si="37"/>
        <v>3</v>
      </c>
      <c r="N39" s="84">
        <f t="shared" si="37"/>
        <v>9</v>
      </c>
      <c r="O39" s="84">
        <f t="shared" si="37"/>
        <v>4</v>
      </c>
      <c r="P39" s="84">
        <f t="shared" si="37"/>
        <v>4</v>
      </c>
      <c r="Q39" s="84">
        <f t="shared" si="37"/>
        <v>5</v>
      </c>
      <c r="R39" s="84">
        <f t="shared" si="37"/>
        <v>7</v>
      </c>
      <c r="S39" s="85">
        <f t="shared" si="37"/>
        <v>6</v>
      </c>
      <c r="T39" s="158">
        <f>SUM(U39:Z39)</f>
        <v>38</v>
      </c>
      <c r="U39" s="159">
        <f t="shared" ref="U39:Z39" si="38">COUNTIF(U30:U38,5)</f>
        <v>8</v>
      </c>
      <c r="V39" s="159">
        <f t="shared" si="38"/>
        <v>6</v>
      </c>
      <c r="W39" s="159">
        <f t="shared" si="38"/>
        <v>9</v>
      </c>
      <c r="X39" s="159">
        <f t="shared" si="38"/>
        <v>5</v>
      </c>
      <c r="Y39" s="159">
        <f t="shared" si="38"/>
        <v>6</v>
      </c>
      <c r="Z39" s="159">
        <f t="shared" si="38"/>
        <v>4</v>
      </c>
      <c r="AA39" s="257">
        <f>SUM(AB39:AJ39)</f>
        <v>36</v>
      </c>
      <c r="AB39" s="258">
        <f t="shared" ref="AB39:AJ39" si="39">COUNTIF(AB30:AB38,5)</f>
        <v>4</v>
      </c>
      <c r="AC39" s="258">
        <f t="shared" si="39"/>
        <v>4</v>
      </c>
      <c r="AD39" s="258">
        <f t="shared" si="39"/>
        <v>5</v>
      </c>
      <c r="AE39" s="258">
        <f t="shared" si="39"/>
        <v>0</v>
      </c>
      <c r="AF39" s="258">
        <f t="shared" si="39"/>
        <v>3</v>
      </c>
      <c r="AG39" s="258">
        <f t="shared" si="39"/>
        <v>3</v>
      </c>
      <c r="AH39" s="258">
        <f t="shared" si="39"/>
        <v>5</v>
      </c>
      <c r="AI39" s="258">
        <f t="shared" si="39"/>
        <v>9</v>
      </c>
      <c r="AJ39" s="258">
        <f t="shared" si="39"/>
        <v>3</v>
      </c>
      <c r="AK39" s="167">
        <f>SUM(D39,K39,T39,AA39,AB39:AJ39)</f>
        <v>184</v>
      </c>
    </row>
    <row r="40" spans="1:40" ht="19.5" thickBot="1" x14ac:dyDescent="0.35">
      <c r="A40" s="346" t="s">
        <v>5</v>
      </c>
      <c r="B40" s="347"/>
      <c r="C40" s="348"/>
      <c r="D40" s="111">
        <f t="shared" ref="D40:D42" si="40">SUM(E40:J40)</f>
        <v>22</v>
      </c>
      <c r="E40" s="62">
        <f t="shared" ref="E40:J40" si="41">COUNTIF(E30:E38,4)</f>
        <v>5</v>
      </c>
      <c r="F40" s="62">
        <f t="shared" si="41"/>
        <v>5</v>
      </c>
      <c r="G40" s="42">
        <f t="shared" si="41"/>
        <v>3</v>
      </c>
      <c r="H40" s="42">
        <f t="shared" si="41"/>
        <v>1</v>
      </c>
      <c r="I40" s="42">
        <f t="shared" si="41"/>
        <v>5</v>
      </c>
      <c r="J40" s="42">
        <f t="shared" si="41"/>
        <v>3</v>
      </c>
      <c r="K40" s="112">
        <f>SUM(L40:S40)</f>
        <v>21</v>
      </c>
      <c r="L40" s="77">
        <f t="shared" ref="L40:S40" si="42">COUNTIF(L30:L38,4)</f>
        <v>3</v>
      </c>
      <c r="M40" s="77">
        <f t="shared" si="42"/>
        <v>6</v>
      </c>
      <c r="N40" s="77">
        <f t="shared" si="42"/>
        <v>0</v>
      </c>
      <c r="O40" s="77">
        <f t="shared" si="42"/>
        <v>1</v>
      </c>
      <c r="P40" s="77">
        <f t="shared" si="42"/>
        <v>2</v>
      </c>
      <c r="Q40" s="77">
        <f t="shared" si="42"/>
        <v>4</v>
      </c>
      <c r="R40" s="77">
        <f t="shared" si="42"/>
        <v>2</v>
      </c>
      <c r="S40" s="81">
        <f t="shared" si="42"/>
        <v>3</v>
      </c>
      <c r="T40" s="158">
        <f>SUM(U40:Z40)</f>
        <v>16</v>
      </c>
      <c r="U40" s="160">
        <f t="shared" ref="U40:Z40" si="43">COUNTIF(U30:U38,4)</f>
        <v>1</v>
      </c>
      <c r="V40" s="160">
        <f t="shared" si="43"/>
        <v>3</v>
      </c>
      <c r="W40" s="160">
        <f t="shared" si="43"/>
        <v>0</v>
      </c>
      <c r="X40" s="160">
        <f t="shared" si="43"/>
        <v>4</v>
      </c>
      <c r="Y40" s="160">
        <f t="shared" si="43"/>
        <v>3</v>
      </c>
      <c r="Z40" s="160">
        <f t="shared" si="43"/>
        <v>5</v>
      </c>
      <c r="AA40" s="257">
        <f>SUM(AB40:AJ40)</f>
        <v>33.1</v>
      </c>
      <c r="AB40" s="258">
        <f>COUNTIF(AB31:AB39,4)</f>
        <v>6</v>
      </c>
      <c r="AC40" s="258">
        <f t="shared" ref="AC40:AJ40" si="44">COUNTIF(AC31:AC39,4)</f>
        <v>5</v>
      </c>
      <c r="AD40" s="258">
        <f t="shared" si="44"/>
        <v>4</v>
      </c>
      <c r="AE40" s="258">
        <f t="shared" si="44"/>
        <v>0</v>
      </c>
      <c r="AF40" s="258">
        <f>COUNTIF(AF31:AF39,4)</f>
        <v>5</v>
      </c>
      <c r="AG40" s="258">
        <f>AVERAGE(AG30:AG39)</f>
        <v>4.0999999999999996</v>
      </c>
      <c r="AH40" s="258">
        <f t="shared" si="44"/>
        <v>4</v>
      </c>
      <c r="AI40" s="258">
        <f t="shared" si="44"/>
        <v>0</v>
      </c>
      <c r="AJ40" s="258">
        <f t="shared" si="44"/>
        <v>5</v>
      </c>
      <c r="AK40" s="167">
        <f>SUM(D40,K40,T40,AA40,AB40:AJ40,AB40)</f>
        <v>131.19999999999999</v>
      </c>
    </row>
    <row r="41" spans="1:40" ht="19.5" thickBot="1" x14ac:dyDescent="0.35">
      <c r="A41" s="346" t="s">
        <v>6</v>
      </c>
      <c r="B41" s="347"/>
      <c r="C41" s="348"/>
      <c r="D41" s="111">
        <f t="shared" si="40"/>
        <v>2</v>
      </c>
      <c r="E41" s="62">
        <f t="shared" ref="E41:J41" si="45">COUNTIF(E30:E38,3)</f>
        <v>0</v>
      </c>
      <c r="F41" s="62">
        <f t="shared" si="45"/>
        <v>0</v>
      </c>
      <c r="G41" s="42">
        <f t="shared" si="45"/>
        <v>0</v>
      </c>
      <c r="H41" s="42">
        <f t="shared" si="45"/>
        <v>0</v>
      </c>
      <c r="I41" s="42">
        <f t="shared" si="45"/>
        <v>0</v>
      </c>
      <c r="J41" s="42">
        <f t="shared" si="45"/>
        <v>2</v>
      </c>
      <c r="K41" s="112">
        <f>SUM(L41:S41)</f>
        <v>7</v>
      </c>
      <c r="L41" s="77">
        <f t="shared" ref="L41:S41" si="46">COUNTIF(L30:L38,3)</f>
        <v>0</v>
      </c>
      <c r="M41" s="77">
        <f t="shared" si="46"/>
        <v>0</v>
      </c>
      <c r="N41" s="77">
        <f t="shared" si="46"/>
        <v>0</v>
      </c>
      <c r="O41" s="77">
        <f t="shared" si="46"/>
        <v>4</v>
      </c>
      <c r="P41" s="77">
        <f t="shared" si="46"/>
        <v>3</v>
      </c>
      <c r="Q41" s="77">
        <f t="shared" si="46"/>
        <v>0</v>
      </c>
      <c r="R41" s="77">
        <f t="shared" si="46"/>
        <v>0</v>
      </c>
      <c r="S41" s="81">
        <f t="shared" si="46"/>
        <v>0</v>
      </c>
      <c r="T41" s="158">
        <f>SUM(U41:Z41)</f>
        <v>0</v>
      </c>
      <c r="U41" s="160">
        <f t="shared" ref="U41:Z42" si="47">COUNTIF(U30:U38,3)</f>
        <v>0</v>
      </c>
      <c r="V41" s="160">
        <f t="shared" si="47"/>
        <v>0</v>
      </c>
      <c r="W41" s="160">
        <f t="shared" si="47"/>
        <v>0</v>
      </c>
      <c r="X41" s="160">
        <f t="shared" si="47"/>
        <v>0</v>
      </c>
      <c r="Y41" s="160">
        <f t="shared" si="47"/>
        <v>0</v>
      </c>
      <c r="Z41" s="160">
        <f t="shared" si="47"/>
        <v>0</v>
      </c>
      <c r="AA41" s="257">
        <f t="shared" ref="AA41:AA42" si="48">SUM(AB41:AJ41)</f>
        <v>1</v>
      </c>
      <c r="AB41" s="260">
        <f t="shared" ref="AB41:AJ41" si="49">COUNTIF(AB30:AB38,3)</f>
        <v>0</v>
      </c>
      <c r="AC41" s="260">
        <f t="shared" si="49"/>
        <v>0</v>
      </c>
      <c r="AD41" s="260">
        <f t="shared" si="49"/>
        <v>0</v>
      </c>
      <c r="AE41" s="260">
        <f t="shared" si="49"/>
        <v>0</v>
      </c>
      <c r="AF41" s="260">
        <f t="shared" si="49"/>
        <v>0</v>
      </c>
      <c r="AG41" s="261">
        <f t="shared" si="49"/>
        <v>1</v>
      </c>
      <c r="AH41" s="260">
        <f t="shared" si="49"/>
        <v>0</v>
      </c>
      <c r="AI41" s="260">
        <f t="shared" si="49"/>
        <v>0</v>
      </c>
      <c r="AJ41" s="260">
        <f t="shared" si="49"/>
        <v>0</v>
      </c>
      <c r="AK41" s="167">
        <f>SUM(D41,K41,T41,AA41,AB41:AJ41)</f>
        <v>11</v>
      </c>
    </row>
    <row r="42" spans="1:40" ht="19.5" thickBot="1" x14ac:dyDescent="0.35">
      <c r="A42" s="340" t="s">
        <v>7</v>
      </c>
      <c r="B42" s="341"/>
      <c r="C42" s="342"/>
      <c r="D42" s="111">
        <f t="shared" si="40"/>
        <v>0</v>
      </c>
      <c r="E42" s="60">
        <f t="shared" ref="E42:J42" si="50">COUNTIF(E27:E38,2)</f>
        <v>0</v>
      </c>
      <c r="F42" s="60">
        <f t="shared" si="50"/>
        <v>0</v>
      </c>
      <c r="G42" s="43">
        <f t="shared" si="50"/>
        <v>0</v>
      </c>
      <c r="H42" s="43">
        <f t="shared" si="50"/>
        <v>0</v>
      </c>
      <c r="I42" s="43">
        <f t="shared" si="50"/>
        <v>0</v>
      </c>
      <c r="J42" s="43">
        <f t="shared" si="50"/>
        <v>0</v>
      </c>
      <c r="K42" s="112">
        <f>SUM(L42:S42)</f>
        <v>0</v>
      </c>
      <c r="L42" s="78">
        <f t="shared" ref="L42:S42" si="51">COUNTIF(L27:L38,2)</f>
        <v>0</v>
      </c>
      <c r="M42" s="78">
        <f t="shared" ref="M42:R42" si="52">COUNTIF(M27:M38,2)</f>
        <v>0</v>
      </c>
      <c r="N42" s="78">
        <f t="shared" si="52"/>
        <v>0</v>
      </c>
      <c r="O42" s="78">
        <f t="shared" si="52"/>
        <v>0</v>
      </c>
      <c r="P42" s="78">
        <f t="shared" si="52"/>
        <v>0</v>
      </c>
      <c r="Q42" s="78">
        <f t="shared" si="52"/>
        <v>0</v>
      </c>
      <c r="R42" s="78">
        <f t="shared" si="52"/>
        <v>0</v>
      </c>
      <c r="S42" s="82">
        <f t="shared" si="51"/>
        <v>0</v>
      </c>
      <c r="T42" s="158">
        <f>SUM(U42:Z42)</f>
        <v>0</v>
      </c>
      <c r="U42" s="161">
        <f>COUNTIF(W27:W38,2)</f>
        <v>0</v>
      </c>
      <c r="V42" s="161">
        <f>COUNTIF(X27:X28,2)</f>
        <v>0</v>
      </c>
      <c r="W42" s="161">
        <f>COUNTIF(Y27:Y28,2)</f>
        <v>0</v>
      </c>
      <c r="X42" s="161">
        <f>COUNTIF(Z27:Z28,2)</f>
        <v>0</v>
      </c>
      <c r="Y42" s="160">
        <f t="shared" si="47"/>
        <v>0</v>
      </c>
      <c r="Z42" s="160">
        <f>COUNTIF(Z31:Z39,3)</f>
        <v>0</v>
      </c>
      <c r="AA42" s="257">
        <f t="shared" si="48"/>
        <v>1</v>
      </c>
      <c r="AB42" s="262">
        <f>COUNTIF(AE27:AE38,2)</f>
        <v>0</v>
      </c>
      <c r="AC42" s="262">
        <f>COUNTIF(AF27:AF38,2)</f>
        <v>0</v>
      </c>
      <c r="AD42" s="262">
        <f>COUNTIF(AG27:AG38,2)</f>
        <v>0</v>
      </c>
      <c r="AE42" s="260">
        <f t="shared" ref="AE42" si="53">COUNTIF(AE31:AE39,3)</f>
        <v>0</v>
      </c>
      <c r="AF42" s="260">
        <f>COUNTIF(AF31:AF39,3)</f>
        <v>1</v>
      </c>
      <c r="AG42" s="260">
        <f>COUNTIF(AG31:AG39,2)</f>
        <v>0</v>
      </c>
      <c r="AH42" s="262">
        <f>COUNTIF(AK27:AK38,2)</f>
        <v>0</v>
      </c>
      <c r="AI42" s="262">
        <f>COUNTIF(AL27:AL38,2)</f>
        <v>0</v>
      </c>
      <c r="AJ42" s="262">
        <f>COUNTIF(AM27:AM38,2)</f>
        <v>0</v>
      </c>
      <c r="AK42" s="167">
        <f>SUM(D42,K42,T42)</f>
        <v>0</v>
      </c>
    </row>
    <row r="43" spans="1:40" ht="33" customHeight="1" thickBot="1" x14ac:dyDescent="0.35">
      <c r="A43" s="343" t="s">
        <v>8</v>
      </c>
      <c r="B43" s="344"/>
      <c r="C43" s="345"/>
      <c r="D43" s="19">
        <f>(D30+D31+D33+D32+D34+D35+D36+D37+D38)/9</f>
        <v>4.518518518518519</v>
      </c>
      <c r="E43" s="50">
        <f>AVERAGE(E30:E38)</f>
        <v>4.4444444444444446</v>
      </c>
      <c r="F43" s="50">
        <f>AVERAGE(F30:F38)</f>
        <v>4.4444444444444446</v>
      </c>
      <c r="G43" s="50">
        <f t="shared" ref="G43:J43" si="54">AVERAGE(G30:G38)</f>
        <v>4.666666666666667</v>
      </c>
      <c r="H43" s="50">
        <f t="shared" si="54"/>
        <v>4.8888888888888893</v>
      </c>
      <c r="I43" s="50">
        <f t="shared" si="54"/>
        <v>4.4444444444444446</v>
      </c>
      <c r="J43" s="71">
        <f t="shared" si="54"/>
        <v>4.2222222222222223</v>
      </c>
      <c r="K43" s="19">
        <f>(K30+K31+K33+K32+K34+K35+K36+K37+K38)/9</f>
        <v>4.5138888888888893</v>
      </c>
      <c r="L43" s="79">
        <f>AVERAGE(L30:L38)</f>
        <v>4.666666666666667</v>
      </c>
      <c r="M43" s="79">
        <f t="shared" ref="M43:S43" si="55">AVERAGE(M30:M38)</f>
        <v>4.333333333333333</v>
      </c>
      <c r="N43" s="79">
        <f t="shared" si="55"/>
        <v>5</v>
      </c>
      <c r="O43" s="79">
        <f t="shared" si="55"/>
        <v>4</v>
      </c>
      <c r="P43" s="79">
        <f t="shared" si="55"/>
        <v>4.1111111111111107</v>
      </c>
      <c r="Q43" s="79">
        <f t="shared" si="55"/>
        <v>4.5555555555555554</v>
      </c>
      <c r="R43" s="79">
        <f t="shared" si="55"/>
        <v>4.7777777777777777</v>
      </c>
      <c r="S43" s="83">
        <f t="shared" si="55"/>
        <v>4.666666666666667</v>
      </c>
      <c r="T43" s="19">
        <f>(T30+T31+T33+T32+T34+T35+T36+T37+T38)/9</f>
        <v>4.7037037037037042</v>
      </c>
      <c r="U43" s="162">
        <f t="shared" ref="U43:Z43" si="56">AVERAGE(U30:U38)</f>
        <v>4.8888888888888893</v>
      </c>
      <c r="V43" s="162">
        <f t="shared" si="56"/>
        <v>4.666666666666667</v>
      </c>
      <c r="W43" s="162">
        <f t="shared" si="56"/>
        <v>5</v>
      </c>
      <c r="X43" s="162">
        <f t="shared" si="56"/>
        <v>4.5555555555555554</v>
      </c>
      <c r="Y43" s="162">
        <f t="shared" si="56"/>
        <v>4.666666666666667</v>
      </c>
      <c r="Z43" s="162">
        <f t="shared" si="56"/>
        <v>4.4444444444444446</v>
      </c>
      <c r="AA43" s="201">
        <f>(AA30+AA31+AA33+AA32+AA34+AA35+AA36+AA37+AA38)/9</f>
        <v>4.4000000000000004</v>
      </c>
      <c r="AB43" s="263">
        <f t="shared" ref="AB43:AJ43" si="57">AVERAGE(AB30:AB38)</f>
        <v>4.4444444444444446</v>
      </c>
      <c r="AC43" s="263">
        <f t="shared" si="57"/>
        <v>4.4444444444444446</v>
      </c>
      <c r="AD43" s="263">
        <f t="shared" si="57"/>
        <v>4.5555555555555554</v>
      </c>
      <c r="AE43" s="263" t="e">
        <f t="shared" si="57"/>
        <v>#DIV/0!</v>
      </c>
      <c r="AF43" s="263">
        <f t="shared" si="57"/>
        <v>4.333333333333333</v>
      </c>
      <c r="AG43" s="263">
        <f t="shared" si="57"/>
        <v>4.2222222222222223</v>
      </c>
      <c r="AH43" s="263">
        <f t="shared" si="57"/>
        <v>4.5555555555555554</v>
      </c>
      <c r="AI43" s="263">
        <f t="shared" si="57"/>
        <v>5</v>
      </c>
      <c r="AJ43" s="263">
        <f t="shared" si="57"/>
        <v>4.333333333333333</v>
      </c>
      <c r="AK43" s="90">
        <f>(AK39*5+AK40*4+AK41*3+AK42*2)/SUM(AK39:AK42)</f>
        <v>4.5303494788473326</v>
      </c>
    </row>
    <row r="44" spans="1:40" x14ac:dyDescent="0.3">
      <c r="W44" s="13"/>
    </row>
    <row r="45" spans="1:40" ht="27" x14ac:dyDescent="0.35">
      <c r="A45" s="382" t="s">
        <v>82</v>
      </c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  <c r="M45" s="382"/>
      <c r="N45" s="382"/>
      <c r="O45" s="382"/>
      <c r="P45" s="382"/>
      <c r="Q45" s="382"/>
      <c r="R45" s="382"/>
      <c r="S45" s="382"/>
      <c r="T45" s="382"/>
      <c r="U45" s="382"/>
      <c r="V45" s="382"/>
      <c r="W45" s="382"/>
      <c r="X45" s="382"/>
      <c r="Y45" s="382"/>
      <c r="Z45" s="382"/>
      <c r="AA45" s="382"/>
      <c r="AB45" s="382"/>
      <c r="AC45" s="382"/>
      <c r="AD45" s="382"/>
      <c r="AE45" s="382"/>
      <c r="AF45" s="382"/>
      <c r="AG45" s="382"/>
    </row>
    <row r="46" spans="1:40" ht="19.5" thickBot="1" x14ac:dyDescent="0.35"/>
    <row r="47" spans="1:40" ht="23.25" customHeight="1" thickBot="1" x14ac:dyDescent="0.35">
      <c r="A47" s="431" t="s">
        <v>0</v>
      </c>
      <c r="B47" s="413" t="s">
        <v>1</v>
      </c>
      <c r="C47" s="413" t="s">
        <v>2</v>
      </c>
      <c r="D47" s="368" t="s">
        <v>3</v>
      </c>
      <c r="E47" s="368"/>
      <c r="F47" s="368"/>
      <c r="G47" s="368"/>
      <c r="H47" s="368"/>
      <c r="I47" s="368"/>
      <c r="J47" s="368"/>
      <c r="K47" s="368"/>
      <c r="L47" s="368"/>
      <c r="M47" s="368"/>
      <c r="N47" s="368"/>
      <c r="O47" s="368"/>
      <c r="P47" s="368"/>
      <c r="Q47" s="390"/>
      <c r="R47" s="368"/>
      <c r="S47" s="368"/>
      <c r="T47" s="368"/>
      <c r="U47" s="390"/>
      <c r="V47" s="368"/>
      <c r="W47" s="368"/>
      <c r="X47" s="368"/>
      <c r="Y47" s="368"/>
      <c r="Z47" s="368"/>
      <c r="AA47" s="368"/>
      <c r="AB47" s="368"/>
      <c r="AC47" s="368"/>
      <c r="AD47" s="368"/>
      <c r="AE47" s="368"/>
      <c r="AF47" s="368"/>
      <c r="AG47" s="368"/>
      <c r="AH47" s="368"/>
      <c r="AI47" s="368"/>
      <c r="AJ47" s="368"/>
      <c r="AK47" s="368"/>
      <c r="AL47" s="368"/>
      <c r="AM47" s="391"/>
      <c r="AN47" s="326" t="s">
        <v>34</v>
      </c>
    </row>
    <row r="48" spans="1:40" s="10" customFormat="1" ht="90" customHeight="1" thickBot="1" x14ac:dyDescent="0.35">
      <c r="A48" s="432"/>
      <c r="B48" s="414"/>
      <c r="C48" s="414"/>
      <c r="D48" s="366" t="s">
        <v>17</v>
      </c>
      <c r="E48" s="142" t="s">
        <v>14</v>
      </c>
      <c r="F48" s="142" t="s">
        <v>13</v>
      </c>
      <c r="G48" s="142" t="s">
        <v>11</v>
      </c>
      <c r="H48" s="142" t="s">
        <v>12</v>
      </c>
      <c r="I48" s="142" t="s">
        <v>18</v>
      </c>
      <c r="J48" s="69" t="s">
        <v>19</v>
      </c>
      <c r="K48" s="337" t="s">
        <v>29</v>
      </c>
      <c r="L48" s="143" t="s">
        <v>23</v>
      </c>
      <c r="M48" s="144" t="s">
        <v>27</v>
      </c>
      <c r="N48" s="145" t="s">
        <v>31</v>
      </c>
      <c r="O48" s="145" t="s">
        <v>30</v>
      </c>
      <c r="P48" s="144" t="s">
        <v>26</v>
      </c>
      <c r="Q48" s="296" t="s">
        <v>152</v>
      </c>
      <c r="R48" s="143" t="s">
        <v>25</v>
      </c>
      <c r="S48" s="173" t="s">
        <v>22</v>
      </c>
      <c r="T48" s="299" t="s">
        <v>53</v>
      </c>
      <c r="U48" s="298" t="s">
        <v>32</v>
      </c>
      <c r="V48" s="426" t="s">
        <v>36</v>
      </c>
      <c r="W48" s="188" t="s">
        <v>44</v>
      </c>
      <c r="X48" s="188" t="s">
        <v>39</v>
      </c>
      <c r="Y48" s="188" t="s">
        <v>12</v>
      </c>
      <c r="Z48" s="188" t="s">
        <v>45</v>
      </c>
      <c r="AA48" s="188" t="s">
        <v>41</v>
      </c>
      <c r="AB48" s="188" t="s">
        <v>46</v>
      </c>
      <c r="AC48" s="188" t="s">
        <v>47</v>
      </c>
      <c r="AD48" s="188" t="s">
        <v>49</v>
      </c>
      <c r="AE48" s="375" t="s">
        <v>57</v>
      </c>
      <c r="AF48" s="217" t="s">
        <v>59</v>
      </c>
      <c r="AG48" s="217" t="s">
        <v>74</v>
      </c>
      <c r="AH48" s="217" t="s">
        <v>66</v>
      </c>
      <c r="AI48" s="217" t="s">
        <v>69</v>
      </c>
      <c r="AJ48" s="217" t="s">
        <v>67</v>
      </c>
      <c r="AK48" s="217" t="s">
        <v>31</v>
      </c>
      <c r="AL48" s="217" t="s">
        <v>76</v>
      </c>
      <c r="AM48" s="217" t="s">
        <v>78</v>
      </c>
      <c r="AN48" s="327"/>
    </row>
    <row r="49" spans="1:40" ht="23.25" customHeight="1" thickBot="1" x14ac:dyDescent="0.35">
      <c r="A49" s="432"/>
      <c r="B49" s="414"/>
      <c r="C49" s="414"/>
      <c r="D49" s="366"/>
      <c r="E49" s="372" t="s">
        <v>16</v>
      </c>
      <c r="F49" s="373"/>
      <c r="G49" s="373"/>
      <c r="H49" s="373"/>
      <c r="I49" s="373"/>
      <c r="J49" s="374"/>
      <c r="K49" s="337"/>
      <c r="L49" s="377" t="s">
        <v>28</v>
      </c>
      <c r="M49" s="378"/>
      <c r="N49" s="378"/>
      <c r="O49" s="378"/>
      <c r="P49" s="378"/>
      <c r="Q49" s="378"/>
      <c r="R49" s="378"/>
      <c r="S49" s="378"/>
      <c r="T49" s="378"/>
      <c r="U49" s="378"/>
      <c r="V49" s="419"/>
      <c r="W49" s="334" t="s">
        <v>43</v>
      </c>
      <c r="X49" s="335"/>
      <c r="Y49" s="335"/>
      <c r="Z49" s="335"/>
      <c r="AA49" s="335"/>
      <c r="AB49" s="335"/>
      <c r="AC49" s="335"/>
      <c r="AD49" s="336"/>
      <c r="AE49" s="349"/>
      <c r="AF49" s="369" t="s">
        <v>58</v>
      </c>
      <c r="AG49" s="370"/>
      <c r="AH49" s="370"/>
      <c r="AI49" s="370"/>
      <c r="AJ49" s="370"/>
      <c r="AK49" s="370"/>
      <c r="AL49" s="370"/>
      <c r="AM49" s="371"/>
      <c r="AN49" s="327"/>
    </row>
    <row r="50" spans="1:40" s="16" customFormat="1" ht="80.25" customHeight="1" thickBot="1" x14ac:dyDescent="0.3">
      <c r="A50" s="433"/>
      <c r="B50" s="415"/>
      <c r="C50" s="415"/>
      <c r="D50" s="367"/>
      <c r="E50" s="37">
        <v>45241</v>
      </c>
      <c r="F50" s="37">
        <v>45248</v>
      </c>
      <c r="G50" s="37">
        <v>45251</v>
      </c>
      <c r="H50" s="37">
        <v>45253</v>
      </c>
      <c r="I50" s="37" t="s">
        <v>148</v>
      </c>
      <c r="J50" s="51">
        <v>45283</v>
      </c>
      <c r="K50" s="339"/>
      <c r="L50" s="119">
        <v>45419</v>
      </c>
      <c r="M50" s="119">
        <v>45447</v>
      </c>
      <c r="N50" s="119">
        <v>45450</v>
      </c>
      <c r="O50" s="119">
        <v>45454</v>
      </c>
      <c r="P50" s="119">
        <v>45457</v>
      </c>
      <c r="Q50" s="119">
        <v>45461</v>
      </c>
      <c r="R50" s="119">
        <v>45463</v>
      </c>
      <c r="S50" s="119">
        <v>45464</v>
      </c>
      <c r="T50" s="139">
        <v>45468</v>
      </c>
      <c r="U50" s="297">
        <v>45472</v>
      </c>
      <c r="V50" s="427"/>
      <c r="W50" s="301">
        <v>45560</v>
      </c>
      <c r="X50" s="301">
        <v>45629</v>
      </c>
      <c r="Y50" s="301">
        <v>45624</v>
      </c>
      <c r="Z50" s="301">
        <v>45646</v>
      </c>
      <c r="AA50" s="301">
        <v>45651</v>
      </c>
      <c r="AB50" s="301">
        <v>45639</v>
      </c>
      <c r="AC50" s="301">
        <v>45647</v>
      </c>
      <c r="AD50" s="301">
        <v>45644</v>
      </c>
      <c r="AE50" s="376"/>
      <c r="AF50" s="286"/>
      <c r="AG50" s="286"/>
      <c r="AH50" s="286"/>
      <c r="AI50" s="286"/>
      <c r="AJ50" s="286"/>
      <c r="AK50" s="286"/>
      <c r="AL50" s="286"/>
      <c r="AM50" s="286"/>
      <c r="AN50" s="328"/>
    </row>
    <row r="51" spans="1:40" ht="19.5" thickBot="1" x14ac:dyDescent="0.35">
      <c r="A51" s="29">
        <v>1</v>
      </c>
      <c r="B51" s="290" t="s">
        <v>87</v>
      </c>
      <c r="C51" s="290" t="s">
        <v>106</v>
      </c>
      <c r="D51" s="99">
        <f t="shared" ref="D51:D63" si="58">AVERAGE(E51:J51)</f>
        <v>4.166666666666667</v>
      </c>
      <c r="E51" s="57">
        <v>4</v>
      </c>
      <c r="F51" s="57">
        <v>4</v>
      </c>
      <c r="G51" s="34">
        <v>4</v>
      </c>
      <c r="H51" s="292">
        <v>5</v>
      </c>
      <c r="I51" s="14">
        <v>4</v>
      </c>
      <c r="J51" s="52">
        <v>4</v>
      </c>
      <c r="K51" s="100">
        <f t="shared" ref="K51:K63" si="59">AVERAGE(L51:U51)</f>
        <v>4.2</v>
      </c>
      <c r="L51" s="121">
        <v>4</v>
      </c>
      <c r="M51" s="121">
        <v>4</v>
      </c>
      <c r="N51" s="121">
        <v>5</v>
      </c>
      <c r="O51" s="121">
        <v>4</v>
      </c>
      <c r="P51" s="121">
        <v>4</v>
      </c>
      <c r="Q51" s="121">
        <v>5</v>
      </c>
      <c r="R51" s="121">
        <v>4</v>
      </c>
      <c r="S51" s="121">
        <v>4</v>
      </c>
      <c r="T51" s="121">
        <v>4</v>
      </c>
      <c r="U51" s="121">
        <v>4</v>
      </c>
      <c r="V51" s="163">
        <f t="shared" ref="V51:V63" si="60">AVERAGE(W51:AD51)</f>
        <v>4.25</v>
      </c>
      <c r="W51" s="152">
        <v>5</v>
      </c>
      <c r="X51" s="152">
        <v>4</v>
      </c>
      <c r="Y51" s="152">
        <v>5</v>
      </c>
      <c r="Z51" s="152">
        <v>4</v>
      </c>
      <c r="AA51" s="152">
        <v>4</v>
      </c>
      <c r="AB51" s="152">
        <v>4</v>
      </c>
      <c r="AC51" s="152">
        <v>4</v>
      </c>
      <c r="AD51" s="152">
        <v>4</v>
      </c>
      <c r="AE51" s="222">
        <f>AVERAGE(AF51:AM51)</f>
        <v>4.375</v>
      </c>
      <c r="AF51" s="221">
        <v>5</v>
      </c>
      <c r="AG51" s="221">
        <v>4</v>
      </c>
      <c r="AH51" s="221">
        <v>4</v>
      </c>
      <c r="AI51" s="221">
        <v>5</v>
      </c>
      <c r="AJ51" s="221">
        <v>4</v>
      </c>
      <c r="AK51" s="221">
        <v>5</v>
      </c>
      <c r="AL51" s="221">
        <v>4</v>
      </c>
      <c r="AM51" s="221">
        <v>4</v>
      </c>
      <c r="AN51" s="140">
        <f>AVERAGE(E51:J51,L51:U51,W51:AD51,AF51:AM51)</f>
        <v>4.25</v>
      </c>
    </row>
    <row r="52" spans="1:40" ht="19.5" thickBot="1" x14ac:dyDescent="0.35">
      <c r="A52" s="30">
        <v>2</v>
      </c>
      <c r="B52" s="290" t="s">
        <v>87</v>
      </c>
      <c r="C52" s="290" t="s">
        <v>107</v>
      </c>
      <c r="D52" s="99">
        <f t="shared" si="58"/>
        <v>4.666666666666667</v>
      </c>
      <c r="E52" s="36">
        <v>4</v>
      </c>
      <c r="F52" s="36">
        <v>5</v>
      </c>
      <c r="G52" s="36">
        <v>4</v>
      </c>
      <c r="H52" s="14">
        <v>5</v>
      </c>
      <c r="I52" s="15">
        <v>5</v>
      </c>
      <c r="J52" s="53">
        <v>5</v>
      </c>
      <c r="K52" s="100">
        <f t="shared" si="59"/>
        <v>5</v>
      </c>
      <c r="L52" s="122">
        <v>5</v>
      </c>
      <c r="M52" s="122">
        <v>5</v>
      </c>
      <c r="N52" s="122">
        <v>5</v>
      </c>
      <c r="O52" s="122">
        <v>5</v>
      </c>
      <c r="P52" s="122">
        <v>5</v>
      </c>
      <c r="Q52" s="122">
        <v>5</v>
      </c>
      <c r="R52" s="122">
        <v>5</v>
      </c>
      <c r="S52" s="122">
        <v>5</v>
      </c>
      <c r="T52" s="122">
        <v>5</v>
      </c>
      <c r="U52" s="122">
        <v>5</v>
      </c>
      <c r="V52" s="163">
        <f t="shared" si="60"/>
        <v>5</v>
      </c>
      <c r="W52" s="152">
        <v>5</v>
      </c>
      <c r="X52" s="211">
        <v>5</v>
      </c>
      <c r="Y52" s="152">
        <v>5</v>
      </c>
      <c r="Z52" s="152">
        <v>5</v>
      </c>
      <c r="AA52" s="152">
        <v>5</v>
      </c>
      <c r="AB52" s="152">
        <v>5</v>
      </c>
      <c r="AC52" s="152">
        <v>5</v>
      </c>
      <c r="AD52" s="152">
        <v>5</v>
      </c>
      <c r="AE52" s="222">
        <f t="shared" ref="AE52:AE63" si="61">AVERAGE(AF52:AM52)</f>
        <v>4.625</v>
      </c>
      <c r="AF52" s="221">
        <v>5</v>
      </c>
      <c r="AG52" s="229">
        <v>5</v>
      </c>
      <c r="AH52" s="221">
        <v>4</v>
      </c>
      <c r="AI52" s="221">
        <v>4</v>
      </c>
      <c r="AJ52" s="221">
        <v>5</v>
      </c>
      <c r="AK52" s="221">
        <v>5</v>
      </c>
      <c r="AL52" s="221">
        <v>4</v>
      </c>
      <c r="AM52" s="221">
        <v>5</v>
      </c>
      <c r="AN52" s="140">
        <f t="shared" ref="AN52:AN63" si="62">AVERAGE(E52:J52,L52:U52,W52:AD52,AF52:AM52)</f>
        <v>4.84375</v>
      </c>
    </row>
    <row r="53" spans="1:40" ht="19.5" thickBot="1" x14ac:dyDescent="0.35">
      <c r="A53" s="30">
        <v>3</v>
      </c>
      <c r="B53" s="290" t="s">
        <v>87</v>
      </c>
      <c r="C53" s="290" t="s">
        <v>108</v>
      </c>
      <c r="D53" s="99">
        <f t="shared" si="58"/>
        <v>4</v>
      </c>
      <c r="E53" s="36">
        <v>4</v>
      </c>
      <c r="F53" s="36">
        <v>4</v>
      </c>
      <c r="G53" s="36">
        <v>4</v>
      </c>
      <c r="H53" s="14">
        <v>5</v>
      </c>
      <c r="I53" s="15">
        <v>3</v>
      </c>
      <c r="J53" s="53">
        <v>4</v>
      </c>
      <c r="K53" s="100">
        <f t="shared" si="59"/>
        <v>4.2</v>
      </c>
      <c r="L53" s="122">
        <v>4</v>
      </c>
      <c r="M53" s="122">
        <v>4</v>
      </c>
      <c r="N53" s="122">
        <v>5</v>
      </c>
      <c r="O53" s="122">
        <v>4</v>
      </c>
      <c r="P53" s="122">
        <v>4</v>
      </c>
      <c r="Q53" s="122">
        <v>4</v>
      </c>
      <c r="R53" s="122">
        <v>4</v>
      </c>
      <c r="S53" s="122">
        <v>5</v>
      </c>
      <c r="T53" s="122">
        <v>4</v>
      </c>
      <c r="U53" s="122">
        <v>4</v>
      </c>
      <c r="V53" s="163">
        <f t="shared" si="60"/>
        <v>4.25</v>
      </c>
      <c r="W53" s="152">
        <v>5</v>
      </c>
      <c r="X53" s="211">
        <v>4</v>
      </c>
      <c r="Y53" s="152">
        <v>5</v>
      </c>
      <c r="Z53" s="152">
        <v>4</v>
      </c>
      <c r="AA53" s="152">
        <v>4</v>
      </c>
      <c r="AB53" s="152">
        <v>4</v>
      </c>
      <c r="AC53" s="152">
        <v>4</v>
      </c>
      <c r="AD53" s="152">
        <v>4</v>
      </c>
      <c r="AE53" s="222">
        <f t="shared" si="61"/>
        <v>4.125</v>
      </c>
      <c r="AF53" s="221">
        <v>4</v>
      </c>
      <c r="AG53" s="229">
        <v>4</v>
      </c>
      <c r="AH53" s="221">
        <v>4</v>
      </c>
      <c r="AI53" s="221">
        <v>4</v>
      </c>
      <c r="AJ53" s="221">
        <v>4</v>
      </c>
      <c r="AK53" s="221">
        <v>5</v>
      </c>
      <c r="AL53" s="221">
        <v>4</v>
      </c>
      <c r="AM53" s="221">
        <v>4</v>
      </c>
      <c r="AN53" s="140">
        <f t="shared" si="62"/>
        <v>4.15625</v>
      </c>
    </row>
    <row r="54" spans="1:40" ht="19.5" thickBot="1" x14ac:dyDescent="0.35">
      <c r="A54" s="30">
        <v>4</v>
      </c>
      <c r="B54" s="290" t="s">
        <v>87</v>
      </c>
      <c r="C54" s="290" t="s">
        <v>109</v>
      </c>
      <c r="D54" s="99">
        <f t="shared" si="58"/>
        <v>4.166666666666667</v>
      </c>
      <c r="E54" s="36">
        <v>4</v>
      </c>
      <c r="F54" s="36">
        <v>4</v>
      </c>
      <c r="G54" s="36">
        <v>4</v>
      </c>
      <c r="H54" s="14">
        <v>5</v>
      </c>
      <c r="I54" s="15">
        <v>3</v>
      </c>
      <c r="J54" s="53">
        <v>5</v>
      </c>
      <c r="K54" s="100">
        <f t="shared" si="59"/>
        <v>4.2</v>
      </c>
      <c r="L54" s="122">
        <v>5</v>
      </c>
      <c r="M54" s="122">
        <v>4</v>
      </c>
      <c r="N54" s="122">
        <v>5</v>
      </c>
      <c r="O54" s="122">
        <v>4</v>
      </c>
      <c r="P54" s="122">
        <v>4</v>
      </c>
      <c r="Q54" s="122">
        <v>4</v>
      </c>
      <c r="R54" s="122">
        <v>4</v>
      </c>
      <c r="S54" s="122">
        <v>4</v>
      </c>
      <c r="T54" s="122">
        <v>4</v>
      </c>
      <c r="U54" s="122">
        <v>4</v>
      </c>
      <c r="V54" s="163">
        <f t="shared" si="60"/>
        <v>4.25</v>
      </c>
      <c r="W54" s="152">
        <v>5</v>
      </c>
      <c r="X54" s="211">
        <v>4</v>
      </c>
      <c r="Y54" s="152">
        <v>5</v>
      </c>
      <c r="Z54" s="152">
        <v>4</v>
      </c>
      <c r="AA54" s="152">
        <v>4</v>
      </c>
      <c r="AB54" s="152">
        <v>4</v>
      </c>
      <c r="AC54" s="152">
        <v>4</v>
      </c>
      <c r="AD54" s="152">
        <v>4</v>
      </c>
      <c r="AE54" s="222">
        <f t="shared" si="61"/>
        <v>4.125</v>
      </c>
      <c r="AF54" s="221">
        <v>4</v>
      </c>
      <c r="AG54" s="229">
        <v>4</v>
      </c>
      <c r="AH54" s="221">
        <v>4</v>
      </c>
      <c r="AI54" s="221">
        <v>4</v>
      </c>
      <c r="AJ54" s="221">
        <v>4</v>
      </c>
      <c r="AK54" s="221">
        <v>5</v>
      </c>
      <c r="AL54" s="221">
        <v>4</v>
      </c>
      <c r="AM54" s="221">
        <v>4</v>
      </c>
      <c r="AN54" s="140">
        <f t="shared" si="62"/>
        <v>4.1875</v>
      </c>
    </row>
    <row r="55" spans="1:40" ht="19.5" thickBot="1" x14ac:dyDescent="0.35">
      <c r="A55" s="30">
        <v>5</v>
      </c>
      <c r="B55" s="290" t="s">
        <v>9</v>
      </c>
      <c r="C55" s="290" t="s">
        <v>110</v>
      </c>
      <c r="D55" s="99">
        <f t="shared" si="58"/>
        <v>5</v>
      </c>
      <c r="E55" s="91">
        <v>5</v>
      </c>
      <c r="F55" s="36">
        <v>5</v>
      </c>
      <c r="G55" s="36">
        <v>5</v>
      </c>
      <c r="H55" s="14">
        <v>5</v>
      </c>
      <c r="I55" s="15">
        <v>5</v>
      </c>
      <c r="J55" s="53">
        <v>5</v>
      </c>
      <c r="K55" s="100">
        <f t="shared" si="59"/>
        <v>4.9000000000000004</v>
      </c>
      <c r="L55" s="122">
        <v>5</v>
      </c>
      <c r="M55" s="122">
        <v>5</v>
      </c>
      <c r="N55" s="122">
        <v>5</v>
      </c>
      <c r="O55" s="122">
        <v>5</v>
      </c>
      <c r="P55" s="122">
        <v>4</v>
      </c>
      <c r="Q55" s="122">
        <v>5</v>
      </c>
      <c r="R55" s="122">
        <v>5</v>
      </c>
      <c r="S55" s="122">
        <v>5</v>
      </c>
      <c r="T55" s="122">
        <v>5</v>
      </c>
      <c r="U55" s="122">
        <v>5</v>
      </c>
      <c r="V55" s="163">
        <f t="shared" si="60"/>
        <v>5</v>
      </c>
      <c r="W55" s="152">
        <v>5</v>
      </c>
      <c r="X55" s="211">
        <v>5</v>
      </c>
      <c r="Y55" s="152">
        <v>5</v>
      </c>
      <c r="Z55" s="152">
        <v>5</v>
      </c>
      <c r="AA55" s="152">
        <v>5</v>
      </c>
      <c r="AB55" s="152">
        <v>5</v>
      </c>
      <c r="AC55" s="152">
        <v>5</v>
      </c>
      <c r="AD55" s="152">
        <v>5</v>
      </c>
      <c r="AE55" s="222">
        <f t="shared" si="61"/>
        <v>4.625</v>
      </c>
      <c r="AF55" s="221">
        <v>4</v>
      </c>
      <c r="AG55" s="229">
        <v>4</v>
      </c>
      <c r="AH55" s="221">
        <v>5</v>
      </c>
      <c r="AI55" s="221">
        <v>4</v>
      </c>
      <c r="AJ55" s="221">
        <v>5</v>
      </c>
      <c r="AK55" s="221">
        <v>5</v>
      </c>
      <c r="AL55" s="221">
        <v>5</v>
      </c>
      <c r="AM55" s="221">
        <v>5</v>
      </c>
      <c r="AN55" s="140">
        <f t="shared" si="62"/>
        <v>4.875</v>
      </c>
    </row>
    <row r="56" spans="1:40" s="24" customFormat="1" ht="19.5" thickBot="1" x14ac:dyDescent="0.35">
      <c r="A56" s="30">
        <v>6</v>
      </c>
      <c r="B56" s="290" t="s">
        <v>87</v>
      </c>
      <c r="C56" s="290" t="s">
        <v>111</v>
      </c>
      <c r="D56" s="99">
        <f t="shared" si="58"/>
        <v>4.666666666666667</v>
      </c>
      <c r="E56" s="36">
        <v>5</v>
      </c>
      <c r="F56" s="36">
        <v>5</v>
      </c>
      <c r="G56" s="36">
        <v>5</v>
      </c>
      <c r="H56" s="14">
        <v>5</v>
      </c>
      <c r="I56" s="15">
        <v>4</v>
      </c>
      <c r="J56" s="53">
        <v>4</v>
      </c>
      <c r="K56" s="100">
        <f t="shared" si="59"/>
        <v>4.9000000000000004</v>
      </c>
      <c r="L56" s="122">
        <v>5</v>
      </c>
      <c r="M56" s="122">
        <v>5</v>
      </c>
      <c r="N56" s="122">
        <v>5</v>
      </c>
      <c r="O56" s="122">
        <v>5</v>
      </c>
      <c r="P56" s="122">
        <v>4</v>
      </c>
      <c r="Q56" s="122">
        <v>5</v>
      </c>
      <c r="R56" s="122">
        <v>5</v>
      </c>
      <c r="S56" s="122">
        <v>5</v>
      </c>
      <c r="T56" s="122">
        <v>5</v>
      </c>
      <c r="U56" s="122">
        <v>5</v>
      </c>
      <c r="V56" s="163">
        <f t="shared" si="60"/>
        <v>4.875</v>
      </c>
      <c r="W56" s="152">
        <v>5</v>
      </c>
      <c r="X56" s="152">
        <v>5</v>
      </c>
      <c r="Y56" s="152">
        <v>5</v>
      </c>
      <c r="Z56" s="152">
        <v>5</v>
      </c>
      <c r="AA56" s="152">
        <v>4</v>
      </c>
      <c r="AB56" s="152">
        <v>5</v>
      </c>
      <c r="AC56" s="152">
        <v>5</v>
      </c>
      <c r="AD56" s="152">
        <v>5</v>
      </c>
      <c r="AE56" s="222">
        <f t="shared" si="61"/>
        <v>4.75</v>
      </c>
      <c r="AF56" s="221">
        <v>5</v>
      </c>
      <c r="AG56" s="221">
        <v>5</v>
      </c>
      <c r="AH56" s="221">
        <v>5</v>
      </c>
      <c r="AI56" s="221">
        <v>5</v>
      </c>
      <c r="AJ56" s="221">
        <v>4</v>
      </c>
      <c r="AK56" s="221">
        <v>5</v>
      </c>
      <c r="AL56" s="221">
        <v>4</v>
      </c>
      <c r="AM56" s="221">
        <v>5</v>
      </c>
      <c r="AN56" s="140">
        <f t="shared" si="62"/>
        <v>4.8125</v>
      </c>
    </row>
    <row r="57" spans="1:40" ht="19.5" thickBot="1" x14ac:dyDescent="0.35">
      <c r="A57" s="30">
        <v>7</v>
      </c>
      <c r="B57" s="290" t="s">
        <v>87</v>
      </c>
      <c r="C57" s="290" t="s">
        <v>112</v>
      </c>
      <c r="D57" s="99">
        <f t="shared" si="58"/>
        <v>5</v>
      </c>
      <c r="E57" s="91">
        <v>5</v>
      </c>
      <c r="F57" s="36">
        <v>5</v>
      </c>
      <c r="G57" s="36">
        <v>5</v>
      </c>
      <c r="H57" s="14">
        <v>5</v>
      </c>
      <c r="I57" s="15">
        <v>5</v>
      </c>
      <c r="J57" s="53">
        <v>5</v>
      </c>
      <c r="K57" s="100">
        <f t="shared" si="59"/>
        <v>5</v>
      </c>
      <c r="L57" s="122">
        <v>5</v>
      </c>
      <c r="M57" s="122">
        <v>5</v>
      </c>
      <c r="N57" s="122">
        <v>5</v>
      </c>
      <c r="O57" s="122">
        <v>5</v>
      </c>
      <c r="P57" s="122">
        <v>5</v>
      </c>
      <c r="Q57" s="122">
        <v>5</v>
      </c>
      <c r="R57" s="122">
        <v>5</v>
      </c>
      <c r="S57" s="122">
        <v>5</v>
      </c>
      <c r="T57" s="122">
        <v>5</v>
      </c>
      <c r="U57" s="122">
        <v>5</v>
      </c>
      <c r="V57" s="163">
        <f t="shared" si="60"/>
        <v>5</v>
      </c>
      <c r="W57" s="152">
        <v>5</v>
      </c>
      <c r="X57" s="152">
        <v>5</v>
      </c>
      <c r="Y57" s="152">
        <v>5</v>
      </c>
      <c r="Z57" s="152">
        <v>5</v>
      </c>
      <c r="AA57" s="152">
        <v>5</v>
      </c>
      <c r="AB57" s="152">
        <v>5</v>
      </c>
      <c r="AC57" s="152">
        <v>5</v>
      </c>
      <c r="AD57" s="152">
        <v>5</v>
      </c>
      <c r="AE57" s="222">
        <f t="shared" si="61"/>
        <v>4.5</v>
      </c>
      <c r="AF57" s="221">
        <v>5</v>
      </c>
      <c r="AG57" s="221">
        <v>5</v>
      </c>
      <c r="AH57" s="221">
        <v>4</v>
      </c>
      <c r="AI57" s="221">
        <v>5</v>
      </c>
      <c r="AJ57" s="221">
        <v>4</v>
      </c>
      <c r="AK57" s="221">
        <v>5</v>
      </c>
      <c r="AL57" s="221">
        <v>4</v>
      </c>
      <c r="AM57" s="221">
        <v>4</v>
      </c>
      <c r="AN57" s="140">
        <f t="shared" si="62"/>
        <v>4.875</v>
      </c>
    </row>
    <row r="58" spans="1:40" s="24" customFormat="1" ht="19.5" thickBot="1" x14ac:dyDescent="0.35">
      <c r="A58" s="30">
        <v>8</v>
      </c>
      <c r="B58" s="290" t="s">
        <v>87</v>
      </c>
      <c r="C58" s="290" t="s">
        <v>113</v>
      </c>
      <c r="D58" s="99">
        <f t="shared" si="58"/>
        <v>4</v>
      </c>
      <c r="E58" s="36">
        <v>4</v>
      </c>
      <c r="F58" s="36">
        <v>4</v>
      </c>
      <c r="G58" s="36">
        <v>4</v>
      </c>
      <c r="H58" s="14">
        <v>5</v>
      </c>
      <c r="I58" s="15">
        <v>3</v>
      </c>
      <c r="J58" s="53">
        <v>4</v>
      </c>
      <c r="K58" s="100">
        <f t="shared" si="59"/>
        <v>4.2</v>
      </c>
      <c r="L58" s="122">
        <v>4</v>
      </c>
      <c r="M58" s="122">
        <v>4</v>
      </c>
      <c r="N58" s="122">
        <v>5</v>
      </c>
      <c r="O58" s="122">
        <v>4</v>
      </c>
      <c r="P58" s="122">
        <v>4</v>
      </c>
      <c r="Q58" s="122">
        <v>4</v>
      </c>
      <c r="R58" s="122">
        <v>4</v>
      </c>
      <c r="S58" s="122">
        <v>4</v>
      </c>
      <c r="T58" s="122">
        <v>4</v>
      </c>
      <c r="U58" s="122">
        <v>5</v>
      </c>
      <c r="V58" s="163">
        <f t="shared" si="60"/>
        <v>4.25</v>
      </c>
      <c r="W58" s="152">
        <v>5</v>
      </c>
      <c r="X58" s="152">
        <v>4</v>
      </c>
      <c r="Y58" s="152">
        <v>5</v>
      </c>
      <c r="Z58" s="152">
        <v>4</v>
      </c>
      <c r="AA58" s="152">
        <v>4</v>
      </c>
      <c r="AB58" s="152">
        <v>4</v>
      </c>
      <c r="AC58" s="152">
        <v>4</v>
      </c>
      <c r="AD58" s="152">
        <v>4</v>
      </c>
      <c r="AE58" s="222">
        <f t="shared" si="61"/>
        <v>4.125</v>
      </c>
      <c r="AF58" s="221">
        <v>4</v>
      </c>
      <c r="AG58" s="221">
        <v>4</v>
      </c>
      <c r="AH58" s="221">
        <v>4</v>
      </c>
      <c r="AI58" s="221">
        <v>4</v>
      </c>
      <c r="AJ58" s="221">
        <v>4</v>
      </c>
      <c r="AK58" s="221">
        <v>5</v>
      </c>
      <c r="AL58" s="221">
        <v>4</v>
      </c>
      <c r="AM58" s="221">
        <v>4</v>
      </c>
      <c r="AN58" s="140">
        <f t="shared" si="62"/>
        <v>4.15625</v>
      </c>
    </row>
    <row r="59" spans="1:40" ht="19.5" thickBot="1" x14ac:dyDescent="0.35">
      <c r="A59" s="30">
        <v>9</v>
      </c>
      <c r="B59" s="290" t="s">
        <v>87</v>
      </c>
      <c r="C59" s="290" t="s">
        <v>114</v>
      </c>
      <c r="D59" s="99">
        <f t="shared" si="58"/>
        <v>4.666666666666667</v>
      </c>
      <c r="E59" s="36">
        <v>4</v>
      </c>
      <c r="F59" s="36">
        <v>5</v>
      </c>
      <c r="G59" s="36">
        <v>5</v>
      </c>
      <c r="H59" s="14">
        <v>5</v>
      </c>
      <c r="I59" s="15">
        <v>4</v>
      </c>
      <c r="J59" s="53">
        <v>5</v>
      </c>
      <c r="K59" s="100">
        <f t="shared" si="59"/>
        <v>5</v>
      </c>
      <c r="L59" s="122">
        <v>5</v>
      </c>
      <c r="M59" s="122">
        <v>5</v>
      </c>
      <c r="N59" s="122">
        <v>5</v>
      </c>
      <c r="O59" s="122">
        <v>5</v>
      </c>
      <c r="P59" s="122">
        <v>5</v>
      </c>
      <c r="Q59" s="122">
        <v>5</v>
      </c>
      <c r="R59" s="122">
        <v>5</v>
      </c>
      <c r="S59" s="122">
        <v>5</v>
      </c>
      <c r="T59" s="122">
        <v>5</v>
      </c>
      <c r="U59" s="122">
        <v>5</v>
      </c>
      <c r="V59" s="163">
        <f t="shared" si="60"/>
        <v>5</v>
      </c>
      <c r="W59" s="152">
        <v>5</v>
      </c>
      <c r="X59" s="152">
        <v>5</v>
      </c>
      <c r="Y59" s="152">
        <v>5</v>
      </c>
      <c r="Z59" s="152">
        <v>5</v>
      </c>
      <c r="AA59" s="152">
        <v>5</v>
      </c>
      <c r="AB59" s="152">
        <v>5</v>
      </c>
      <c r="AC59" s="152">
        <v>5</v>
      </c>
      <c r="AD59" s="152">
        <v>5</v>
      </c>
      <c r="AE59" s="222">
        <f t="shared" si="61"/>
        <v>5</v>
      </c>
      <c r="AF59" s="221">
        <v>5</v>
      </c>
      <c r="AG59" s="221">
        <v>5</v>
      </c>
      <c r="AH59" s="221">
        <v>5</v>
      </c>
      <c r="AI59" s="221">
        <v>5</v>
      </c>
      <c r="AJ59" s="221">
        <v>5</v>
      </c>
      <c r="AK59" s="221">
        <v>5</v>
      </c>
      <c r="AL59" s="221">
        <v>5</v>
      </c>
      <c r="AM59" s="221">
        <v>5</v>
      </c>
      <c r="AN59" s="140">
        <f t="shared" si="62"/>
        <v>4.9375</v>
      </c>
    </row>
    <row r="60" spans="1:40" s="24" customFormat="1" ht="19.5" thickBot="1" x14ac:dyDescent="0.35">
      <c r="A60" s="30">
        <v>10</v>
      </c>
      <c r="B60" s="290" t="s">
        <v>9</v>
      </c>
      <c r="C60" s="290" t="s">
        <v>115</v>
      </c>
      <c r="D60" s="99">
        <f t="shared" si="58"/>
        <v>5</v>
      </c>
      <c r="E60" s="36">
        <v>5</v>
      </c>
      <c r="F60" s="36">
        <v>5</v>
      </c>
      <c r="G60" s="36">
        <v>5</v>
      </c>
      <c r="H60" s="14">
        <v>5</v>
      </c>
      <c r="I60" s="15">
        <v>5</v>
      </c>
      <c r="J60" s="53">
        <v>5</v>
      </c>
      <c r="K60" s="100">
        <f t="shared" si="59"/>
        <v>5</v>
      </c>
      <c r="L60" s="122">
        <v>5</v>
      </c>
      <c r="M60" s="122">
        <v>5</v>
      </c>
      <c r="N60" s="122">
        <v>5</v>
      </c>
      <c r="O60" s="122">
        <v>5</v>
      </c>
      <c r="P60" s="122">
        <v>5</v>
      </c>
      <c r="Q60" s="122">
        <v>5</v>
      </c>
      <c r="R60" s="122">
        <v>5</v>
      </c>
      <c r="S60" s="122">
        <v>5</v>
      </c>
      <c r="T60" s="122">
        <v>5</v>
      </c>
      <c r="U60" s="122">
        <v>5</v>
      </c>
      <c r="V60" s="163">
        <f t="shared" si="60"/>
        <v>5</v>
      </c>
      <c r="W60" s="152">
        <v>5</v>
      </c>
      <c r="X60" s="152">
        <v>5</v>
      </c>
      <c r="Y60" s="152">
        <v>5</v>
      </c>
      <c r="Z60" s="152">
        <v>5</v>
      </c>
      <c r="AA60" s="152">
        <v>5</v>
      </c>
      <c r="AB60" s="152">
        <v>5</v>
      </c>
      <c r="AC60" s="152">
        <v>5</v>
      </c>
      <c r="AD60" s="152">
        <v>5</v>
      </c>
      <c r="AE60" s="222">
        <f t="shared" si="61"/>
        <v>4.5</v>
      </c>
      <c r="AF60" s="221">
        <v>4</v>
      </c>
      <c r="AG60" s="221">
        <v>5</v>
      </c>
      <c r="AH60" s="221">
        <v>4</v>
      </c>
      <c r="AI60" s="221">
        <v>5</v>
      </c>
      <c r="AJ60" s="221">
        <v>4</v>
      </c>
      <c r="AK60" s="221">
        <v>5</v>
      </c>
      <c r="AL60" s="221">
        <v>5</v>
      </c>
      <c r="AM60" s="221">
        <v>4</v>
      </c>
      <c r="AN60" s="140">
        <f t="shared" si="62"/>
        <v>4.875</v>
      </c>
    </row>
    <row r="61" spans="1:40" ht="19.5" thickBot="1" x14ac:dyDescent="0.35">
      <c r="A61" s="30">
        <v>11</v>
      </c>
      <c r="B61" s="290" t="s">
        <v>96</v>
      </c>
      <c r="C61" s="290" t="s">
        <v>116</v>
      </c>
      <c r="D61" s="99">
        <f t="shared" si="58"/>
        <v>5</v>
      </c>
      <c r="E61" s="36">
        <v>5</v>
      </c>
      <c r="F61" s="36">
        <v>5</v>
      </c>
      <c r="G61" s="36">
        <v>5</v>
      </c>
      <c r="H61" s="14">
        <v>5</v>
      </c>
      <c r="I61" s="15">
        <v>5</v>
      </c>
      <c r="J61" s="53">
        <v>5</v>
      </c>
      <c r="K61" s="100">
        <f t="shared" si="59"/>
        <v>5</v>
      </c>
      <c r="L61" s="122">
        <v>5</v>
      </c>
      <c r="M61" s="122">
        <v>5</v>
      </c>
      <c r="N61" s="122">
        <v>5</v>
      </c>
      <c r="O61" s="122">
        <v>5</v>
      </c>
      <c r="P61" s="122">
        <v>5</v>
      </c>
      <c r="Q61" s="122">
        <v>5</v>
      </c>
      <c r="R61" s="122">
        <v>5</v>
      </c>
      <c r="S61" s="122">
        <v>5</v>
      </c>
      <c r="T61" s="122">
        <v>5</v>
      </c>
      <c r="U61" s="122">
        <v>5</v>
      </c>
      <c r="V61" s="163">
        <f t="shared" si="60"/>
        <v>5</v>
      </c>
      <c r="W61" s="152">
        <v>5</v>
      </c>
      <c r="X61" s="152">
        <v>5</v>
      </c>
      <c r="Y61" s="152">
        <v>5</v>
      </c>
      <c r="Z61" s="152">
        <v>5</v>
      </c>
      <c r="AA61" s="152">
        <v>5</v>
      </c>
      <c r="AB61" s="152">
        <v>5</v>
      </c>
      <c r="AC61" s="152">
        <v>5</v>
      </c>
      <c r="AD61" s="152">
        <v>5</v>
      </c>
      <c r="AE61" s="222">
        <f t="shared" si="61"/>
        <v>4.625</v>
      </c>
      <c r="AF61" s="221">
        <v>5</v>
      </c>
      <c r="AG61" s="221">
        <v>4</v>
      </c>
      <c r="AH61" s="221">
        <v>4</v>
      </c>
      <c r="AI61" s="221">
        <v>5</v>
      </c>
      <c r="AJ61" s="221">
        <v>5</v>
      </c>
      <c r="AK61" s="221">
        <v>5</v>
      </c>
      <c r="AL61" s="221">
        <v>5</v>
      </c>
      <c r="AM61" s="221">
        <v>4</v>
      </c>
      <c r="AN61" s="140">
        <f t="shared" si="62"/>
        <v>4.90625</v>
      </c>
    </row>
    <row r="62" spans="1:40" s="24" customFormat="1" ht="19.5" thickBot="1" x14ac:dyDescent="0.35">
      <c r="A62" s="30">
        <v>12</v>
      </c>
      <c r="B62" s="290" t="s">
        <v>87</v>
      </c>
      <c r="C62" s="290" t="s">
        <v>117</v>
      </c>
      <c r="D62" s="99">
        <f t="shared" si="58"/>
        <v>4.166666666666667</v>
      </c>
      <c r="E62" s="36">
        <v>4</v>
      </c>
      <c r="F62" s="36">
        <v>4</v>
      </c>
      <c r="G62" s="36">
        <v>4</v>
      </c>
      <c r="H62" s="14">
        <v>5</v>
      </c>
      <c r="I62" s="15">
        <v>4</v>
      </c>
      <c r="J62" s="53">
        <v>4</v>
      </c>
      <c r="K62" s="100">
        <f t="shared" si="59"/>
        <v>4.2</v>
      </c>
      <c r="L62" s="122">
        <v>4</v>
      </c>
      <c r="M62" s="122">
        <v>4</v>
      </c>
      <c r="N62" s="122">
        <v>5</v>
      </c>
      <c r="O62" s="122">
        <v>4</v>
      </c>
      <c r="P62" s="122">
        <v>4</v>
      </c>
      <c r="Q62" s="122">
        <v>4</v>
      </c>
      <c r="R62" s="122">
        <v>5</v>
      </c>
      <c r="S62" s="122">
        <v>4</v>
      </c>
      <c r="T62" s="122">
        <v>4</v>
      </c>
      <c r="U62" s="122">
        <v>4</v>
      </c>
      <c r="V62" s="163">
        <f t="shared" si="60"/>
        <v>4.375</v>
      </c>
      <c r="W62" s="152">
        <v>5</v>
      </c>
      <c r="X62" s="152">
        <v>4</v>
      </c>
      <c r="Y62" s="152">
        <v>5</v>
      </c>
      <c r="Z62" s="152">
        <v>4</v>
      </c>
      <c r="AA62" s="152">
        <v>5</v>
      </c>
      <c r="AB62" s="152">
        <v>4</v>
      </c>
      <c r="AC62" s="152">
        <v>4</v>
      </c>
      <c r="AD62" s="152">
        <v>4</v>
      </c>
      <c r="AE62" s="222">
        <f t="shared" si="61"/>
        <v>4.375</v>
      </c>
      <c r="AF62" s="221">
        <v>4</v>
      </c>
      <c r="AG62" s="221">
        <v>5</v>
      </c>
      <c r="AH62" s="221">
        <v>4</v>
      </c>
      <c r="AI62" s="221">
        <v>4</v>
      </c>
      <c r="AJ62" s="221">
        <v>5</v>
      </c>
      <c r="AK62" s="221">
        <v>5</v>
      </c>
      <c r="AL62" s="221">
        <v>4</v>
      </c>
      <c r="AM62" s="221">
        <v>4</v>
      </c>
      <c r="AN62" s="140">
        <f t="shared" si="62"/>
        <v>4.28125</v>
      </c>
    </row>
    <row r="63" spans="1:40" s="24" customFormat="1" ht="19.5" thickBot="1" x14ac:dyDescent="0.35">
      <c r="A63" s="30">
        <v>13</v>
      </c>
      <c r="B63" s="290" t="s">
        <v>87</v>
      </c>
      <c r="C63" s="290" t="s">
        <v>118</v>
      </c>
      <c r="D63" s="99">
        <f t="shared" si="58"/>
        <v>5</v>
      </c>
      <c r="E63" s="23">
        <v>5</v>
      </c>
      <c r="F63" s="23">
        <v>5</v>
      </c>
      <c r="G63" s="36">
        <v>5</v>
      </c>
      <c r="H63" s="14">
        <v>5</v>
      </c>
      <c r="I63" s="15">
        <v>5</v>
      </c>
      <c r="J63" s="53">
        <v>5</v>
      </c>
      <c r="K63" s="100">
        <f t="shared" si="59"/>
        <v>5</v>
      </c>
      <c r="L63" s="123">
        <v>5</v>
      </c>
      <c r="M63" s="123">
        <v>5</v>
      </c>
      <c r="N63" s="123">
        <v>5</v>
      </c>
      <c r="O63" s="123">
        <v>5</v>
      </c>
      <c r="P63" s="123">
        <v>5</v>
      </c>
      <c r="Q63" s="123">
        <v>5</v>
      </c>
      <c r="R63" s="123">
        <v>5</v>
      </c>
      <c r="S63" s="123">
        <v>5</v>
      </c>
      <c r="T63" s="123">
        <v>5</v>
      </c>
      <c r="U63" s="123">
        <v>5</v>
      </c>
      <c r="V63" s="174">
        <f t="shared" si="60"/>
        <v>5</v>
      </c>
      <c r="W63" s="171">
        <v>5</v>
      </c>
      <c r="X63" s="212">
        <v>5</v>
      </c>
      <c r="Y63" s="212">
        <v>5</v>
      </c>
      <c r="Z63" s="212">
        <v>5</v>
      </c>
      <c r="AA63" s="212">
        <v>5</v>
      </c>
      <c r="AB63" s="212">
        <v>5</v>
      </c>
      <c r="AC63" s="212">
        <v>5</v>
      </c>
      <c r="AD63" s="212">
        <v>5</v>
      </c>
      <c r="AE63" s="230">
        <f t="shared" si="61"/>
        <v>4.5</v>
      </c>
      <c r="AF63" s="231">
        <v>4</v>
      </c>
      <c r="AG63" s="232">
        <v>4</v>
      </c>
      <c r="AH63" s="232">
        <v>4</v>
      </c>
      <c r="AI63" s="232">
        <v>4</v>
      </c>
      <c r="AJ63" s="232">
        <v>5</v>
      </c>
      <c r="AK63" s="232">
        <v>5</v>
      </c>
      <c r="AL63" s="232">
        <v>5</v>
      </c>
      <c r="AM63" s="232">
        <v>5</v>
      </c>
      <c r="AN63" s="140">
        <f t="shared" si="62"/>
        <v>4.875</v>
      </c>
    </row>
    <row r="64" spans="1:40" ht="19.5" thickBot="1" x14ac:dyDescent="0.35">
      <c r="A64" s="331" t="s">
        <v>4</v>
      </c>
      <c r="B64" s="332"/>
      <c r="C64" s="333"/>
      <c r="D64" s="111">
        <f>SUM(E64:J64)</f>
        <v>48</v>
      </c>
      <c r="E64" s="21">
        <f>COUNTIF(E51:E63,5)</f>
        <v>6</v>
      </c>
      <c r="F64" s="21">
        <f>COUNTIF(F51:F63,5)</f>
        <v>8</v>
      </c>
      <c r="G64" s="35">
        <f>COUNTIF(G51:G63,5)</f>
        <v>7</v>
      </c>
      <c r="H64" s="35">
        <f t="shared" ref="H64" si="63">COUNTIF(H51:H63,5)</f>
        <v>13</v>
      </c>
      <c r="I64" s="35">
        <f t="shared" ref="I64:J64" si="64">COUNTIF(I51:I63,5)</f>
        <v>6</v>
      </c>
      <c r="J64" s="35">
        <f t="shared" si="64"/>
        <v>8</v>
      </c>
      <c r="K64" s="112">
        <f>SUM(L64:V64)</f>
        <v>162</v>
      </c>
      <c r="L64" s="76">
        <f>COUNTIF(L51:L63,5)</f>
        <v>9</v>
      </c>
      <c r="M64" s="76">
        <f t="shared" ref="M64:U64" si="65">COUNTIF(M51:M63,5)</f>
        <v>8</v>
      </c>
      <c r="N64" s="76">
        <f t="shared" si="65"/>
        <v>13</v>
      </c>
      <c r="O64" s="76">
        <f t="shared" si="65"/>
        <v>8</v>
      </c>
      <c r="P64" s="76">
        <f t="shared" si="65"/>
        <v>6</v>
      </c>
      <c r="Q64" s="76">
        <f t="shared" si="65"/>
        <v>9</v>
      </c>
      <c r="R64" s="76">
        <f t="shared" si="65"/>
        <v>9</v>
      </c>
      <c r="S64" s="76">
        <f t="shared" si="65"/>
        <v>9</v>
      </c>
      <c r="T64" s="76">
        <f t="shared" si="65"/>
        <v>8</v>
      </c>
      <c r="U64" s="80">
        <f t="shared" si="65"/>
        <v>9</v>
      </c>
      <c r="V64" s="204">
        <f>SUM(W64:AD64)</f>
        <v>74</v>
      </c>
      <c r="W64" s="168">
        <f>COUNTIF(W51:W63,5)</f>
        <v>13</v>
      </c>
      <c r="X64" s="168">
        <f t="shared" ref="X64:AD64" si="66">COUNTIF(X51:X63,5)</f>
        <v>8</v>
      </c>
      <c r="Y64" s="168">
        <f t="shared" si="66"/>
        <v>13</v>
      </c>
      <c r="Z64" s="168">
        <f t="shared" si="66"/>
        <v>8</v>
      </c>
      <c r="AA64" s="168">
        <f t="shared" si="66"/>
        <v>8</v>
      </c>
      <c r="AB64" s="168">
        <f t="shared" si="66"/>
        <v>8</v>
      </c>
      <c r="AC64" s="168">
        <f t="shared" si="66"/>
        <v>8</v>
      </c>
      <c r="AD64" s="168">
        <f t="shared" si="66"/>
        <v>8</v>
      </c>
      <c r="AE64" s="233">
        <f>SUM(AF64:AM64)</f>
        <v>50</v>
      </c>
      <c r="AF64" s="226">
        <f>COUNTIF(AF51:AF63,5)</f>
        <v>6</v>
      </c>
      <c r="AG64" s="226">
        <f t="shared" ref="AG64:AM64" si="67">COUNTIF(AG51:AG63,5)</f>
        <v>6</v>
      </c>
      <c r="AH64" s="226">
        <f t="shared" si="67"/>
        <v>3</v>
      </c>
      <c r="AI64" s="226">
        <f t="shared" si="67"/>
        <v>6</v>
      </c>
      <c r="AJ64" s="226">
        <f t="shared" si="67"/>
        <v>6</v>
      </c>
      <c r="AK64" s="226">
        <f t="shared" si="67"/>
        <v>13</v>
      </c>
      <c r="AL64" s="226">
        <f t="shared" si="67"/>
        <v>5</v>
      </c>
      <c r="AM64" s="226">
        <f t="shared" si="67"/>
        <v>5</v>
      </c>
      <c r="AN64" s="166">
        <f>SUM(D64,K64,V64,AE64)</f>
        <v>334</v>
      </c>
    </row>
    <row r="65" spans="1:40" ht="19.5" thickBot="1" x14ac:dyDescent="0.35">
      <c r="A65" s="346" t="s">
        <v>5</v>
      </c>
      <c r="B65" s="347"/>
      <c r="C65" s="348"/>
      <c r="D65" s="111">
        <f t="shared" ref="D65:D67" si="68">SUM(E65:J65)</f>
        <v>27</v>
      </c>
      <c r="E65" s="22">
        <f>COUNTIF(E51:E63,4)</f>
        <v>7</v>
      </c>
      <c r="F65" s="22">
        <f>COUNTIF(F51:F63,4)</f>
        <v>5</v>
      </c>
      <c r="G65" s="33">
        <f>COUNTIF(G51:G63,4)</f>
        <v>6</v>
      </c>
      <c r="H65" s="33">
        <f t="shared" ref="H65" si="69">COUNTIF(H51:H63,4)</f>
        <v>0</v>
      </c>
      <c r="I65" s="33">
        <f t="shared" ref="I65:J65" si="70">COUNTIF(I51:I63,4)</f>
        <v>4</v>
      </c>
      <c r="J65" s="33">
        <f t="shared" si="70"/>
        <v>5</v>
      </c>
      <c r="K65" s="112">
        <f>SUM(L65:V65)</f>
        <v>72</v>
      </c>
      <c r="L65" s="77">
        <f>COUNTIF(L51:L63,4)</f>
        <v>4</v>
      </c>
      <c r="M65" s="77">
        <f t="shared" ref="M65:R65" si="71">COUNTIF(M51:M63,4)</f>
        <v>5</v>
      </c>
      <c r="N65" s="77">
        <f t="shared" si="71"/>
        <v>0</v>
      </c>
      <c r="O65" s="77">
        <f t="shared" si="71"/>
        <v>5</v>
      </c>
      <c r="P65" s="77">
        <f t="shared" si="71"/>
        <v>7</v>
      </c>
      <c r="Q65" s="77">
        <f t="shared" si="71"/>
        <v>4</v>
      </c>
      <c r="R65" s="77">
        <f t="shared" si="71"/>
        <v>4</v>
      </c>
      <c r="S65" s="77">
        <f>COUNTIF(S51:S63,4)</f>
        <v>4</v>
      </c>
      <c r="T65" s="77">
        <f>COUNTIF(T51:T63,4)</f>
        <v>5</v>
      </c>
      <c r="U65" s="81">
        <f>COUNTIF(U51:U63,4)</f>
        <v>4</v>
      </c>
      <c r="V65" s="204">
        <f t="shared" ref="V65:V67" si="72">SUM(W65:AD65)</f>
        <v>30</v>
      </c>
      <c r="W65" s="168">
        <f>COUNTIF(W51:W63,4)</f>
        <v>0</v>
      </c>
      <c r="X65" s="168">
        <f t="shared" ref="X65:AD65" si="73">COUNTIF(X51:X63,4)</f>
        <v>5</v>
      </c>
      <c r="Y65" s="168">
        <f t="shared" si="73"/>
        <v>0</v>
      </c>
      <c r="Z65" s="168">
        <f t="shared" si="73"/>
        <v>5</v>
      </c>
      <c r="AA65" s="168">
        <f t="shared" si="73"/>
        <v>5</v>
      </c>
      <c r="AB65" s="168">
        <f t="shared" si="73"/>
        <v>5</v>
      </c>
      <c r="AC65" s="168">
        <f t="shared" si="73"/>
        <v>5</v>
      </c>
      <c r="AD65" s="168">
        <f t="shared" si="73"/>
        <v>5</v>
      </c>
      <c r="AE65" s="233">
        <f t="shared" ref="AE65:AE67" si="74">SUM(AF65:AM65)</f>
        <v>54</v>
      </c>
      <c r="AF65" s="226">
        <f>COUNTIF(AF51:AF63,4)</f>
        <v>7</v>
      </c>
      <c r="AG65" s="226">
        <f t="shared" ref="AG65:AM65" si="75">COUNTIF(AG51:AG63,4)</f>
        <v>7</v>
      </c>
      <c r="AH65" s="226">
        <f t="shared" si="75"/>
        <v>10</v>
      </c>
      <c r="AI65" s="226">
        <f t="shared" si="75"/>
        <v>7</v>
      </c>
      <c r="AJ65" s="226">
        <f t="shared" si="75"/>
        <v>7</v>
      </c>
      <c r="AK65" s="226">
        <f t="shared" si="75"/>
        <v>0</v>
      </c>
      <c r="AL65" s="226">
        <f t="shared" si="75"/>
        <v>8</v>
      </c>
      <c r="AM65" s="226">
        <f t="shared" si="75"/>
        <v>8</v>
      </c>
      <c r="AN65" s="166">
        <f t="shared" ref="AN65:AN67" si="76">SUM(D65,K65,V65,AE65)</f>
        <v>183</v>
      </c>
    </row>
    <row r="66" spans="1:40" ht="19.5" thickBot="1" x14ac:dyDescent="0.35">
      <c r="A66" s="346" t="s">
        <v>6</v>
      </c>
      <c r="B66" s="347"/>
      <c r="C66" s="348"/>
      <c r="D66" s="111">
        <f t="shared" si="68"/>
        <v>3</v>
      </c>
      <c r="E66" s="22">
        <f>COUNTIF(E51:E63,3)</f>
        <v>0</v>
      </c>
      <c r="F66" s="22">
        <f>COUNTIF(F51:F63,3)</f>
        <v>0</v>
      </c>
      <c r="G66" s="33">
        <f>COUNTIF(G51:G63,3)</f>
        <v>0</v>
      </c>
      <c r="H66" s="33">
        <f t="shared" ref="H66" si="77">COUNTIF(H51:H63,3)</f>
        <v>0</v>
      </c>
      <c r="I66" s="33">
        <f t="shared" ref="I66:J66" si="78">COUNTIF(I51:I63,3)</f>
        <v>3</v>
      </c>
      <c r="J66" s="33">
        <f t="shared" si="78"/>
        <v>0</v>
      </c>
      <c r="K66" s="112">
        <f>SUM(L66:V66)</f>
        <v>0</v>
      </c>
      <c r="L66" s="77">
        <f>COUNTIF(L51:L63,3)</f>
        <v>0</v>
      </c>
      <c r="M66" s="77">
        <f t="shared" ref="M66:AD66" si="79">COUNTIF(M51:M63,3)</f>
        <v>0</v>
      </c>
      <c r="N66" s="77">
        <f t="shared" si="79"/>
        <v>0</v>
      </c>
      <c r="O66" s="77">
        <f t="shared" si="79"/>
        <v>0</v>
      </c>
      <c r="P66" s="77">
        <f t="shared" si="79"/>
        <v>0</v>
      </c>
      <c r="Q66" s="77">
        <f t="shared" si="79"/>
        <v>0</v>
      </c>
      <c r="R66" s="77">
        <f t="shared" si="79"/>
        <v>0</v>
      </c>
      <c r="S66" s="77">
        <f t="shared" si="79"/>
        <v>0</v>
      </c>
      <c r="T66" s="77">
        <f t="shared" si="79"/>
        <v>0</v>
      </c>
      <c r="U66" s="81">
        <f t="shared" si="79"/>
        <v>0</v>
      </c>
      <c r="V66" s="204">
        <f t="shared" si="72"/>
        <v>0</v>
      </c>
      <c r="W66" s="160">
        <f t="shared" si="79"/>
        <v>0</v>
      </c>
      <c r="X66" s="160">
        <f t="shared" si="79"/>
        <v>0</v>
      </c>
      <c r="Y66" s="160">
        <f t="shared" si="79"/>
        <v>0</v>
      </c>
      <c r="Z66" s="160">
        <f t="shared" si="79"/>
        <v>0</v>
      </c>
      <c r="AA66" s="160">
        <f t="shared" si="79"/>
        <v>0</v>
      </c>
      <c r="AB66" s="160">
        <f t="shared" si="79"/>
        <v>0</v>
      </c>
      <c r="AC66" s="160">
        <f t="shared" si="79"/>
        <v>0</v>
      </c>
      <c r="AD66" s="160">
        <f t="shared" si="79"/>
        <v>0</v>
      </c>
      <c r="AE66" s="233">
        <f t="shared" si="74"/>
        <v>0</v>
      </c>
      <c r="AF66" s="226">
        <f>COUNTIF(AF51:AF63,3)</f>
        <v>0</v>
      </c>
      <c r="AG66" s="226">
        <f t="shared" ref="AG66:AM66" si="80">COUNTIF(AG51:AG63,3)</f>
        <v>0</v>
      </c>
      <c r="AH66" s="226">
        <f t="shared" si="80"/>
        <v>0</v>
      </c>
      <c r="AI66" s="226">
        <f t="shared" si="80"/>
        <v>0</v>
      </c>
      <c r="AJ66" s="226">
        <f t="shared" si="80"/>
        <v>0</v>
      </c>
      <c r="AK66" s="226">
        <f t="shared" si="80"/>
        <v>0</v>
      </c>
      <c r="AL66" s="226">
        <f t="shared" si="80"/>
        <v>0</v>
      </c>
      <c r="AM66" s="226">
        <f t="shared" si="80"/>
        <v>0</v>
      </c>
      <c r="AN66" s="166">
        <f t="shared" si="76"/>
        <v>3</v>
      </c>
    </row>
    <row r="67" spans="1:40" ht="19.5" thickBot="1" x14ac:dyDescent="0.35">
      <c r="A67" s="340" t="s">
        <v>7</v>
      </c>
      <c r="B67" s="341"/>
      <c r="C67" s="342"/>
      <c r="D67" s="111">
        <f t="shared" si="68"/>
        <v>0</v>
      </c>
      <c r="E67" s="23">
        <f>COUNTIF(E51:E63,2)</f>
        <v>0</v>
      </c>
      <c r="F67" s="23">
        <f t="shared" ref="F67:J67" si="81">COUNTIF(F51:F63,2)</f>
        <v>0</v>
      </c>
      <c r="G67" s="23">
        <f t="shared" si="81"/>
        <v>0</v>
      </c>
      <c r="H67" s="23">
        <f t="shared" si="81"/>
        <v>0</v>
      </c>
      <c r="I67" s="23">
        <f t="shared" si="81"/>
        <v>0</v>
      </c>
      <c r="J67" s="23">
        <f t="shared" si="81"/>
        <v>0</v>
      </c>
      <c r="K67" s="112">
        <f>SUM(L67:V67)</f>
        <v>0</v>
      </c>
      <c r="L67" s="78">
        <f>COUNTIF(L51:L63,2)</f>
        <v>0</v>
      </c>
      <c r="M67" s="78">
        <f t="shared" ref="M67:U67" si="82">COUNTIF(M51:M63,2)</f>
        <v>0</v>
      </c>
      <c r="N67" s="78">
        <f t="shared" si="82"/>
        <v>0</v>
      </c>
      <c r="O67" s="78">
        <f t="shared" si="82"/>
        <v>0</v>
      </c>
      <c r="P67" s="78">
        <f t="shared" si="82"/>
        <v>0</v>
      </c>
      <c r="Q67" s="78">
        <f t="shared" si="82"/>
        <v>0</v>
      </c>
      <c r="R67" s="78">
        <f t="shared" si="82"/>
        <v>0</v>
      </c>
      <c r="S67" s="78">
        <f t="shared" si="82"/>
        <v>0</v>
      </c>
      <c r="T67" s="78">
        <f t="shared" si="82"/>
        <v>0</v>
      </c>
      <c r="U67" s="82">
        <f t="shared" si="82"/>
        <v>0</v>
      </c>
      <c r="V67" s="204">
        <f t="shared" si="72"/>
        <v>0</v>
      </c>
      <c r="W67" s="168">
        <f>COUNTIF(W51:W63,2)</f>
        <v>0</v>
      </c>
      <c r="X67" s="168">
        <f t="shared" ref="X67:AD67" si="83">COUNTIF(X51:X63,2)</f>
        <v>0</v>
      </c>
      <c r="Y67" s="168">
        <f t="shared" si="83"/>
        <v>0</v>
      </c>
      <c r="Z67" s="168">
        <f t="shared" si="83"/>
        <v>0</v>
      </c>
      <c r="AA67" s="168">
        <f t="shared" si="83"/>
        <v>0</v>
      </c>
      <c r="AB67" s="168">
        <f t="shared" si="83"/>
        <v>0</v>
      </c>
      <c r="AC67" s="168">
        <f t="shared" si="83"/>
        <v>0</v>
      </c>
      <c r="AD67" s="168">
        <f t="shared" si="83"/>
        <v>0</v>
      </c>
      <c r="AE67" s="233">
        <f t="shared" si="74"/>
        <v>0</v>
      </c>
      <c r="AF67" s="226">
        <f>COUNTIF(AF51:AF63,2)</f>
        <v>0</v>
      </c>
      <c r="AG67" s="226">
        <f t="shared" ref="AG67:AM67" si="84">COUNTIF(AG51:AG63,2)</f>
        <v>0</v>
      </c>
      <c r="AH67" s="226">
        <f t="shared" si="84"/>
        <v>0</v>
      </c>
      <c r="AI67" s="226">
        <f t="shared" si="84"/>
        <v>0</v>
      </c>
      <c r="AJ67" s="226">
        <f t="shared" si="84"/>
        <v>0</v>
      </c>
      <c r="AK67" s="226">
        <f t="shared" si="84"/>
        <v>0</v>
      </c>
      <c r="AL67" s="226">
        <f t="shared" si="84"/>
        <v>0</v>
      </c>
      <c r="AM67" s="226">
        <f t="shared" si="84"/>
        <v>0</v>
      </c>
      <c r="AN67" s="166">
        <f t="shared" si="76"/>
        <v>0</v>
      </c>
    </row>
    <row r="68" spans="1:40" ht="19.5" thickBot="1" x14ac:dyDescent="0.35">
      <c r="A68" s="343" t="s">
        <v>8</v>
      </c>
      <c r="B68" s="344"/>
      <c r="C68" s="345"/>
      <c r="D68" s="19">
        <f>(D51+D52+D53+D54+D55+D56+D57+D58+D59+D60+D61+D62+D63)/13</f>
        <v>4.5769230769230766</v>
      </c>
      <c r="E68" s="50">
        <f>AVERAGE(E51:E63)</f>
        <v>4.4615384615384617</v>
      </c>
      <c r="F68" s="50">
        <f>AVERAGE(F51:F63)</f>
        <v>4.615384615384615</v>
      </c>
      <c r="G68" s="50">
        <f t="shared" ref="G68:J68" si="85">AVERAGE(G51:G63)</f>
        <v>4.5384615384615383</v>
      </c>
      <c r="H68" s="50">
        <f t="shared" si="85"/>
        <v>5</v>
      </c>
      <c r="I68" s="50">
        <f t="shared" si="85"/>
        <v>4.2307692307692308</v>
      </c>
      <c r="J68" s="71">
        <f t="shared" si="85"/>
        <v>4.615384615384615</v>
      </c>
      <c r="K68" s="19">
        <f>(K51+K52+K53+K54+K55+K56+K57+K58+K59+K60+K61+K62+K63)/13</f>
        <v>4.6769230769230772</v>
      </c>
      <c r="L68" s="79">
        <f>AVERAGE(L51:L63)</f>
        <v>4.6923076923076925</v>
      </c>
      <c r="M68" s="79">
        <f t="shared" ref="M68:T68" si="86">AVERAGE(M51:M63)</f>
        <v>4.615384615384615</v>
      </c>
      <c r="N68" s="79">
        <f t="shared" si="86"/>
        <v>5</v>
      </c>
      <c r="O68" s="79">
        <f t="shared" si="86"/>
        <v>4.615384615384615</v>
      </c>
      <c r="P68" s="79">
        <f t="shared" si="86"/>
        <v>4.4615384615384617</v>
      </c>
      <c r="Q68" s="79">
        <f t="shared" si="86"/>
        <v>4.6923076923076925</v>
      </c>
      <c r="R68" s="79">
        <f t="shared" si="86"/>
        <v>4.6923076923076925</v>
      </c>
      <c r="S68" s="79">
        <f t="shared" si="86"/>
        <v>4.6923076923076925</v>
      </c>
      <c r="T68" s="79">
        <f t="shared" si="86"/>
        <v>4.615384615384615</v>
      </c>
      <c r="U68" s="83">
        <f>AVERAGE(T51:T63)</f>
        <v>4.615384615384615</v>
      </c>
      <c r="V68" s="205">
        <f>(V51+V52+V53+V54+V55+V56+V57+V58+V59+V60+V61+V62+V63)/13</f>
        <v>4.7115384615384617</v>
      </c>
      <c r="W68" s="170">
        <f>AVERAGE(W51:W63)</f>
        <v>5</v>
      </c>
      <c r="X68" s="170">
        <f t="shared" ref="X68:AD68" si="87">AVERAGE(X51:X63)</f>
        <v>4.615384615384615</v>
      </c>
      <c r="Y68" s="170">
        <f>AVERAGE(Y51:Y63)</f>
        <v>5</v>
      </c>
      <c r="Z68" s="170">
        <f t="shared" si="87"/>
        <v>4.615384615384615</v>
      </c>
      <c r="AA68" s="170">
        <f t="shared" si="87"/>
        <v>4.615384615384615</v>
      </c>
      <c r="AB68" s="170">
        <f t="shared" si="87"/>
        <v>4.615384615384615</v>
      </c>
      <c r="AC68" s="170">
        <f t="shared" si="87"/>
        <v>4.615384615384615</v>
      </c>
      <c r="AD68" s="170">
        <f t="shared" si="87"/>
        <v>4.615384615384615</v>
      </c>
      <c r="AE68" s="205">
        <f>(AE51+AE52+AE53+AE54+AE55+AE56+AE57+AE58+AE59+AE60+AE61+AE62+AE63)/13</f>
        <v>4.4807692307692308</v>
      </c>
      <c r="AF68" s="227">
        <f>AVERAGE(AF51:AF63)</f>
        <v>4.4615384615384617</v>
      </c>
      <c r="AG68" s="227">
        <f t="shared" ref="AG68:AM68" si="88">AVERAGE(AG51:AG63)</f>
        <v>4.4615384615384617</v>
      </c>
      <c r="AH68" s="228">
        <f t="shared" si="88"/>
        <v>4.2307692307692308</v>
      </c>
      <c r="AI68" s="227">
        <f t="shared" si="88"/>
        <v>4.4615384615384617</v>
      </c>
      <c r="AJ68" s="227">
        <f t="shared" si="88"/>
        <v>4.4615384615384617</v>
      </c>
      <c r="AK68" s="227">
        <f t="shared" si="88"/>
        <v>5</v>
      </c>
      <c r="AL68" s="227">
        <f t="shared" si="88"/>
        <v>4.384615384615385</v>
      </c>
      <c r="AM68" s="227">
        <f t="shared" si="88"/>
        <v>4.384615384615385</v>
      </c>
      <c r="AN68" s="141">
        <f>AVERAGE(AN51:AN63)</f>
        <v>4.6177884615384617</v>
      </c>
    </row>
    <row r="70" spans="1:40" x14ac:dyDescent="0.3">
      <c r="F70" s="95"/>
    </row>
    <row r="72" spans="1:40" ht="27" x14ac:dyDescent="0.35">
      <c r="A72" s="382" t="s">
        <v>83</v>
      </c>
      <c r="B72" s="382"/>
      <c r="C72" s="382"/>
      <c r="D72" s="382"/>
      <c r="E72" s="382"/>
      <c r="F72" s="382"/>
      <c r="G72" s="382"/>
      <c r="H72" s="382"/>
      <c r="I72" s="382"/>
      <c r="J72" s="382"/>
      <c r="K72" s="382"/>
      <c r="L72" s="382"/>
      <c r="M72" s="382"/>
      <c r="N72" s="382"/>
      <c r="O72" s="382"/>
      <c r="P72" s="382"/>
      <c r="Q72" s="382"/>
      <c r="R72" s="382"/>
      <c r="S72" s="382"/>
      <c r="T72" s="382"/>
      <c r="U72" s="382"/>
      <c r="V72" s="382"/>
      <c r="W72" s="382"/>
      <c r="X72" s="382"/>
      <c r="Y72" s="382"/>
      <c r="Z72" s="382"/>
      <c r="AA72" s="382"/>
      <c r="AB72" s="382"/>
      <c r="AC72" s="382"/>
      <c r="AD72" s="382"/>
      <c r="AE72" s="382"/>
      <c r="AF72" s="382"/>
      <c r="AG72" s="382"/>
    </row>
    <row r="73" spans="1:40" x14ac:dyDescent="0.3">
      <c r="Y73" s="86"/>
      <c r="Z73" s="86"/>
      <c r="AA73" s="86"/>
      <c r="AB73" s="86"/>
      <c r="AC73" s="86"/>
    </row>
    <row r="74" spans="1:40" ht="19.5" thickBot="1" x14ac:dyDescent="0.35">
      <c r="Y74" s="86"/>
      <c r="Z74" s="86"/>
      <c r="AA74" s="86"/>
      <c r="AB74" s="86"/>
      <c r="AC74" s="86"/>
    </row>
    <row r="75" spans="1:40" ht="23.25" customHeight="1" thickBot="1" x14ac:dyDescent="0.35">
      <c r="A75" s="360" t="s">
        <v>0</v>
      </c>
      <c r="B75" s="363" t="s">
        <v>1</v>
      </c>
      <c r="C75" s="363" t="s">
        <v>2</v>
      </c>
      <c r="D75" s="356" t="s">
        <v>3</v>
      </c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7"/>
      <c r="P75" s="357"/>
      <c r="Q75" s="357"/>
      <c r="R75" s="357"/>
      <c r="S75" s="357"/>
      <c r="T75" s="357"/>
      <c r="U75" s="358"/>
      <c r="V75" s="357"/>
      <c r="W75" s="357"/>
      <c r="X75" s="357"/>
      <c r="Y75" s="357"/>
      <c r="Z75" s="357"/>
      <c r="AA75" s="357"/>
      <c r="AB75" s="357"/>
      <c r="AC75" s="357"/>
      <c r="AD75" s="357"/>
      <c r="AE75" s="357"/>
      <c r="AF75" s="357"/>
      <c r="AG75" s="357"/>
      <c r="AH75" s="357"/>
      <c r="AI75" s="357"/>
      <c r="AJ75" s="357"/>
      <c r="AK75" s="357"/>
      <c r="AL75" s="357"/>
      <c r="AM75" s="359"/>
      <c r="AN75" s="326" t="s">
        <v>34</v>
      </c>
    </row>
    <row r="76" spans="1:40" s="10" customFormat="1" ht="90.75" customHeight="1" thickBot="1" x14ac:dyDescent="0.35">
      <c r="A76" s="361"/>
      <c r="B76" s="364"/>
      <c r="C76" s="364"/>
      <c r="D76" s="366" t="s">
        <v>17</v>
      </c>
      <c r="E76" s="142" t="s">
        <v>14</v>
      </c>
      <c r="F76" s="142" t="s">
        <v>11</v>
      </c>
      <c r="G76" s="142" t="s">
        <v>12</v>
      </c>
      <c r="H76" s="142" t="s">
        <v>13</v>
      </c>
      <c r="I76" s="142" t="s">
        <v>18</v>
      </c>
      <c r="J76" s="69" t="s">
        <v>19</v>
      </c>
      <c r="K76" s="337" t="s">
        <v>29</v>
      </c>
      <c r="L76" s="143" t="s">
        <v>23</v>
      </c>
      <c r="M76" s="180" t="s">
        <v>27</v>
      </c>
      <c r="N76" s="179" t="s">
        <v>31</v>
      </c>
      <c r="O76" s="180" t="s">
        <v>26</v>
      </c>
      <c r="P76" s="180" t="s">
        <v>153</v>
      </c>
      <c r="Q76" s="182" t="s">
        <v>25</v>
      </c>
      <c r="R76" s="179" t="s">
        <v>32</v>
      </c>
      <c r="S76" s="180" t="s">
        <v>53</v>
      </c>
      <c r="T76" s="173" t="s">
        <v>22</v>
      </c>
      <c r="U76" s="299" t="s">
        <v>154</v>
      </c>
      <c r="V76" s="419" t="s">
        <v>36</v>
      </c>
      <c r="W76" s="291" t="s">
        <v>44</v>
      </c>
      <c r="X76" s="291" t="s">
        <v>39</v>
      </c>
      <c r="Y76" s="291" t="s">
        <v>48</v>
      </c>
      <c r="Z76" s="291" t="s">
        <v>12</v>
      </c>
      <c r="AA76" s="291" t="s">
        <v>46</v>
      </c>
      <c r="AB76" s="291" t="s">
        <v>47</v>
      </c>
      <c r="AC76" s="291" t="s">
        <v>41</v>
      </c>
      <c r="AD76" s="291" t="s">
        <v>49</v>
      </c>
      <c r="AE76" s="349" t="s">
        <v>57</v>
      </c>
      <c r="AF76" s="244" t="s">
        <v>59</v>
      </c>
      <c r="AG76" s="244" t="s">
        <v>61</v>
      </c>
      <c r="AH76" s="244" t="s">
        <v>66</v>
      </c>
      <c r="AI76" s="244" t="s">
        <v>69</v>
      </c>
      <c r="AJ76" s="244" t="s">
        <v>71</v>
      </c>
      <c r="AK76" s="244" t="s">
        <v>73</v>
      </c>
      <c r="AL76" s="244" t="s">
        <v>77</v>
      </c>
      <c r="AM76" s="244" t="s">
        <v>78</v>
      </c>
      <c r="AN76" s="327"/>
    </row>
    <row r="77" spans="1:40" ht="23.25" thickBot="1" x14ac:dyDescent="0.35">
      <c r="A77" s="361"/>
      <c r="B77" s="364"/>
      <c r="C77" s="364"/>
      <c r="D77" s="366"/>
      <c r="E77" s="351" t="s">
        <v>10</v>
      </c>
      <c r="F77" s="352"/>
      <c r="G77" s="352"/>
      <c r="H77" s="352"/>
      <c r="I77" s="352"/>
      <c r="J77" s="353"/>
      <c r="K77" s="338"/>
      <c r="L77" s="354" t="s">
        <v>28</v>
      </c>
      <c r="M77" s="354"/>
      <c r="N77" s="354"/>
      <c r="O77" s="354"/>
      <c r="P77" s="354"/>
      <c r="Q77" s="354"/>
      <c r="R77" s="354"/>
      <c r="S77" s="354"/>
      <c r="T77" s="354"/>
      <c r="U77" s="355"/>
      <c r="V77" s="419"/>
      <c r="W77" s="334" t="s">
        <v>37</v>
      </c>
      <c r="X77" s="335"/>
      <c r="Y77" s="335"/>
      <c r="Z77" s="335"/>
      <c r="AA77" s="335"/>
      <c r="AB77" s="335"/>
      <c r="AC77" s="335"/>
      <c r="AD77" s="336"/>
      <c r="AE77" s="349"/>
      <c r="AF77" s="369" t="s">
        <v>58</v>
      </c>
      <c r="AG77" s="370"/>
      <c r="AH77" s="370"/>
      <c r="AI77" s="370"/>
      <c r="AJ77" s="370"/>
      <c r="AK77" s="370"/>
      <c r="AL77" s="370"/>
      <c r="AM77" s="371"/>
      <c r="AN77" s="327"/>
    </row>
    <row r="78" spans="1:40" s="16" customFormat="1" ht="83.25" customHeight="1" thickBot="1" x14ac:dyDescent="0.3">
      <c r="A78" s="362"/>
      <c r="B78" s="365"/>
      <c r="C78" s="365"/>
      <c r="D78" s="367"/>
      <c r="E78" s="37">
        <v>45232</v>
      </c>
      <c r="F78" s="37">
        <v>45244</v>
      </c>
      <c r="G78" s="37">
        <v>45258</v>
      </c>
      <c r="H78" s="37">
        <v>45260</v>
      </c>
      <c r="I78" s="37">
        <v>45281</v>
      </c>
      <c r="J78" s="51">
        <v>45283</v>
      </c>
      <c r="K78" s="339"/>
      <c r="L78" s="183">
        <v>45419</v>
      </c>
      <c r="M78" s="183">
        <v>45448</v>
      </c>
      <c r="N78" s="183">
        <v>45450</v>
      </c>
      <c r="O78" s="183">
        <v>45458</v>
      </c>
      <c r="P78" s="183">
        <v>45462</v>
      </c>
      <c r="Q78" s="183">
        <v>45463</v>
      </c>
      <c r="R78" s="183">
        <v>45468</v>
      </c>
      <c r="S78" s="183">
        <v>45348</v>
      </c>
      <c r="T78" s="190">
        <v>45470</v>
      </c>
      <c r="U78" s="206">
        <v>45471</v>
      </c>
      <c r="V78" s="420"/>
      <c r="W78" s="301">
        <v>45559</v>
      </c>
      <c r="X78" s="301">
        <v>45632</v>
      </c>
      <c r="Y78" s="301">
        <v>45647</v>
      </c>
      <c r="Z78" s="301" t="s">
        <v>156</v>
      </c>
      <c r="AA78" s="301">
        <v>45639</v>
      </c>
      <c r="AB78" s="301">
        <v>45650</v>
      </c>
      <c r="AC78" s="301">
        <v>45651</v>
      </c>
      <c r="AD78" s="301">
        <v>45645</v>
      </c>
      <c r="AE78" s="350"/>
      <c r="AF78" s="286"/>
      <c r="AG78" s="286"/>
      <c r="AH78" s="286"/>
      <c r="AI78" s="286"/>
      <c r="AJ78" s="286"/>
      <c r="AK78" s="286"/>
      <c r="AL78" s="286"/>
      <c r="AM78" s="286"/>
      <c r="AN78" s="328"/>
    </row>
    <row r="79" spans="1:40" s="24" customFormat="1" ht="19.5" thickBot="1" x14ac:dyDescent="0.35">
      <c r="A79" s="29">
        <v>1</v>
      </c>
      <c r="B79" s="290" t="s">
        <v>9</v>
      </c>
      <c r="C79" s="290" t="s">
        <v>119</v>
      </c>
      <c r="D79" s="99">
        <f t="shared" ref="D79:D90" si="89">AVERAGE(E79:J79)</f>
        <v>4</v>
      </c>
      <c r="E79" s="57">
        <v>4</v>
      </c>
      <c r="F79" s="57">
        <v>4</v>
      </c>
      <c r="G79" s="34">
        <v>5</v>
      </c>
      <c r="H79" s="14">
        <v>4</v>
      </c>
      <c r="I79" s="14">
        <v>3</v>
      </c>
      <c r="J79" s="52">
        <v>4</v>
      </c>
      <c r="K79" s="101">
        <f t="shared" ref="K79:K90" si="90">AVERAGE(L79:U79)</f>
        <v>4.0999999999999996</v>
      </c>
      <c r="L79" s="74">
        <v>4</v>
      </c>
      <c r="M79" s="75">
        <v>4</v>
      </c>
      <c r="N79" s="124">
        <v>5</v>
      </c>
      <c r="O79" s="124">
        <v>4</v>
      </c>
      <c r="P79" s="124">
        <v>4</v>
      </c>
      <c r="Q79" s="124">
        <v>4</v>
      </c>
      <c r="R79" s="124">
        <v>4</v>
      </c>
      <c r="S79" s="124">
        <v>4</v>
      </c>
      <c r="T79" s="135">
        <v>4</v>
      </c>
      <c r="U79" s="131">
        <v>4</v>
      </c>
      <c r="V79" s="191">
        <f t="shared" ref="V79:V90" si="91">AVERAGE(W79:AD79)</f>
        <v>4.25</v>
      </c>
      <c r="W79" s="151">
        <v>5</v>
      </c>
      <c r="X79" s="153">
        <v>4</v>
      </c>
      <c r="Y79" s="152">
        <v>4</v>
      </c>
      <c r="Z79" s="152">
        <v>5</v>
      </c>
      <c r="AA79" s="152">
        <v>4</v>
      </c>
      <c r="AB79" s="152">
        <v>4</v>
      </c>
      <c r="AC79" s="152">
        <v>4</v>
      </c>
      <c r="AD79" s="152">
        <v>4</v>
      </c>
      <c r="AE79" s="218">
        <f t="shared" ref="AE79:AE90" si="92">AVERAGE(AF79:AM79)</f>
        <v>4.125</v>
      </c>
      <c r="AF79" s="219">
        <v>4</v>
      </c>
      <c r="AG79" s="220">
        <v>4</v>
      </c>
      <c r="AH79" s="221">
        <v>4</v>
      </c>
      <c r="AI79" s="221">
        <v>4</v>
      </c>
      <c r="AJ79" s="221">
        <v>4</v>
      </c>
      <c r="AK79" s="221">
        <v>5</v>
      </c>
      <c r="AL79" s="221">
        <v>4</v>
      </c>
      <c r="AM79" s="221">
        <v>4</v>
      </c>
      <c r="AN79" s="140">
        <f>AVERAGE(E79:J79,L79:U79,W79:AD79,AF79:AM79)</f>
        <v>4.125</v>
      </c>
    </row>
    <row r="80" spans="1:40" ht="19.5" thickBot="1" x14ac:dyDescent="0.35">
      <c r="A80" s="30">
        <v>2</v>
      </c>
      <c r="B80" s="290" t="s">
        <v>9</v>
      </c>
      <c r="C80" s="290" t="s">
        <v>120</v>
      </c>
      <c r="D80" s="99">
        <f t="shared" si="89"/>
        <v>4.333333333333333</v>
      </c>
      <c r="E80" s="36">
        <v>4</v>
      </c>
      <c r="F80" s="36">
        <v>4</v>
      </c>
      <c r="G80" s="36">
        <v>5</v>
      </c>
      <c r="H80" s="15">
        <v>5</v>
      </c>
      <c r="I80" s="15">
        <v>4</v>
      </c>
      <c r="J80" s="53">
        <v>4</v>
      </c>
      <c r="K80" s="101">
        <f t="shared" si="90"/>
        <v>5</v>
      </c>
      <c r="L80" s="74">
        <v>5</v>
      </c>
      <c r="M80" s="75">
        <v>5</v>
      </c>
      <c r="N80" s="124">
        <v>5</v>
      </c>
      <c r="O80" s="124">
        <v>5</v>
      </c>
      <c r="P80" s="124">
        <v>5</v>
      </c>
      <c r="Q80" s="124">
        <v>5</v>
      </c>
      <c r="R80" s="124">
        <v>5</v>
      </c>
      <c r="S80" s="124">
        <v>5</v>
      </c>
      <c r="T80" s="135">
        <v>5</v>
      </c>
      <c r="U80" s="131">
        <v>5</v>
      </c>
      <c r="V80" s="191">
        <f t="shared" si="91"/>
        <v>4.625</v>
      </c>
      <c r="W80" s="151">
        <v>5</v>
      </c>
      <c r="X80" s="153">
        <v>4</v>
      </c>
      <c r="Y80" s="152">
        <v>4</v>
      </c>
      <c r="Z80" s="152">
        <v>5</v>
      </c>
      <c r="AA80" s="152">
        <v>5</v>
      </c>
      <c r="AB80" s="152">
        <v>5</v>
      </c>
      <c r="AC80" s="152">
        <v>4</v>
      </c>
      <c r="AD80" s="152">
        <v>5</v>
      </c>
      <c r="AE80" s="218">
        <f t="shared" si="92"/>
        <v>4.25</v>
      </c>
      <c r="AF80" s="219">
        <v>4</v>
      </c>
      <c r="AG80" s="220">
        <v>4</v>
      </c>
      <c r="AH80" s="221">
        <v>4</v>
      </c>
      <c r="AI80" s="221">
        <v>4</v>
      </c>
      <c r="AJ80" s="221">
        <v>5</v>
      </c>
      <c r="AK80" s="221">
        <v>5</v>
      </c>
      <c r="AL80" s="221">
        <v>4</v>
      </c>
      <c r="AM80" s="221">
        <v>4</v>
      </c>
      <c r="AN80" s="140">
        <f t="shared" ref="AN80:AN90" si="93">AVERAGE(E80:J80,L80:U80,W80:AD80,AF80:AM80)</f>
        <v>4.59375</v>
      </c>
    </row>
    <row r="81" spans="1:40" ht="19.5" thickBot="1" x14ac:dyDescent="0.35">
      <c r="A81" s="30">
        <v>3</v>
      </c>
      <c r="B81" s="290" t="s">
        <v>87</v>
      </c>
      <c r="C81" s="290" t="s">
        <v>121</v>
      </c>
      <c r="D81" s="99">
        <f t="shared" si="89"/>
        <v>5</v>
      </c>
      <c r="E81" s="36">
        <v>5</v>
      </c>
      <c r="F81" s="36">
        <v>5</v>
      </c>
      <c r="G81" s="36">
        <v>5</v>
      </c>
      <c r="H81" s="15">
        <v>5</v>
      </c>
      <c r="I81" s="15">
        <v>5</v>
      </c>
      <c r="J81" s="53">
        <v>5</v>
      </c>
      <c r="K81" s="101">
        <f t="shared" si="90"/>
        <v>5</v>
      </c>
      <c r="L81" s="74">
        <v>5</v>
      </c>
      <c r="M81" s="75">
        <v>5</v>
      </c>
      <c r="N81" s="124">
        <v>5</v>
      </c>
      <c r="O81" s="124">
        <v>5</v>
      </c>
      <c r="P81" s="124">
        <v>5</v>
      </c>
      <c r="Q81" s="124">
        <v>5</v>
      </c>
      <c r="R81" s="124">
        <v>5</v>
      </c>
      <c r="S81" s="124">
        <v>5</v>
      </c>
      <c r="T81" s="135">
        <v>5</v>
      </c>
      <c r="U81" s="131">
        <v>5</v>
      </c>
      <c r="V81" s="191">
        <f t="shared" si="91"/>
        <v>5</v>
      </c>
      <c r="W81" s="151">
        <v>5</v>
      </c>
      <c r="X81" s="153">
        <v>5</v>
      </c>
      <c r="Y81" s="152">
        <v>5</v>
      </c>
      <c r="Z81" s="152">
        <v>5</v>
      </c>
      <c r="AA81" s="152">
        <v>5</v>
      </c>
      <c r="AB81" s="152">
        <v>5</v>
      </c>
      <c r="AC81" s="152">
        <v>5</v>
      </c>
      <c r="AD81" s="152">
        <v>5</v>
      </c>
      <c r="AE81" s="218">
        <f t="shared" si="92"/>
        <v>4.5</v>
      </c>
      <c r="AF81" s="219">
        <v>4</v>
      </c>
      <c r="AG81" s="220">
        <v>5</v>
      </c>
      <c r="AH81" s="221">
        <v>4</v>
      </c>
      <c r="AI81" s="221">
        <v>5</v>
      </c>
      <c r="AJ81" s="221">
        <v>4</v>
      </c>
      <c r="AK81" s="221">
        <v>5</v>
      </c>
      <c r="AL81" s="221">
        <v>5</v>
      </c>
      <c r="AM81" s="221">
        <v>4</v>
      </c>
      <c r="AN81" s="140">
        <f t="shared" si="93"/>
        <v>4.875</v>
      </c>
    </row>
    <row r="82" spans="1:40" ht="19.5" thickBot="1" x14ac:dyDescent="0.35">
      <c r="A82" s="30">
        <v>4</v>
      </c>
      <c r="B82" s="290" t="s">
        <v>9</v>
      </c>
      <c r="C82" s="290" t="s">
        <v>122</v>
      </c>
      <c r="D82" s="99">
        <f t="shared" si="89"/>
        <v>5</v>
      </c>
      <c r="E82" s="36">
        <v>5</v>
      </c>
      <c r="F82" s="36">
        <v>5</v>
      </c>
      <c r="G82" s="36">
        <v>5</v>
      </c>
      <c r="H82" s="15">
        <v>5</v>
      </c>
      <c r="I82" s="15">
        <v>5</v>
      </c>
      <c r="J82" s="53">
        <v>5</v>
      </c>
      <c r="K82" s="101">
        <f t="shared" si="90"/>
        <v>5</v>
      </c>
      <c r="L82" s="74">
        <v>5</v>
      </c>
      <c r="M82" s="75">
        <v>5</v>
      </c>
      <c r="N82" s="124">
        <v>5</v>
      </c>
      <c r="O82" s="124">
        <v>5</v>
      </c>
      <c r="P82" s="124">
        <v>5</v>
      </c>
      <c r="Q82" s="124">
        <v>5</v>
      </c>
      <c r="R82" s="124">
        <v>5</v>
      </c>
      <c r="S82" s="124">
        <v>5</v>
      </c>
      <c r="T82" s="135">
        <v>5</v>
      </c>
      <c r="U82" s="131">
        <v>5</v>
      </c>
      <c r="V82" s="191">
        <f t="shared" si="91"/>
        <v>5</v>
      </c>
      <c r="W82" s="151">
        <v>5</v>
      </c>
      <c r="X82" s="153">
        <v>5</v>
      </c>
      <c r="Y82" s="152">
        <v>5</v>
      </c>
      <c r="Z82" s="152">
        <v>5</v>
      </c>
      <c r="AA82" s="152">
        <v>5</v>
      </c>
      <c r="AB82" s="152">
        <v>5</v>
      </c>
      <c r="AC82" s="152">
        <v>5</v>
      </c>
      <c r="AD82" s="152">
        <v>5</v>
      </c>
      <c r="AE82" s="218">
        <f t="shared" si="92"/>
        <v>4.875</v>
      </c>
      <c r="AF82" s="219">
        <v>5</v>
      </c>
      <c r="AG82" s="220">
        <v>5</v>
      </c>
      <c r="AH82" s="221">
        <v>4</v>
      </c>
      <c r="AI82" s="221">
        <v>5</v>
      </c>
      <c r="AJ82" s="221">
        <v>5</v>
      </c>
      <c r="AK82" s="221">
        <v>5</v>
      </c>
      <c r="AL82" s="221">
        <v>5</v>
      </c>
      <c r="AM82" s="221">
        <v>5</v>
      </c>
      <c r="AN82" s="140">
        <f t="shared" si="93"/>
        <v>4.96875</v>
      </c>
    </row>
    <row r="83" spans="1:40" s="24" customFormat="1" ht="19.5" thickBot="1" x14ac:dyDescent="0.35">
      <c r="A83" s="30">
        <v>5</v>
      </c>
      <c r="B83" s="290" t="s">
        <v>87</v>
      </c>
      <c r="C83" s="290" t="s">
        <v>123</v>
      </c>
      <c r="D83" s="99">
        <f t="shared" si="89"/>
        <v>4.666666666666667</v>
      </c>
      <c r="E83" s="36">
        <v>5</v>
      </c>
      <c r="F83" s="36">
        <v>4</v>
      </c>
      <c r="G83" s="36">
        <v>5</v>
      </c>
      <c r="H83" s="15">
        <v>4</v>
      </c>
      <c r="I83" s="15">
        <v>5</v>
      </c>
      <c r="J83" s="53">
        <v>5</v>
      </c>
      <c r="K83" s="101">
        <f t="shared" si="90"/>
        <v>4.8</v>
      </c>
      <c r="L83" s="74">
        <v>5</v>
      </c>
      <c r="M83" s="75">
        <v>4</v>
      </c>
      <c r="N83" s="124">
        <v>5</v>
      </c>
      <c r="O83" s="124">
        <v>4</v>
      </c>
      <c r="P83" s="124">
        <v>5</v>
      </c>
      <c r="Q83" s="124">
        <v>5</v>
      </c>
      <c r="R83" s="124">
        <v>5</v>
      </c>
      <c r="S83" s="124">
        <v>5</v>
      </c>
      <c r="T83" s="135">
        <v>5</v>
      </c>
      <c r="U83" s="131">
        <v>5</v>
      </c>
      <c r="V83" s="191">
        <f t="shared" si="91"/>
        <v>5</v>
      </c>
      <c r="W83" s="151">
        <v>5</v>
      </c>
      <c r="X83" s="153">
        <v>5</v>
      </c>
      <c r="Y83" s="152">
        <v>5</v>
      </c>
      <c r="Z83" s="152">
        <v>5</v>
      </c>
      <c r="AA83" s="152">
        <v>5</v>
      </c>
      <c r="AB83" s="152">
        <v>5</v>
      </c>
      <c r="AC83" s="152">
        <v>5</v>
      </c>
      <c r="AD83" s="152">
        <v>5</v>
      </c>
      <c r="AE83" s="218">
        <f t="shared" si="92"/>
        <v>4.75</v>
      </c>
      <c r="AF83" s="219">
        <v>4</v>
      </c>
      <c r="AG83" s="220">
        <v>5</v>
      </c>
      <c r="AH83" s="221">
        <v>5</v>
      </c>
      <c r="AI83" s="221">
        <v>5</v>
      </c>
      <c r="AJ83" s="221">
        <v>5</v>
      </c>
      <c r="AK83" s="221">
        <v>5</v>
      </c>
      <c r="AL83" s="221">
        <v>5</v>
      </c>
      <c r="AM83" s="221">
        <v>4</v>
      </c>
      <c r="AN83" s="140">
        <f t="shared" si="93"/>
        <v>4.8125</v>
      </c>
    </row>
    <row r="84" spans="1:40" ht="19.5" thickBot="1" x14ac:dyDescent="0.35">
      <c r="A84" s="30">
        <v>6</v>
      </c>
      <c r="B84" s="290" t="s">
        <v>9</v>
      </c>
      <c r="C84" s="290" t="s">
        <v>124</v>
      </c>
      <c r="D84" s="99">
        <f t="shared" si="89"/>
        <v>4.833333333333333</v>
      </c>
      <c r="E84" s="36">
        <v>5</v>
      </c>
      <c r="F84" s="36">
        <v>5</v>
      </c>
      <c r="G84" s="36">
        <v>5</v>
      </c>
      <c r="H84" s="15">
        <v>5</v>
      </c>
      <c r="I84" s="15">
        <v>4</v>
      </c>
      <c r="J84" s="53">
        <v>5</v>
      </c>
      <c r="K84" s="101">
        <f t="shared" si="90"/>
        <v>5</v>
      </c>
      <c r="L84" s="74">
        <v>5</v>
      </c>
      <c r="M84" s="75">
        <v>5</v>
      </c>
      <c r="N84" s="124">
        <v>5</v>
      </c>
      <c r="O84" s="124">
        <v>5</v>
      </c>
      <c r="P84" s="124">
        <v>5</v>
      </c>
      <c r="Q84" s="124">
        <v>5</v>
      </c>
      <c r="R84" s="124">
        <v>5</v>
      </c>
      <c r="S84" s="124">
        <v>5</v>
      </c>
      <c r="T84" s="135">
        <v>5</v>
      </c>
      <c r="U84" s="131">
        <v>5</v>
      </c>
      <c r="V84" s="191">
        <f t="shared" si="91"/>
        <v>5</v>
      </c>
      <c r="W84" s="151">
        <v>5</v>
      </c>
      <c r="X84" s="153">
        <v>5</v>
      </c>
      <c r="Y84" s="152">
        <v>5</v>
      </c>
      <c r="Z84" s="152">
        <v>5</v>
      </c>
      <c r="AA84" s="152">
        <v>5</v>
      </c>
      <c r="AB84" s="152">
        <v>5</v>
      </c>
      <c r="AC84" s="152">
        <v>5</v>
      </c>
      <c r="AD84" s="152">
        <v>5</v>
      </c>
      <c r="AE84" s="218">
        <f t="shared" si="92"/>
        <v>4.375</v>
      </c>
      <c r="AF84" s="219">
        <v>4</v>
      </c>
      <c r="AG84" s="220">
        <v>4</v>
      </c>
      <c r="AH84" s="221">
        <v>5</v>
      </c>
      <c r="AI84" s="221">
        <v>4</v>
      </c>
      <c r="AJ84" s="221">
        <v>4</v>
      </c>
      <c r="AK84" s="221">
        <v>5</v>
      </c>
      <c r="AL84" s="221">
        <v>4</v>
      </c>
      <c r="AM84" s="221">
        <v>5</v>
      </c>
      <c r="AN84" s="140">
        <f t="shared" si="93"/>
        <v>4.8125</v>
      </c>
    </row>
    <row r="85" spans="1:40" ht="19.5" thickBot="1" x14ac:dyDescent="0.35">
      <c r="A85" s="30">
        <v>7</v>
      </c>
      <c r="B85" s="290" t="s">
        <v>87</v>
      </c>
      <c r="C85" s="290" t="s">
        <v>125</v>
      </c>
      <c r="D85" s="99">
        <f t="shared" si="89"/>
        <v>4.666666666666667</v>
      </c>
      <c r="E85" s="36">
        <v>5</v>
      </c>
      <c r="F85" s="36">
        <v>4</v>
      </c>
      <c r="G85" s="36">
        <v>5</v>
      </c>
      <c r="H85" s="15">
        <v>5</v>
      </c>
      <c r="I85" s="15">
        <v>4</v>
      </c>
      <c r="J85" s="53">
        <v>5</v>
      </c>
      <c r="K85" s="101">
        <f t="shared" si="90"/>
        <v>5</v>
      </c>
      <c r="L85" s="74">
        <v>5</v>
      </c>
      <c r="M85" s="75">
        <v>5</v>
      </c>
      <c r="N85" s="124">
        <v>5</v>
      </c>
      <c r="O85" s="124">
        <v>5</v>
      </c>
      <c r="P85" s="124">
        <v>5</v>
      </c>
      <c r="Q85" s="124">
        <v>5</v>
      </c>
      <c r="R85" s="124">
        <v>5</v>
      </c>
      <c r="S85" s="124">
        <v>5</v>
      </c>
      <c r="T85" s="135">
        <v>5</v>
      </c>
      <c r="U85" s="131">
        <v>5</v>
      </c>
      <c r="V85" s="191">
        <f t="shared" si="91"/>
        <v>5</v>
      </c>
      <c r="W85" s="151">
        <v>5</v>
      </c>
      <c r="X85" s="153">
        <v>5</v>
      </c>
      <c r="Y85" s="152">
        <v>5</v>
      </c>
      <c r="Z85" s="152">
        <v>5</v>
      </c>
      <c r="AA85" s="152">
        <v>5</v>
      </c>
      <c r="AB85" s="152">
        <v>5</v>
      </c>
      <c r="AC85" s="152">
        <v>5</v>
      </c>
      <c r="AD85" s="152">
        <v>5</v>
      </c>
      <c r="AE85" s="218">
        <f t="shared" si="92"/>
        <v>4.875</v>
      </c>
      <c r="AF85" s="219">
        <v>5</v>
      </c>
      <c r="AG85" s="220">
        <v>5</v>
      </c>
      <c r="AH85" s="221">
        <v>4</v>
      </c>
      <c r="AI85" s="221">
        <v>5</v>
      </c>
      <c r="AJ85" s="221">
        <v>5</v>
      </c>
      <c r="AK85" s="221">
        <v>5</v>
      </c>
      <c r="AL85" s="221">
        <v>5</v>
      </c>
      <c r="AM85" s="221">
        <v>5</v>
      </c>
      <c r="AN85" s="140">
        <f t="shared" si="93"/>
        <v>4.90625</v>
      </c>
    </row>
    <row r="86" spans="1:40" s="24" customFormat="1" ht="19.5" thickBot="1" x14ac:dyDescent="0.35">
      <c r="A86" s="30">
        <v>8</v>
      </c>
      <c r="B86" s="290" t="s">
        <v>9</v>
      </c>
      <c r="C86" s="290" t="s">
        <v>126</v>
      </c>
      <c r="D86" s="99">
        <f t="shared" si="89"/>
        <v>3.6666666666666665</v>
      </c>
      <c r="E86" s="36">
        <v>4</v>
      </c>
      <c r="F86" s="36">
        <v>4</v>
      </c>
      <c r="G86" s="36">
        <v>3</v>
      </c>
      <c r="H86" s="15">
        <v>4</v>
      </c>
      <c r="I86" s="15">
        <v>3</v>
      </c>
      <c r="J86" s="53">
        <v>4</v>
      </c>
      <c r="K86" s="101">
        <f t="shared" si="90"/>
        <v>4.0999999999999996</v>
      </c>
      <c r="L86" s="74">
        <v>4</v>
      </c>
      <c r="M86" s="75">
        <v>4</v>
      </c>
      <c r="N86" s="124">
        <v>4</v>
      </c>
      <c r="O86" s="124">
        <v>4</v>
      </c>
      <c r="P86" s="124">
        <v>4</v>
      </c>
      <c r="Q86" s="124">
        <v>5</v>
      </c>
      <c r="R86" s="124">
        <v>4</v>
      </c>
      <c r="S86" s="124">
        <v>4</v>
      </c>
      <c r="T86" s="135">
        <v>4</v>
      </c>
      <c r="U86" s="131">
        <v>4</v>
      </c>
      <c r="V86" s="191">
        <f t="shared" si="91"/>
        <v>4.125</v>
      </c>
      <c r="W86" s="151">
        <v>5</v>
      </c>
      <c r="X86" s="153">
        <v>4</v>
      </c>
      <c r="Y86" s="152">
        <v>4</v>
      </c>
      <c r="Z86" s="152">
        <v>4</v>
      </c>
      <c r="AA86" s="152">
        <v>4</v>
      </c>
      <c r="AB86" s="152">
        <v>4</v>
      </c>
      <c r="AC86" s="152">
        <v>4</v>
      </c>
      <c r="AD86" s="152">
        <v>4</v>
      </c>
      <c r="AE86" s="218">
        <f t="shared" si="92"/>
        <v>4</v>
      </c>
      <c r="AF86" s="219">
        <v>4</v>
      </c>
      <c r="AG86" s="220">
        <v>4</v>
      </c>
      <c r="AH86" s="221">
        <v>4</v>
      </c>
      <c r="AI86" s="221">
        <v>4</v>
      </c>
      <c r="AJ86" s="221">
        <v>4</v>
      </c>
      <c r="AK86" s="221">
        <v>4</v>
      </c>
      <c r="AL86" s="221">
        <v>4</v>
      </c>
      <c r="AM86" s="221">
        <v>4</v>
      </c>
      <c r="AN86" s="140">
        <f t="shared" si="93"/>
        <v>4</v>
      </c>
    </row>
    <row r="87" spans="1:40" s="24" customFormat="1" ht="19.5" thickBot="1" x14ac:dyDescent="0.35">
      <c r="A87" s="30">
        <v>9</v>
      </c>
      <c r="B87" s="290" t="s">
        <v>9</v>
      </c>
      <c r="C87" s="290" t="s">
        <v>127</v>
      </c>
      <c r="D87" s="99">
        <f t="shared" si="89"/>
        <v>4.166666666666667</v>
      </c>
      <c r="E87" s="36">
        <v>4</v>
      </c>
      <c r="F87" s="36">
        <v>4</v>
      </c>
      <c r="G87" s="36">
        <v>5</v>
      </c>
      <c r="H87" s="15">
        <v>4</v>
      </c>
      <c r="I87" s="15">
        <v>4</v>
      </c>
      <c r="J87" s="53">
        <v>4</v>
      </c>
      <c r="K87" s="101">
        <f t="shared" si="90"/>
        <v>4.0999999999999996</v>
      </c>
      <c r="L87" s="74">
        <v>4</v>
      </c>
      <c r="M87" s="75">
        <v>4</v>
      </c>
      <c r="N87" s="124">
        <v>5</v>
      </c>
      <c r="O87" s="124">
        <v>4</v>
      </c>
      <c r="P87" s="124">
        <v>4</v>
      </c>
      <c r="Q87" s="124">
        <v>4</v>
      </c>
      <c r="R87" s="124">
        <v>4</v>
      </c>
      <c r="S87" s="124">
        <v>4</v>
      </c>
      <c r="T87" s="135">
        <v>4</v>
      </c>
      <c r="U87" s="131">
        <v>4</v>
      </c>
      <c r="V87" s="191">
        <f t="shared" si="91"/>
        <v>4.125</v>
      </c>
      <c r="W87" s="151">
        <v>4</v>
      </c>
      <c r="X87" s="153">
        <v>4</v>
      </c>
      <c r="Y87" s="152">
        <v>4</v>
      </c>
      <c r="Z87" s="152">
        <v>5</v>
      </c>
      <c r="AA87" s="152">
        <v>4</v>
      </c>
      <c r="AB87" s="152">
        <v>4</v>
      </c>
      <c r="AC87" s="152">
        <v>4</v>
      </c>
      <c r="AD87" s="152">
        <v>4</v>
      </c>
      <c r="AE87" s="218">
        <f t="shared" si="92"/>
        <v>4.25</v>
      </c>
      <c r="AF87" s="219">
        <v>5</v>
      </c>
      <c r="AG87" s="220">
        <v>4</v>
      </c>
      <c r="AH87" s="221">
        <v>4</v>
      </c>
      <c r="AI87" s="221">
        <v>4</v>
      </c>
      <c r="AJ87" s="221">
        <v>4</v>
      </c>
      <c r="AK87" s="221">
        <v>5</v>
      </c>
      <c r="AL87" s="221">
        <v>4</v>
      </c>
      <c r="AM87" s="221">
        <v>4</v>
      </c>
      <c r="AN87" s="140">
        <f t="shared" si="93"/>
        <v>4.15625</v>
      </c>
    </row>
    <row r="88" spans="1:40" ht="19.5" thickBot="1" x14ac:dyDescent="0.35">
      <c r="A88" s="30">
        <v>10</v>
      </c>
      <c r="B88" s="290" t="s">
        <v>9</v>
      </c>
      <c r="C88" s="290" t="s">
        <v>128</v>
      </c>
      <c r="D88" s="99">
        <f t="shared" si="89"/>
        <v>4.666666666666667</v>
      </c>
      <c r="E88" s="36">
        <v>5</v>
      </c>
      <c r="F88" s="36">
        <v>4</v>
      </c>
      <c r="G88" s="36">
        <v>5</v>
      </c>
      <c r="H88" s="15">
        <v>4</v>
      </c>
      <c r="I88" s="15">
        <v>5</v>
      </c>
      <c r="J88" s="53">
        <v>5</v>
      </c>
      <c r="K88" s="101">
        <f t="shared" si="90"/>
        <v>4.0999999999999996</v>
      </c>
      <c r="L88" s="87">
        <v>4</v>
      </c>
      <c r="M88" s="88">
        <v>4</v>
      </c>
      <c r="N88" s="125">
        <v>5</v>
      </c>
      <c r="O88" s="125">
        <v>4</v>
      </c>
      <c r="P88" s="125">
        <v>4</v>
      </c>
      <c r="Q88" s="125">
        <v>4</v>
      </c>
      <c r="R88" s="125">
        <v>4</v>
      </c>
      <c r="S88" s="125">
        <v>4</v>
      </c>
      <c r="T88" s="136">
        <v>4</v>
      </c>
      <c r="U88" s="132">
        <v>4</v>
      </c>
      <c r="V88" s="191">
        <f t="shared" si="91"/>
        <v>4.25</v>
      </c>
      <c r="W88" s="151">
        <v>5</v>
      </c>
      <c r="X88" s="153">
        <v>4</v>
      </c>
      <c r="Y88" s="152">
        <v>4</v>
      </c>
      <c r="Z88" s="152">
        <v>5</v>
      </c>
      <c r="AA88" s="152">
        <v>4</v>
      </c>
      <c r="AB88" s="152">
        <v>4</v>
      </c>
      <c r="AC88" s="152">
        <v>4</v>
      </c>
      <c r="AD88" s="152">
        <v>4</v>
      </c>
      <c r="AE88" s="218">
        <f t="shared" si="92"/>
        <v>4.25</v>
      </c>
      <c r="AF88" s="219">
        <v>5</v>
      </c>
      <c r="AG88" s="220">
        <v>4</v>
      </c>
      <c r="AH88" s="221">
        <v>4</v>
      </c>
      <c r="AI88" s="221">
        <v>4</v>
      </c>
      <c r="AJ88" s="221">
        <v>4</v>
      </c>
      <c r="AK88" s="221">
        <v>5</v>
      </c>
      <c r="AL88" s="221">
        <v>4</v>
      </c>
      <c r="AM88" s="221">
        <v>4</v>
      </c>
      <c r="AN88" s="140">
        <f t="shared" si="93"/>
        <v>4.28125</v>
      </c>
    </row>
    <row r="89" spans="1:40" s="24" customFormat="1" ht="19.5" thickBot="1" x14ac:dyDescent="0.35">
      <c r="A89" s="30">
        <v>11</v>
      </c>
      <c r="B89" s="290" t="s">
        <v>9</v>
      </c>
      <c r="C89" s="290" t="s">
        <v>129</v>
      </c>
      <c r="D89" s="99">
        <f t="shared" si="89"/>
        <v>5</v>
      </c>
      <c r="E89" s="36">
        <v>5</v>
      </c>
      <c r="F89" s="36">
        <v>5</v>
      </c>
      <c r="G89" s="36">
        <v>5</v>
      </c>
      <c r="H89" s="15">
        <v>5</v>
      </c>
      <c r="I89" s="15">
        <v>5</v>
      </c>
      <c r="J89" s="53">
        <v>5</v>
      </c>
      <c r="K89" s="101">
        <f t="shared" si="90"/>
        <v>5</v>
      </c>
      <c r="L89" s="89">
        <v>5</v>
      </c>
      <c r="M89" s="110">
        <v>5</v>
      </c>
      <c r="N89" s="128">
        <v>5</v>
      </c>
      <c r="O89" s="128">
        <v>5</v>
      </c>
      <c r="P89" s="128">
        <v>5</v>
      </c>
      <c r="Q89" s="128">
        <v>5</v>
      </c>
      <c r="R89" s="128">
        <v>5</v>
      </c>
      <c r="S89" s="128">
        <v>5</v>
      </c>
      <c r="T89" s="192">
        <v>5</v>
      </c>
      <c r="U89" s="192">
        <v>5</v>
      </c>
      <c r="V89" s="163">
        <f t="shared" si="91"/>
        <v>5</v>
      </c>
      <c r="W89" s="151">
        <v>5</v>
      </c>
      <c r="X89" s="153">
        <v>5</v>
      </c>
      <c r="Y89" s="152">
        <v>5</v>
      </c>
      <c r="Z89" s="152">
        <v>5</v>
      </c>
      <c r="AA89" s="152">
        <v>5</v>
      </c>
      <c r="AB89" s="152">
        <v>5</v>
      </c>
      <c r="AC89" s="152">
        <v>5</v>
      </c>
      <c r="AD89" s="152">
        <v>5</v>
      </c>
      <c r="AE89" s="222">
        <f t="shared" si="92"/>
        <v>4.875</v>
      </c>
      <c r="AF89" s="219">
        <v>5</v>
      </c>
      <c r="AG89" s="220">
        <v>5</v>
      </c>
      <c r="AH89" s="221">
        <v>4</v>
      </c>
      <c r="AI89" s="221">
        <v>5</v>
      </c>
      <c r="AJ89" s="221">
        <v>5</v>
      </c>
      <c r="AK89" s="221">
        <v>5</v>
      </c>
      <c r="AL89" s="221">
        <v>5</v>
      </c>
      <c r="AM89" s="221">
        <v>5</v>
      </c>
      <c r="AN89" s="140">
        <f t="shared" si="93"/>
        <v>4.96875</v>
      </c>
    </row>
    <row r="90" spans="1:40" ht="19.5" thickBot="1" x14ac:dyDescent="0.35">
      <c r="A90" s="30">
        <v>12</v>
      </c>
      <c r="B90" s="290" t="s">
        <v>87</v>
      </c>
      <c r="C90" s="290" t="s">
        <v>130</v>
      </c>
      <c r="D90" s="99">
        <f t="shared" si="89"/>
        <v>5</v>
      </c>
      <c r="E90" s="23">
        <v>5</v>
      </c>
      <c r="F90" s="23">
        <v>5</v>
      </c>
      <c r="G90" s="36">
        <v>5</v>
      </c>
      <c r="H90" s="92">
        <v>5</v>
      </c>
      <c r="I90" s="92">
        <v>5</v>
      </c>
      <c r="J90" s="93">
        <v>5</v>
      </c>
      <c r="K90" s="101">
        <f t="shared" si="90"/>
        <v>5</v>
      </c>
      <c r="L90" s="87">
        <v>5</v>
      </c>
      <c r="M90" s="88">
        <v>5</v>
      </c>
      <c r="N90" s="125">
        <v>5</v>
      </c>
      <c r="O90" s="125">
        <v>5</v>
      </c>
      <c r="P90" s="125">
        <v>5</v>
      </c>
      <c r="Q90" s="125">
        <v>5</v>
      </c>
      <c r="R90" s="125">
        <v>5</v>
      </c>
      <c r="S90" s="125">
        <v>5</v>
      </c>
      <c r="T90" s="136">
        <v>5</v>
      </c>
      <c r="U90" s="136">
        <v>5</v>
      </c>
      <c r="V90" s="213">
        <f t="shared" si="91"/>
        <v>5</v>
      </c>
      <c r="W90" s="172">
        <v>5</v>
      </c>
      <c r="X90" s="153">
        <v>5</v>
      </c>
      <c r="Y90" s="152">
        <v>5</v>
      </c>
      <c r="Z90" s="152">
        <v>5</v>
      </c>
      <c r="AA90" s="152">
        <v>5</v>
      </c>
      <c r="AB90" s="152">
        <v>5</v>
      </c>
      <c r="AC90" s="152">
        <v>5</v>
      </c>
      <c r="AD90" s="152">
        <v>5</v>
      </c>
      <c r="AE90" s="223">
        <f t="shared" si="92"/>
        <v>4.625</v>
      </c>
      <c r="AF90" s="224">
        <v>5</v>
      </c>
      <c r="AG90" s="220">
        <v>5</v>
      </c>
      <c r="AH90" s="221">
        <v>4</v>
      </c>
      <c r="AI90" s="221">
        <v>5</v>
      </c>
      <c r="AJ90" s="221">
        <v>4</v>
      </c>
      <c r="AK90" s="221">
        <v>5</v>
      </c>
      <c r="AL90" s="221">
        <v>4</v>
      </c>
      <c r="AM90" s="221">
        <v>5</v>
      </c>
      <c r="AN90" s="140">
        <f t="shared" si="93"/>
        <v>4.90625</v>
      </c>
    </row>
    <row r="91" spans="1:40" ht="19.5" thickBot="1" x14ac:dyDescent="0.35">
      <c r="A91" s="331" t="s">
        <v>4</v>
      </c>
      <c r="B91" s="332"/>
      <c r="C91" s="333"/>
      <c r="D91" s="118">
        <f>SUM(E91:J91)</f>
        <v>45</v>
      </c>
      <c r="E91" s="21">
        <f>COUNTIF(E79:E90,5)</f>
        <v>8</v>
      </c>
      <c r="F91" s="21">
        <f>COUNTIF(F79:F90,5)</f>
        <v>5</v>
      </c>
      <c r="G91" s="35">
        <f>COUNTIF(G79:G90,5)</f>
        <v>11</v>
      </c>
      <c r="H91" s="35">
        <f t="shared" ref="H91" si="94">COUNTIF(H79:H90,5)</f>
        <v>7</v>
      </c>
      <c r="I91" s="35">
        <f t="shared" ref="I91:J91" si="95">COUNTIF(I79:I90,5)</f>
        <v>6</v>
      </c>
      <c r="J91" s="35">
        <f t="shared" si="95"/>
        <v>8</v>
      </c>
      <c r="K91" s="112">
        <f>SUM(L91:V91)</f>
        <v>149</v>
      </c>
      <c r="L91" s="85">
        <f>COUNTIF(L79:L90,5)</f>
        <v>8</v>
      </c>
      <c r="M91" s="85">
        <f t="shared" ref="M91:U91" si="96">COUNTIF(M79:M90,5)</f>
        <v>7</v>
      </c>
      <c r="N91" s="85">
        <f t="shared" si="96"/>
        <v>11</v>
      </c>
      <c r="O91" s="85">
        <f t="shared" si="96"/>
        <v>7</v>
      </c>
      <c r="P91" s="85">
        <f t="shared" si="96"/>
        <v>8</v>
      </c>
      <c r="Q91" s="85">
        <f t="shared" si="96"/>
        <v>9</v>
      </c>
      <c r="R91" s="85">
        <f t="shared" si="96"/>
        <v>8</v>
      </c>
      <c r="S91" s="85">
        <f t="shared" si="96"/>
        <v>8</v>
      </c>
      <c r="T91" s="85">
        <f t="shared" si="96"/>
        <v>8</v>
      </c>
      <c r="U91" s="84">
        <f t="shared" si="96"/>
        <v>8</v>
      </c>
      <c r="V91" s="214">
        <f>SUM(W91:AD91)</f>
        <v>67</v>
      </c>
      <c r="W91" s="168">
        <f>COUNTIF(W79:W90,5)</f>
        <v>11</v>
      </c>
      <c r="X91" s="168">
        <f t="shared" ref="X91:AD91" si="97">COUNTIF(X79:X90,5)</f>
        <v>7</v>
      </c>
      <c r="Y91" s="168">
        <f t="shared" si="97"/>
        <v>7</v>
      </c>
      <c r="Z91" s="168">
        <f t="shared" si="97"/>
        <v>11</v>
      </c>
      <c r="AA91" s="168">
        <f t="shared" si="97"/>
        <v>8</v>
      </c>
      <c r="AB91" s="168">
        <f t="shared" si="97"/>
        <v>8</v>
      </c>
      <c r="AC91" s="168">
        <f t="shared" si="97"/>
        <v>7</v>
      </c>
      <c r="AD91" s="168">
        <f t="shared" si="97"/>
        <v>8</v>
      </c>
      <c r="AE91" s="225">
        <f>SUM(AF91:AM91)</f>
        <v>46</v>
      </c>
      <c r="AF91" s="226">
        <f>COUNTIF(AF79:AF90,5)</f>
        <v>6</v>
      </c>
      <c r="AG91" s="226">
        <f t="shared" ref="AG91:AM91" si="98">COUNTIF(AG79:AG90,5)</f>
        <v>6</v>
      </c>
      <c r="AH91" s="226">
        <f t="shared" si="98"/>
        <v>2</v>
      </c>
      <c r="AI91" s="226">
        <f t="shared" si="98"/>
        <v>6</v>
      </c>
      <c r="AJ91" s="226">
        <f t="shared" si="98"/>
        <v>5</v>
      </c>
      <c r="AK91" s="226">
        <f t="shared" si="98"/>
        <v>11</v>
      </c>
      <c r="AL91" s="226">
        <f t="shared" si="98"/>
        <v>5</v>
      </c>
      <c r="AM91" s="226">
        <f t="shared" si="98"/>
        <v>5</v>
      </c>
      <c r="AN91" s="166">
        <f>SUM(D91,K91,V91,AE91)</f>
        <v>307</v>
      </c>
    </row>
    <row r="92" spans="1:40" ht="19.5" thickBot="1" x14ac:dyDescent="0.35">
      <c r="A92" s="346" t="s">
        <v>5</v>
      </c>
      <c r="B92" s="347"/>
      <c r="C92" s="348"/>
      <c r="D92" s="118">
        <f t="shared" ref="D92:D94" si="99">SUM(E92:J92)</f>
        <v>24</v>
      </c>
      <c r="E92" s="22">
        <f>COUNTIF(E79:E90,4)</f>
        <v>4</v>
      </c>
      <c r="F92" s="22">
        <f>COUNTIF(F79:F90,4)</f>
        <v>7</v>
      </c>
      <c r="G92" s="33">
        <f>COUNTIF(G79:G90,4)</f>
        <v>0</v>
      </c>
      <c r="H92" s="33">
        <f t="shared" ref="H92" si="100">COUNTIF(H79:H90,4)</f>
        <v>5</v>
      </c>
      <c r="I92" s="33">
        <f t="shared" ref="I92:J92" si="101">COUNTIF(I79:I90,4)</f>
        <v>4</v>
      </c>
      <c r="J92" s="33">
        <f t="shared" si="101"/>
        <v>4</v>
      </c>
      <c r="K92" s="112">
        <f>SUM(L92:V92)</f>
        <v>67</v>
      </c>
      <c r="L92" s="81">
        <f>COUNTIF(L79:L90,4)</f>
        <v>4</v>
      </c>
      <c r="M92" s="81">
        <f t="shared" ref="M92:U92" si="102">COUNTIF(M79:M90,4)</f>
        <v>5</v>
      </c>
      <c r="N92" s="81">
        <f t="shared" si="102"/>
        <v>1</v>
      </c>
      <c r="O92" s="81">
        <f t="shared" si="102"/>
        <v>5</v>
      </c>
      <c r="P92" s="81">
        <f t="shared" si="102"/>
        <v>4</v>
      </c>
      <c r="Q92" s="81">
        <f t="shared" si="102"/>
        <v>3</v>
      </c>
      <c r="R92" s="81">
        <f t="shared" si="102"/>
        <v>4</v>
      </c>
      <c r="S92" s="81">
        <f t="shared" si="102"/>
        <v>4</v>
      </c>
      <c r="T92" s="81">
        <f t="shared" si="102"/>
        <v>4</v>
      </c>
      <c r="U92" s="77">
        <f t="shared" si="102"/>
        <v>4</v>
      </c>
      <c r="V92" s="214">
        <f>SUM(W92:AD92)</f>
        <v>29</v>
      </c>
      <c r="W92" s="168">
        <f>COUNTIF(W79:W90,4)</f>
        <v>1</v>
      </c>
      <c r="X92" s="168">
        <f t="shared" ref="X92:AD92" si="103">COUNTIF(X79:X90,4)</f>
        <v>5</v>
      </c>
      <c r="Y92" s="168">
        <f t="shared" si="103"/>
        <v>5</v>
      </c>
      <c r="Z92" s="168">
        <f t="shared" si="103"/>
        <v>1</v>
      </c>
      <c r="AA92" s="168">
        <f t="shared" si="103"/>
        <v>4</v>
      </c>
      <c r="AB92" s="168">
        <f t="shared" si="103"/>
        <v>4</v>
      </c>
      <c r="AC92" s="168">
        <f t="shared" si="103"/>
        <v>5</v>
      </c>
      <c r="AD92" s="168">
        <f t="shared" si="103"/>
        <v>4</v>
      </c>
      <c r="AE92" s="225">
        <f>SUM(AF92:AM92)</f>
        <v>50</v>
      </c>
      <c r="AF92" s="226">
        <f>COUNTIF(AF79:AF90,4)</f>
        <v>6</v>
      </c>
      <c r="AG92" s="226">
        <f t="shared" ref="AG92:AM92" si="104">COUNTIF(AG79:AG90,4)</f>
        <v>6</v>
      </c>
      <c r="AH92" s="226">
        <f t="shared" si="104"/>
        <v>10</v>
      </c>
      <c r="AI92" s="226">
        <f t="shared" si="104"/>
        <v>6</v>
      </c>
      <c r="AJ92" s="226">
        <f t="shared" si="104"/>
        <v>7</v>
      </c>
      <c r="AK92" s="226">
        <f t="shared" si="104"/>
        <v>1</v>
      </c>
      <c r="AL92" s="226">
        <f t="shared" si="104"/>
        <v>7</v>
      </c>
      <c r="AM92" s="226">
        <f t="shared" si="104"/>
        <v>7</v>
      </c>
      <c r="AN92" s="166">
        <f>SUM(D92,K92,V92,AE92)</f>
        <v>170</v>
      </c>
    </row>
    <row r="93" spans="1:40" ht="19.5" thickBot="1" x14ac:dyDescent="0.35">
      <c r="A93" s="346" t="s">
        <v>6</v>
      </c>
      <c r="B93" s="347"/>
      <c r="C93" s="348"/>
      <c r="D93" s="118">
        <f t="shared" si="99"/>
        <v>3</v>
      </c>
      <c r="E93" s="22">
        <f>COUNTIF(E79:E90,3)</f>
        <v>0</v>
      </c>
      <c r="F93" s="22">
        <f>COUNTIF(F79:F90,3)</f>
        <v>0</v>
      </c>
      <c r="G93" s="33">
        <f>COUNTIF(G79:G90,3)</f>
        <v>1</v>
      </c>
      <c r="H93" s="33">
        <f t="shared" ref="H93" si="105">COUNTIF(H79:H90,3)</f>
        <v>0</v>
      </c>
      <c r="I93" s="33">
        <f t="shared" ref="I93:J93" si="106">COUNTIF(I79:I90,3)</f>
        <v>2</v>
      </c>
      <c r="J93" s="33">
        <f t="shared" si="106"/>
        <v>0</v>
      </c>
      <c r="K93" s="112">
        <f>SUM(L93:V93)</f>
        <v>0</v>
      </c>
      <c r="L93" s="81">
        <f>COUNTIF(L79:L90,3)</f>
        <v>0</v>
      </c>
      <c r="M93" s="81">
        <f t="shared" ref="M93:U93" si="107">COUNTIF(M79:M90,3)</f>
        <v>0</v>
      </c>
      <c r="N93" s="81">
        <f t="shared" si="107"/>
        <v>0</v>
      </c>
      <c r="O93" s="81">
        <f t="shared" si="107"/>
        <v>0</v>
      </c>
      <c r="P93" s="81">
        <f t="shared" si="107"/>
        <v>0</v>
      </c>
      <c r="Q93" s="81">
        <f t="shared" si="107"/>
        <v>0</v>
      </c>
      <c r="R93" s="81">
        <f t="shared" si="107"/>
        <v>0</v>
      </c>
      <c r="S93" s="81">
        <f t="shared" si="107"/>
        <v>0</v>
      </c>
      <c r="T93" s="81">
        <f t="shared" si="107"/>
        <v>0</v>
      </c>
      <c r="U93" s="77">
        <f t="shared" si="107"/>
        <v>0</v>
      </c>
      <c r="V93" s="214">
        <f>SUM(W93:AD93)</f>
        <v>0</v>
      </c>
      <c r="W93" s="168">
        <f>COUNTIF(W79:W90,3)</f>
        <v>0</v>
      </c>
      <c r="X93" s="168">
        <f t="shared" ref="X93:AD93" si="108">COUNTIF(X79:X90,3)</f>
        <v>0</v>
      </c>
      <c r="Y93" s="168">
        <f t="shared" si="108"/>
        <v>0</v>
      </c>
      <c r="Z93" s="168">
        <f t="shared" si="108"/>
        <v>0</v>
      </c>
      <c r="AA93" s="168">
        <f t="shared" si="108"/>
        <v>0</v>
      </c>
      <c r="AB93" s="168">
        <f t="shared" si="108"/>
        <v>0</v>
      </c>
      <c r="AC93" s="168">
        <f t="shared" si="108"/>
        <v>0</v>
      </c>
      <c r="AD93" s="168">
        <f t="shared" si="108"/>
        <v>0</v>
      </c>
      <c r="AE93" s="225">
        <f>SUM(AF93:AM93)</f>
        <v>0</v>
      </c>
      <c r="AF93" s="226">
        <f>COUNTIF(AF79:AF90,3)</f>
        <v>0</v>
      </c>
      <c r="AG93" s="226">
        <f t="shared" ref="AG93:AM93" si="109">COUNTIF(AG79:AG90,3)</f>
        <v>0</v>
      </c>
      <c r="AH93" s="226">
        <f t="shared" si="109"/>
        <v>0</v>
      </c>
      <c r="AI93" s="226">
        <f t="shared" si="109"/>
        <v>0</v>
      </c>
      <c r="AJ93" s="226">
        <f t="shared" si="109"/>
        <v>0</v>
      </c>
      <c r="AK93" s="226">
        <f t="shared" si="109"/>
        <v>0</v>
      </c>
      <c r="AL93" s="226">
        <f t="shared" si="109"/>
        <v>0</v>
      </c>
      <c r="AM93" s="226">
        <f t="shared" si="109"/>
        <v>0</v>
      </c>
      <c r="AN93" s="166">
        <f>SUM(D93,K93,V93,AE93)</f>
        <v>3</v>
      </c>
    </row>
    <row r="94" spans="1:40" ht="19.5" thickBot="1" x14ac:dyDescent="0.35">
      <c r="A94" s="340" t="s">
        <v>7</v>
      </c>
      <c r="B94" s="341"/>
      <c r="C94" s="342"/>
      <c r="D94" s="118">
        <f t="shared" si="99"/>
        <v>0</v>
      </c>
      <c r="E94" s="23">
        <f>COUNTIF(E79:E90,2)</f>
        <v>0</v>
      </c>
      <c r="F94" s="23">
        <f t="shared" ref="F94:J94" si="110">COUNTIF(F79:F90,2)</f>
        <v>0</v>
      </c>
      <c r="G94" s="23">
        <f t="shared" si="110"/>
        <v>0</v>
      </c>
      <c r="H94" s="23">
        <f t="shared" si="110"/>
        <v>0</v>
      </c>
      <c r="I94" s="23">
        <f t="shared" si="110"/>
        <v>0</v>
      </c>
      <c r="J94" s="23">
        <f t="shared" si="110"/>
        <v>0</v>
      </c>
      <c r="K94" s="112">
        <f>SUM(L94:V94)</f>
        <v>0</v>
      </c>
      <c r="L94" s="82">
        <f>COUNTIF(L79:L90,2)</f>
        <v>0</v>
      </c>
      <c r="M94" s="82">
        <f t="shared" ref="M94:U94" si="111">COUNTIF(M79:M90,2)</f>
        <v>0</v>
      </c>
      <c r="N94" s="82">
        <f t="shared" si="111"/>
        <v>0</v>
      </c>
      <c r="O94" s="82">
        <f t="shared" si="111"/>
        <v>0</v>
      </c>
      <c r="P94" s="82">
        <f t="shared" si="111"/>
        <v>0</v>
      </c>
      <c r="Q94" s="82">
        <f t="shared" si="111"/>
        <v>0</v>
      </c>
      <c r="R94" s="82">
        <f t="shared" si="111"/>
        <v>0</v>
      </c>
      <c r="S94" s="82">
        <f t="shared" si="111"/>
        <v>0</v>
      </c>
      <c r="T94" s="82">
        <f t="shared" si="111"/>
        <v>0</v>
      </c>
      <c r="U94" s="78">
        <f t="shared" si="111"/>
        <v>0</v>
      </c>
      <c r="V94" s="214">
        <f>SUM(W94:AD94)</f>
        <v>0</v>
      </c>
      <c r="W94" s="168">
        <f>COUNTIF(W79:W90,2)</f>
        <v>0</v>
      </c>
      <c r="X94" s="168">
        <f t="shared" ref="X94:AD94" si="112">COUNTIF(X79:X90,2)</f>
        <v>0</v>
      </c>
      <c r="Y94" s="168">
        <f t="shared" si="112"/>
        <v>0</v>
      </c>
      <c r="Z94" s="168">
        <f t="shared" si="112"/>
        <v>0</v>
      </c>
      <c r="AA94" s="168">
        <f t="shared" si="112"/>
        <v>0</v>
      </c>
      <c r="AB94" s="168">
        <f t="shared" si="112"/>
        <v>0</v>
      </c>
      <c r="AC94" s="168">
        <f t="shared" si="112"/>
        <v>0</v>
      </c>
      <c r="AD94" s="168">
        <f t="shared" si="112"/>
        <v>0</v>
      </c>
      <c r="AE94" s="225">
        <f>SUM(AF94:AM94)</f>
        <v>0</v>
      </c>
      <c r="AF94" s="226">
        <f>COUNTIF(AF79:AF90,2)</f>
        <v>0</v>
      </c>
      <c r="AG94" s="226">
        <f t="shared" ref="AG94:AM94" si="113">COUNTIF(AG79:AG90,2)</f>
        <v>0</v>
      </c>
      <c r="AH94" s="226">
        <f t="shared" si="113"/>
        <v>0</v>
      </c>
      <c r="AI94" s="226">
        <f t="shared" si="113"/>
        <v>0</v>
      </c>
      <c r="AJ94" s="226">
        <f t="shared" si="113"/>
        <v>0</v>
      </c>
      <c r="AK94" s="226">
        <f t="shared" si="113"/>
        <v>0</v>
      </c>
      <c r="AL94" s="226">
        <f t="shared" si="113"/>
        <v>0</v>
      </c>
      <c r="AM94" s="226">
        <f t="shared" si="113"/>
        <v>0</v>
      </c>
      <c r="AN94" s="166">
        <f>SUM(D94,K94,V94)</f>
        <v>0</v>
      </c>
    </row>
    <row r="95" spans="1:40" ht="25.5" customHeight="1" thickBot="1" x14ac:dyDescent="0.35">
      <c r="A95" s="343" t="s">
        <v>8</v>
      </c>
      <c r="B95" s="344"/>
      <c r="C95" s="345"/>
      <c r="D95" s="19">
        <f>(D79+D80+D82+D81+D83+D84+D85+D86+D87+D88+D89+D90)/12</f>
        <v>4.583333333333333</v>
      </c>
      <c r="E95" s="50">
        <f>AVERAGE(E79:E90)</f>
        <v>4.666666666666667</v>
      </c>
      <c r="F95" s="50">
        <f>AVERAGE(F79:F90)</f>
        <v>4.416666666666667</v>
      </c>
      <c r="G95" s="50">
        <f t="shared" ref="G95:J95" si="114">AVERAGE(G79:G90)</f>
        <v>4.833333333333333</v>
      </c>
      <c r="H95" s="50">
        <f t="shared" si="114"/>
        <v>4.583333333333333</v>
      </c>
      <c r="I95" s="50">
        <f t="shared" si="114"/>
        <v>4.333333333333333</v>
      </c>
      <c r="J95" s="71">
        <f t="shared" si="114"/>
        <v>4.666666666666667</v>
      </c>
      <c r="K95" s="19">
        <f>(K79+K80+K82+K81+K83+K84+K85+K86+K87+K88+K89+K90)/12</f>
        <v>4.6833333333333345</v>
      </c>
      <c r="L95" s="83">
        <f>AVERAGE(L79:L90)</f>
        <v>4.666666666666667</v>
      </c>
      <c r="M95" s="83">
        <f t="shared" ref="M95:V95" si="115">AVERAGE(M79:M90)</f>
        <v>4.583333333333333</v>
      </c>
      <c r="N95" s="83">
        <f t="shared" si="115"/>
        <v>4.916666666666667</v>
      </c>
      <c r="O95" s="83">
        <f t="shared" si="115"/>
        <v>4.583333333333333</v>
      </c>
      <c r="P95" s="83">
        <f t="shared" si="115"/>
        <v>4.666666666666667</v>
      </c>
      <c r="Q95" s="83">
        <f t="shared" si="115"/>
        <v>4.75</v>
      </c>
      <c r="R95" s="83">
        <f t="shared" si="115"/>
        <v>4.666666666666667</v>
      </c>
      <c r="S95" s="83">
        <f t="shared" si="115"/>
        <v>4.666666666666667</v>
      </c>
      <c r="T95" s="83">
        <f t="shared" si="115"/>
        <v>4.666666666666667</v>
      </c>
      <c r="U95" s="79">
        <f t="shared" si="115"/>
        <v>4.666666666666667</v>
      </c>
      <c r="V95" s="207">
        <f t="shared" si="115"/>
        <v>4.697916666666667</v>
      </c>
      <c r="W95" s="170">
        <f>AVERAGE(W79:W90)</f>
        <v>4.916666666666667</v>
      </c>
      <c r="X95" s="170">
        <f>AVERAGE(X79:X90)</f>
        <v>4.583333333333333</v>
      </c>
      <c r="Y95" s="170">
        <f t="shared" ref="Y95:AD95" si="116">AVERAGE(Y79:Y90)</f>
        <v>4.583333333333333</v>
      </c>
      <c r="Z95" s="170">
        <f t="shared" si="116"/>
        <v>4.916666666666667</v>
      </c>
      <c r="AA95" s="170">
        <f t="shared" si="116"/>
        <v>4.666666666666667</v>
      </c>
      <c r="AB95" s="170">
        <f t="shared" si="116"/>
        <v>4.666666666666667</v>
      </c>
      <c r="AC95" s="170">
        <f t="shared" si="116"/>
        <v>4.583333333333333</v>
      </c>
      <c r="AD95" s="170">
        <f t="shared" si="116"/>
        <v>4.666666666666667</v>
      </c>
      <c r="AE95" s="207">
        <f>SUM(AE79+AE80+AE81+AE82+AE83+AE84+AE85+AE86+AE87+AE88+AE89+AE90)/12</f>
        <v>4.479166666666667</v>
      </c>
      <c r="AF95" s="227">
        <f>AVERAGE(AF79:AF90)</f>
        <v>4.5</v>
      </c>
      <c r="AG95" s="227">
        <f>AVERAGE(AG79:AG90)</f>
        <v>4.5</v>
      </c>
      <c r="AH95" s="227">
        <f t="shared" ref="AH95:AM95" si="117">AVERAGE(AH79:AH90)</f>
        <v>4.166666666666667</v>
      </c>
      <c r="AI95" s="227">
        <f t="shared" si="117"/>
        <v>4.5</v>
      </c>
      <c r="AJ95" s="228">
        <f t="shared" si="117"/>
        <v>4.416666666666667</v>
      </c>
      <c r="AK95" s="227">
        <f t="shared" si="117"/>
        <v>4.916666666666667</v>
      </c>
      <c r="AL95" s="227">
        <f t="shared" si="117"/>
        <v>4.416666666666667</v>
      </c>
      <c r="AM95" s="227">
        <f t="shared" si="117"/>
        <v>4.416666666666667</v>
      </c>
      <c r="AN95" s="141">
        <f>(AN91*5+AN92*4+AN93*3+AN94*2)/SUM(AN91:AN94)</f>
        <v>4.6333333333333337</v>
      </c>
    </row>
    <row r="99" spans="1:40" ht="27" x14ac:dyDescent="0.35">
      <c r="A99" s="382" t="s">
        <v>84</v>
      </c>
      <c r="B99" s="382"/>
      <c r="C99" s="382"/>
      <c r="D99" s="382"/>
      <c r="E99" s="382"/>
      <c r="F99" s="382"/>
      <c r="G99" s="382"/>
      <c r="H99" s="382"/>
      <c r="I99" s="382"/>
      <c r="J99" s="382"/>
      <c r="K99" s="382"/>
      <c r="L99" s="382"/>
      <c r="M99" s="382"/>
      <c r="N99" s="382"/>
      <c r="O99" s="382"/>
      <c r="P99" s="382"/>
      <c r="Q99" s="382"/>
      <c r="R99" s="382"/>
      <c r="S99" s="382"/>
      <c r="T99" s="382"/>
      <c r="U99" s="382"/>
      <c r="V99" s="382"/>
      <c r="W99" s="382"/>
      <c r="X99" s="382"/>
      <c r="Y99" s="382"/>
      <c r="Z99" s="382"/>
      <c r="AA99" s="382"/>
      <c r="AB99" s="382"/>
      <c r="AC99" s="382"/>
      <c r="AD99" s="382"/>
      <c r="AE99" s="382"/>
      <c r="AF99" s="382"/>
    </row>
    <row r="100" spans="1:40" ht="19.5" thickBot="1" x14ac:dyDescent="0.35"/>
    <row r="101" spans="1:40" ht="23.25" customHeight="1" x14ac:dyDescent="0.3">
      <c r="A101" s="360" t="s">
        <v>0</v>
      </c>
      <c r="B101" s="363" t="s">
        <v>1</v>
      </c>
      <c r="C101" s="363" t="s">
        <v>2</v>
      </c>
      <c r="D101" s="368" t="s">
        <v>3</v>
      </c>
      <c r="E101" s="368"/>
      <c r="F101" s="368"/>
      <c r="G101" s="368"/>
      <c r="H101" s="368"/>
      <c r="I101" s="368"/>
      <c r="J101" s="368"/>
      <c r="K101" s="368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  <c r="AA101" s="368"/>
      <c r="AB101" s="368"/>
      <c r="AC101" s="368"/>
      <c r="AD101" s="368"/>
      <c r="AE101" s="242"/>
      <c r="AF101" s="242"/>
      <c r="AG101" s="242"/>
      <c r="AH101" s="242"/>
      <c r="AI101" s="242"/>
      <c r="AJ101" s="242"/>
      <c r="AK101" s="242"/>
      <c r="AL101" s="242"/>
      <c r="AM101" s="243"/>
      <c r="AN101" s="326" t="s">
        <v>34</v>
      </c>
    </row>
    <row r="102" spans="1:40" ht="90" customHeight="1" thickBot="1" x14ac:dyDescent="0.35">
      <c r="A102" s="361"/>
      <c r="B102" s="364"/>
      <c r="C102" s="364"/>
      <c r="D102" s="366" t="s">
        <v>17</v>
      </c>
      <c r="E102" s="146" t="s">
        <v>14</v>
      </c>
      <c r="F102" s="146" t="s">
        <v>11</v>
      </c>
      <c r="G102" s="146" t="s">
        <v>12</v>
      </c>
      <c r="H102" s="146" t="s">
        <v>13</v>
      </c>
      <c r="I102" s="142" t="s">
        <v>18</v>
      </c>
      <c r="J102" s="69" t="s">
        <v>19</v>
      </c>
      <c r="K102" s="337" t="s">
        <v>29</v>
      </c>
      <c r="L102" s="143" t="s">
        <v>23</v>
      </c>
      <c r="M102" s="179" t="s">
        <v>31</v>
      </c>
      <c r="N102" s="144" t="s">
        <v>27</v>
      </c>
      <c r="O102" s="143" t="s">
        <v>22</v>
      </c>
      <c r="P102" s="179" t="s">
        <v>152</v>
      </c>
      <c r="Q102" s="144" t="s">
        <v>26</v>
      </c>
      <c r="R102" s="143" t="s">
        <v>25</v>
      </c>
      <c r="S102" s="144" t="s">
        <v>154</v>
      </c>
      <c r="T102" s="144" t="s">
        <v>53</v>
      </c>
      <c r="U102" s="144" t="s">
        <v>32</v>
      </c>
      <c r="V102" s="403" t="s">
        <v>36</v>
      </c>
      <c r="W102" s="187" t="s">
        <v>44</v>
      </c>
      <c r="X102" s="188" t="s">
        <v>39</v>
      </c>
      <c r="Y102" s="188" t="s">
        <v>51</v>
      </c>
      <c r="Z102" s="188" t="s">
        <v>12</v>
      </c>
      <c r="AA102" s="188" t="s">
        <v>46</v>
      </c>
      <c r="AB102" s="188" t="s">
        <v>41</v>
      </c>
      <c r="AC102" s="188" t="s">
        <v>49</v>
      </c>
      <c r="AD102" s="189" t="s">
        <v>47</v>
      </c>
      <c r="AE102" s="405" t="s">
        <v>60</v>
      </c>
      <c r="AF102" s="217" t="s">
        <v>59</v>
      </c>
      <c r="AG102" s="217" t="s">
        <v>61</v>
      </c>
      <c r="AH102" s="217" t="s">
        <v>65</v>
      </c>
      <c r="AI102" s="217" t="s">
        <v>71</v>
      </c>
      <c r="AJ102" s="217" t="s">
        <v>73</v>
      </c>
      <c r="AK102" s="217" t="s">
        <v>69</v>
      </c>
      <c r="AL102" s="217" t="s">
        <v>77</v>
      </c>
      <c r="AM102" s="235" t="s">
        <v>80</v>
      </c>
      <c r="AN102" s="327"/>
    </row>
    <row r="103" spans="1:40" ht="23.25" thickBot="1" x14ac:dyDescent="0.35">
      <c r="A103" s="361"/>
      <c r="B103" s="364"/>
      <c r="C103" s="364"/>
      <c r="D103" s="366"/>
      <c r="E103" s="351" t="s">
        <v>10</v>
      </c>
      <c r="F103" s="352"/>
      <c r="G103" s="352"/>
      <c r="H103" s="352"/>
      <c r="I103" s="352"/>
      <c r="J103" s="353"/>
      <c r="K103" s="337"/>
      <c r="L103" s="329" t="s">
        <v>28</v>
      </c>
      <c r="M103" s="330"/>
      <c r="N103" s="330"/>
      <c r="O103" s="330"/>
      <c r="P103" s="330"/>
      <c r="Q103" s="330"/>
      <c r="R103" s="330"/>
      <c r="S103" s="330"/>
      <c r="T103" s="330"/>
      <c r="U103" s="330"/>
      <c r="V103" s="403"/>
      <c r="W103" s="402" t="s">
        <v>37</v>
      </c>
      <c r="X103" s="402"/>
      <c r="Y103" s="402"/>
      <c r="Z103" s="402"/>
      <c r="AA103" s="402"/>
      <c r="AB103" s="402"/>
      <c r="AC103" s="402"/>
      <c r="AD103" s="402"/>
      <c r="AE103" s="405"/>
      <c r="AF103" s="406" t="s">
        <v>58</v>
      </c>
      <c r="AG103" s="406"/>
      <c r="AH103" s="406"/>
      <c r="AI103" s="406"/>
      <c r="AJ103" s="406"/>
      <c r="AK103" s="406"/>
      <c r="AL103" s="406"/>
      <c r="AM103" s="406"/>
      <c r="AN103" s="327"/>
    </row>
    <row r="104" spans="1:40" s="16" customFormat="1" ht="77.25" customHeight="1" thickBot="1" x14ac:dyDescent="0.3">
      <c r="A104" s="362"/>
      <c r="B104" s="365"/>
      <c r="C104" s="365"/>
      <c r="D104" s="367"/>
      <c r="E104" s="37">
        <v>45231</v>
      </c>
      <c r="F104" s="37">
        <v>45248</v>
      </c>
      <c r="G104" s="37" t="s">
        <v>146</v>
      </c>
      <c r="H104" s="37">
        <v>45260</v>
      </c>
      <c r="I104" s="37">
        <v>45280</v>
      </c>
      <c r="J104" s="51">
        <v>45283</v>
      </c>
      <c r="K104" s="404"/>
      <c r="L104" s="119">
        <v>45416</v>
      </c>
      <c r="M104" s="119">
        <v>45450</v>
      </c>
      <c r="N104" s="119">
        <v>45454</v>
      </c>
      <c r="O104" s="295">
        <v>45457</v>
      </c>
      <c r="P104" s="119">
        <v>45457</v>
      </c>
      <c r="Q104" s="119">
        <v>45461</v>
      </c>
      <c r="R104" s="119">
        <v>45463</v>
      </c>
      <c r="S104" s="119">
        <v>45465</v>
      </c>
      <c r="T104" s="139">
        <v>45467</v>
      </c>
      <c r="U104" s="139">
        <v>45471</v>
      </c>
      <c r="V104" s="403"/>
      <c r="W104" s="302">
        <v>45560</v>
      </c>
      <c r="X104" s="301">
        <v>45633</v>
      </c>
      <c r="Y104" s="301">
        <v>45643</v>
      </c>
      <c r="Z104" s="301">
        <v>45624</v>
      </c>
      <c r="AA104" s="301">
        <v>45637</v>
      </c>
      <c r="AB104" s="301">
        <v>45651</v>
      </c>
      <c r="AC104" s="301">
        <v>45650</v>
      </c>
      <c r="AD104" s="301">
        <v>45644</v>
      </c>
      <c r="AE104" s="405"/>
      <c r="AF104" s="288"/>
      <c r="AG104" s="286"/>
      <c r="AH104" s="286"/>
      <c r="AI104" s="286"/>
      <c r="AJ104" s="286"/>
      <c r="AK104" s="286"/>
      <c r="AL104" s="286"/>
      <c r="AM104" s="286"/>
      <c r="AN104" s="328"/>
    </row>
    <row r="105" spans="1:40" s="24" customFormat="1" ht="19.5" thickBot="1" x14ac:dyDescent="0.35">
      <c r="A105" s="29">
        <v>1</v>
      </c>
      <c r="B105" s="290" t="s">
        <v>87</v>
      </c>
      <c r="C105" s="290" t="s">
        <v>131</v>
      </c>
      <c r="D105" s="102">
        <f t="shared" ref="D105:D114" si="118">AVERAGE(E105:J105)</f>
        <v>5</v>
      </c>
      <c r="E105" s="57">
        <v>5</v>
      </c>
      <c r="F105" s="57">
        <v>5</v>
      </c>
      <c r="G105" s="34">
        <v>5</v>
      </c>
      <c r="H105" s="34">
        <v>5</v>
      </c>
      <c r="I105" s="34">
        <v>5</v>
      </c>
      <c r="J105" s="52">
        <v>5</v>
      </c>
      <c r="K105" s="113">
        <f t="shared" ref="K105:K114" si="119">AVERAGE(L105:U105)</f>
        <v>5</v>
      </c>
      <c r="L105" s="120">
        <v>5</v>
      </c>
      <c r="M105" s="126">
        <v>5</v>
      </c>
      <c r="N105" s="127">
        <v>5</v>
      </c>
      <c r="O105" s="127">
        <v>5</v>
      </c>
      <c r="P105" s="127">
        <v>5</v>
      </c>
      <c r="Q105" s="127">
        <v>5</v>
      </c>
      <c r="R105" s="127">
        <v>5</v>
      </c>
      <c r="S105" s="127">
        <v>5</v>
      </c>
      <c r="T105" s="137">
        <v>5</v>
      </c>
      <c r="U105" s="137">
        <v>5</v>
      </c>
      <c r="V105" s="186">
        <f t="shared" ref="V105:V114" si="120">AVERAGE(W105:AD105)</f>
        <v>5</v>
      </c>
      <c r="W105" s="185">
        <v>5</v>
      </c>
      <c r="X105" s="152">
        <v>5</v>
      </c>
      <c r="Y105" s="152">
        <v>5</v>
      </c>
      <c r="Z105" s="152">
        <v>5</v>
      </c>
      <c r="AA105" s="152">
        <v>5</v>
      </c>
      <c r="AB105" s="152">
        <v>5</v>
      </c>
      <c r="AC105" s="152">
        <v>5</v>
      </c>
      <c r="AD105" s="152">
        <v>5</v>
      </c>
      <c r="AE105" s="236">
        <f t="shared" ref="AE105:AE114" si="121">AVERAGE(AF105:AM105)</f>
        <v>4.625</v>
      </c>
      <c r="AF105" s="237">
        <v>4</v>
      </c>
      <c r="AG105" s="221">
        <v>5</v>
      </c>
      <c r="AH105" s="221">
        <v>4</v>
      </c>
      <c r="AI105" s="221">
        <v>4</v>
      </c>
      <c r="AJ105" s="221">
        <v>5</v>
      </c>
      <c r="AK105" s="221">
        <v>5</v>
      </c>
      <c r="AL105" s="221">
        <v>5</v>
      </c>
      <c r="AM105" s="221">
        <v>5</v>
      </c>
      <c r="AN105" s="140">
        <f>AVERAGE(E105:J105,L105:U105,W105:AD105,AF105:AM105)</f>
        <v>4.90625</v>
      </c>
    </row>
    <row r="106" spans="1:40" ht="20.25" customHeight="1" thickBot="1" x14ac:dyDescent="0.35">
      <c r="A106" s="30">
        <v>2</v>
      </c>
      <c r="B106" s="290" t="s">
        <v>9</v>
      </c>
      <c r="C106" s="290" t="s">
        <v>132</v>
      </c>
      <c r="D106" s="102">
        <f t="shared" si="118"/>
        <v>4.166666666666667</v>
      </c>
      <c r="E106" s="36">
        <v>4</v>
      </c>
      <c r="F106" s="36">
        <v>4</v>
      </c>
      <c r="G106" s="36">
        <v>4</v>
      </c>
      <c r="H106" s="36">
        <v>4</v>
      </c>
      <c r="I106" s="36">
        <v>4</v>
      </c>
      <c r="J106" s="53">
        <v>5</v>
      </c>
      <c r="K106" s="113">
        <f t="shared" si="119"/>
        <v>5</v>
      </c>
      <c r="L106" s="74">
        <v>5</v>
      </c>
      <c r="M106" s="75">
        <v>5</v>
      </c>
      <c r="N106" s="124">
        <v>5</v>
      </c>
      <c r="O106" s="124">
        <v>5</v>
      </c>
      <c r="P106" s="124">
        <v>5</v>
      </c>
      <c r="Q106" s="124">
        <v>5</v>
      </c>
      <c r="R106" s="124">
        <v>5</v>
      </c>
      <c r="S106" s="124">
        <v>5</v>
      </c>
      <c r="T106" s="135">
        <v>5</v>
      </c>
      <c r="U106" s="135">
        <v>5</v>
      </c>
      <c r="V106" s="186">
        <f t="shared" si="120"/>
        <v>5</v>
      </c>
      <c r="W106" s="185">
        <v>5</v>
      </c>
      <c r="X106" s="152">
        <v>5</v>
      </c>
      <c r="Y106" s="152">
        <v>5</v>
      </c>
      <c r="Z106" s="152">
        <v>5</v>
      </c>
      <c r="AA106" s="152">
        <v>5</v>
      </c>
      <c r="AB106" s="152">
        <v>5</v>
      </c>
      <c r="AC106" s="152">
        <v>5</v>
      </c>
      <c r="AD106" s="152">
        <v>5</v>
      </c>
      <c r="AE106" s="236">
        <f t="shared" si="121"/>
        <v>4.75</v>
      </c>
      <c r="AF106" s="237">
        <v>5</v>
      </c>
      <c r="AG106" s="221">
        <v>5</v>
      </c>
      <c r="AH106" s="221">
        <v>5</v>
      </c>
      <c r="AI106" s="221">
        <v>5</v>
      </c>
      <c r="AJ106" s="221">
        <v>5</v>
      </c>
      <c r="AK106" s="221">
        <v>4</v>
      </c>
      <c r="AL106" s="221">
        <v>5</v>
      </c>
      <c r="AM106" s="221">
        <v>4</v>
      </c>
      <c r="AN106" s="140">
        <f t="shared" ref="AN106:AN114" si="122">AVERAGE(E106:J106,L106:U106,W106:AD106,AF106:AM106)</f>
        <v>4.78125</v>
      </c>
    </row>
    <row r="107" spans="1:40" s="24" customFormat="1" ht="19.5" thickBot="1" x14ac:dyDescent="0.35">
      <c r="A107" s="30">
        <v>3</v>
      </c>
      <c r="B107" s="290" t="s">
        <v>87</v>
      </c>
      <c r="C107" s="290" t="s">
        <v>133</v>
      </c>
      <c r="D107" s="102">
        <f t="shared" si="118"/>
        <v>4.166666666666667</v>
      </c>
      <c r="E107" s="36">
        <v>4</v>
      </c>
      <c r="F107" s="36">
        <v>4</v>
      </c>
      <c r="G107" s="36">
        <v>5</v>
      </c>
      <c r="H107" s="36">
        <v>4</v>
      </c>
      <c r="I107" s="36">
        <v>4</v>
      </c>
      <c r="J107" s="53">
        <v>4</v>
      </c>
      <c r="K107" s="113">
        <f t="shared" si="119"/>
        <v>4.2</v>
      </c>
      <c r="L107" s="74">
        <v>4</v>
      </c>
      <c r="M107" s="75">
        <v>5</v>
      </c>
      <c r="N107" s="124">
        <v>4</v>
      </c>
      <c r="O107" s="124">
        <v>4</v>
      </c>
      <c r="P107" s="124">
        <v>4</v>
      </c>
      <c r="Q107" s="124">
        <v>4</v>
      </c>
      <c r="R107" s="124">
        <v>5</v>
      </c>
      <c r="S107" s="124">
        <v>4</v>
      </c>
      <c r="T107" s="135">
        <v>4</v>
      </c>
      <c r="U107" s="135">
        <v>4</v>
      </c>
      <c r="V107" s="186">
        <f t="shared" si="120"/>
        <v>4.875</v>
      </c>
      <c r="W107" s="185">
        <v>4</v>
      </c>
      <c r="X107" s="152">
        <v>5</v>
      </c>
      <c r="Y107" s="152">
        <v>5</v>
      </c>
      <c r="Z107" s="152">
        <v>5</v>
      </c>
      <c r="AA107" s="152">
        <v>5</v>
      </c>
      <c r="AB107" s="152">
        <v>5</v>
      </c>
      <c r="AC107" s="152">
        <v>5</v>
      </c>
      <c r="AD107" s="152">
        <v>5</v>
      </c>
      <c r="AE107" s="236">
        <f t="shared" si="121"/>
        <v>4.125</v>
      </c>
      <c r="AF107" s="237">
        <v>4</v>
      </c>
      <c r="AG107" s="221">
        <v>4</v>
      </c>
      <c r="AH107" s="221">
        <v>4</v>
      </c>
      <c r="AI107" s="221">
        <v>4</v>
      </c>
      <c r="AJ107" s="221">
        <v>5</v>
      </c>
      <c r="AK107" s="221">
        <v>4</v>
      </c>
      <c r="AL107" s="221">
        <v>4</v>
      </c>
      <c r="AM107" s="221">
        <v>4</v>
      </c>
      <c r="AN107" s="140">
        <f t="shared" si="122"/>
        <v>4.34375</v>
      </c>
    </row>
    <row r="108" spans="1:40" ht="20.25" customHeight="1" thickBot="1" x14ac:dyDescent="0.35">
      <c r="A108" s="30">
        <v>4</v>
      </c>
      <c r="B108" s="290" t="s">
        <v>87</v>
      </c>
      <c r="C108" s="290" t="s">
        <v>134</v>
      </c>
      <c r="D108" s="102">
        <f t="shared" si="118"/>
        <v>3.8333333333333335</v>
      </c>
      <c r="E108" s="36">
        <v>4</v>
      </c>
      <c r="F108" s="36">
        <v>3</v>
      </c>
      <c r="G108" s="36">
        <v>5</v>
      </c>
      <c r="H108" s="36">
        <v>4</v>
      </c>
      <c r="I108" s="36">
        <v>3</v>
      </c>
      <c r="J108" s="53">
        <v>4</v>
      </c>
      <c r="K108" s="113">
        <f t="shared" si="119"/>
        <v>4.0999999999999996</v>
      </c>
      <c r="L108" s="74">
        <v>4</v>
      </c>
      <c r="M108" s="75">
        <v>5</v>
      </c>
      <c r="N108" s="124">
        <v>4</v>
      </c>
      <c r="O108" s="124">
        <v>4</v>
      </c>
      <c r="P108" s="124">
        <v>4</v>
      </c>
      <c r="Q108" s="124">
        <v>4</v>
      </c>
      <c r="R108" s="124">
        <v>4</v>
      </c>
      <c r="S108" s="124">
        <v>4</v>
      </c>
      <c r="T108" s="135">
        <v>4</v>
      </c>
      <c r="U108" s="135">
        <v>4</v>
      </c>
      <c r="V108" s="186">
        <f t="shared" si="120"/>
        <v>4.125</v>
      </c>
      <c r="W108" s="185">
        <v>4</v>
      </c>
      <c r="X108" s="152">
        <v>4</v>
      </c>
      <c r="Y108" s="152">
        <v>4</v>
      </c>
      <c r="Z108" s="152">
        <v>5</v>
      </c>
      <c r="AA108" s="152">
        <v>4</v>
      </c>
      <c r="AB108" s="152">
        <v>4</v>
      </c>
      <c r="AC108" s="152">
        <v>4</v>
      </c>
      <c r="AD108" s="152">
        <v>4</v>
      </c>
      <c r="AE108" s="236">
        <f t="shared" si="121"/>
        <v>3.75</v>
      </c>
      <c r="AF108" s="237">
        <v>4</v>
      </c>
      <c r="AG108" s="221">
        <v>3</v>
      </c>
      <c r="AH108" s="221">
        <v>3</v>
      </c>
      <c r="AI108" s="221">
        <v>4</v>
      </c>
      <c r="AJ108" s="221">
        <v>5</v>
      </c>
      <c r="AK108" s="221">
        <v>3</v>
      </c>
      <c r="AL108" s="221">
        <v>4</v>
      </c>
      <c r="AM108" s="221">
        <v>4</v>
      </c>
      <c r="AN108" s="140">
        <f t="shared" si="122"/>
        <v>3.96875</v>
      </c>
    </row>
    <row r="109" spans="1:40" s="24" customFormat="1" ht="19.5" thickBot="1" x14ac:dyDescent="0.35">
      <c r="A109" s="30">
        <v>5</v>
      </c>
      <c r="B109" s="290" t="s">
        <v>87</v>
      </c>
      <c r="C109" s="290" t="s">
        <v>135</v>
      </c>
      <c r="D109" s="102">
        <f t="shared" si="118"/>
        <v>5</v>
      </c>
      <c r="E109" s="36">
        <v>5</v>
      </c>
      <c r="F109" s="36">
        <v>5</v>
      </c>
      <c r="G109" s="36">
        <v>5</v>
      </c>
      <c r="H109" s="36">
        <v>5</v>
      </c>
      <c r="I109" s="36">
        <v>5</v>
      </c>
      <c r="J109" s="53">
        <v>5</v>
      </c>
      <c r="K109" s="113">
        <f t="shared" si="119"/>
        <v>5</v>
      </c>
      <c r="L109" s="74">
        <v>5</v>
      </c>
      <c r="M109" s="75">
        <v>5</v>
      </c>
      <c r="N109" s="124">
        <v>5</v>
      </c>
      <c r="O109" s="124">
        <v>5</v>
      </c>
      <c r="P109" s="124">
        <v>5</v>
      </c>
      <c r="Q109" s="124">
        <v>5</v>
      </c>
      <c r="R109" s="124">
        <v>5</v>
      </c>
      <c r="S109" s="124">
        <v>5</v>
      </c>
      <c r="T109" s="135">
        <v>5</v>
      </c>
      <c r="U109" s="135">
        <v>5</v>
      </c>
      <c r="V109" s="186">
        <f t="shared" si="120"/>
        <v>5</v>
      </c>
      <c r="W109" s="185">
        <v>5</v>
      </c>
      <c r="X109" s="152">
        <v>5</v>
      </c>
      <c r="Y109" s="152">
        <v>5</v>
      </c>
      <c r="Z109" s="152">
        <v>5</v>
      </c>
      <c r="AA109" s="152">
        <v>5</v>
      </c>
      <c r="AB109" s="152">
        <v>5</v>
      </c>
      <c r="AC109" s="152">
        <v>5</v>
      </c>
      <c r="AD109" s="152">
        <v>5</v>
      </c>
      <c r="AE109" s="236">
        <f t="shared" si="121"/>
        <v>5</v>
      </c>
      <c r="AF109" s="237">
        <v>5</v>
      </c>
      <c r="AG109" s="221">
        <v>5</v>
      </c>
      <c r="AH109" s="221">
        <v>5</v>
      </c>
      <c r="AI109" s="221">
        <v>5</v>
      </c>
      <c r="AJ109" s="221">
        <v>5</v>
      </c>
      <c r="AK109" s="221">
        <v>5</v>
      </c>
      <c r="AL109" s="221">
        <v>5</v>
      </c>
      <c r="AM109" s="221">
        <v>5</v>
      </c>
      <c r="AN109" s="140">
        <f t="shared" si="122"/>
        <v>5</v>
      </c>
    </row>
    <row r="110" spans="1:40" ht="18" customHeight="1" thickBot="1" x14ac:dyDescent="0.35">
      <c r="A110" s="30">
        <v>6</v>
      </c>
      <c r="B110" s="290" t="s">
        <v>87</v>
      </c>
      <c r="C110" s="290" t="s">
        <v>136</v>
      </c>
      <c r="D110" s="102">
        <f t="shared" si="118"/>
        <v>5</v>
      </c>
      <c r="E110" s="36">
        <v>5</v>
      </c>
      <c r="F110" s="36">
        <v>5</v>
      </c>
      <c r="G110" s="36">
        <v>5</v>
      </c>
      <c r="H110" s="36">
        <v>5</v>
      </c>
      <c r="I110" s="36">
        <v>5</v>
      </c>
      <c r="J110" s="53">
        <v>5</v>
      </c>
      <c r="K110" s="113">
        <f t="shared" si="119"/>
        <v>5</v>
      </c>
      <c r="L110" s="74">
        <v>5</v>
      </c>
      <c r="M110" s="75">
        <v>5</v>
      </c>
      <c r="N110" s="124">
        <v>5</v>
      </c>
      <c r="O110" s="124">
        <v>5</v>
      </c>
      <c r="P110" s="124">
        <v>5</v>
      </c>
      <c r="Q110" s="124">
        <v>5</v>
      </c>
      <c r="R110" s="124">
        <v>5</v>
      </c>
      <c r="S110" s="124">
        <v>5</v>
      </c>
      <c r="T110" s="135">
        <v>5</v>
      </c>
      <c r="U110" s="135">
        <v>5</v>
      </c>
      <c r="V110" s="186">
        <f t="shared" si="120"/>
        <v>4.75</v>
      </c>
      <c r="W110" s="185">
        <v>5</v>
      </c>
      <c r="X110" s="152">
        <v>4</v>
      </c>
      <c r="Y110" s="152">
        <v>5</v>
      </c>
      <c r="Z110" s="152">
        <v>5</v>
      </c>
      <c r="AA110" s="152">
        <v>5</v>
      </c>
      <c r="AB110" s="152">
        <v>5</v>
      </c>
      <c r="AC110" s="152">
        <v>5</v>
      </c>
      <c r="AD110" s="152">
        <v>4</v>
      </c>
      <c r="AE110" s="236">
        <f t="shared" si="121"/>
        <v>4.5</v>
      </c>
      <c r="AF110" s="237">
        <v>5</v>
      </c>
      <c r="AG110" s="221">
        <v>5</v>
      </c>
      <c r="AH110" s="221">
        <v>4</v>
      </c>
      <c r="AI110" s="221">
        <v>5</v>
      </c>
      <c r="AJ110" s="221">
        <v>5</v>
      </c>
      <c r="AK110" s="221">
        <v>4</v>
      </c>
      <c r="AL110" s="221">
        <v>4</v>
      </c>
      <c r="AM110" s="221">
        <v>4</v>
      </c>
      <c r="AN110" s="140">
        <f t="shared" si="122"/>
        <v>4.8125</v>
      </c>
    </row>
    <row r="111" spans="1:40" s="24" customFormat="1" ht="20.25" customHeight="1" thickBot="1" x14ac:dyDescent="0.35">
      <c r="A111" s="30">
        <v>7</v>
      </c>
      <c r="B111" s="290" t="s">
        <v>87</v>
      </c>
      <c r="C111" s="290" t="s">
        <v>137</v>
      </c>
      <c r="D111" s="102">
        <f t="shared" si="118"/>
        <v>4.166666666666667</v>
      </c>
      <c r="E111" s="36">
        <v>4</v>
      </c>
      <c r="F111" s="36">
        <v>4</v>
      </c>
      <c r="G111" s="34">
        <v>5</v>
      </c>
      <c r="H111" s="34">
        <v>4</v>
      </c>
      <c r="I111" s="34">
        <v>4</v>
      </c>
      <c r="J111" s="52">
        <v>4</v>
      </c>
      <c r="K111" s="113">
        <f t="shared" si="119"/>
        <v>5</v>
      </c>
      <c r="L111" s="74">
        <v>5</v>
      </c>
      <c r="M111" s="75">
        <v>5</v>
      </c>
      <c r="N111" s="124">
        <v>5</v>
      </c>
      <c r="O111" s="124">
        <v>5</v>
      </c>
      <c r="P111" s="124">
        <v>5</v>
      </c>
      <c r="Q111" s="124">
        <v>5</v>
      </c>
      <c r="R111" s="124">
        <v>5</v>
      </c>
      <c r="S111" s="124">
        <v>5</v>
      </c>
      <c r="T111" s="135">
        <v>5</v>
      </c>
      <c r="U111" s="135">
        <v>5</v>
      </c>
      <c r="V111" s="186">
        <f t="shared" si="120"/>
        <v>4.25</v>
      </c>
      <c r="W111" s="185">
        <v>5</v>
      </c>
      <c r="X111" s="152">
        <v>4</v>
      </c>
      <c r="Y111" s="152">
        <v>4</v>
      </c>
      <c r="Z111" s="152">
        <v>5</v>
      </c>
      <c r="AA111" s="152">
        <v>4</v>
      </c>
      <c r="AB111" s="152">
        <v>4</v>
      </c>
      <c r="AC111" s="152">
        <v>4</v>
      </c>
      <c r="AD111" s="152">
        <v>4</v>
      </c>
      <c r="AE111" s="236">
        <f t="shared" si="121"/>
        <v>4.125</v>
      </c>
      <c r="AF111" s="237">
        <v>4</v>
      </c>
      <c r="AG111" s="221">
        <v>4</v>
      </c>
      <c r="AH111" s="221">
        <v>4</v>
      </c>
      <c r="AI111" s="221">
        <v>4</v>
      </c>
      <c r="AJ111" s="221">
        <v>5</v>
      </c>
      <c r="AK111" s="221">
        <v>4</v>
      </c>
      <c r="AL111" s="221">
        <v>4</v>
      </c>
      <c r="AM111" s="221">
        <v>4</v>
      </c>
      <c r="AN111" s="140">
        <f t="shared" si="122"/>
        <v>4.4375</v>
      </c>
    </row>
    <row r="112" spans="1:40" s="24" customFormat="1" ht="19.5" thickBot="1" x14ac:dyDescent="0.35">
      <c r="A112" s="30">
        <v>8</v>
      </c>
      <c r="B112" s="290" t="s">
        <v>87</v>
      </c>
      <c r="C112" s="290" t="s">
        <v>138</v>
      </c>
      <c r="D112" s="102">
        <f t="shared" si="118"/>
        <v>5</v>
      </c>
      <c r="E112" s="36">
        <v>5</v>
      </c>
      <c r="F112" s="36">
        <v>5</v>
      </c>
      <c r="G112" s="34">
        <v>5</v>
      </c>
      <c r="H112" s="34">
        <v>5</v>
      </c>
      <c r="I112" s="34">
        <v>5</v>
      </c>
      <c r="J112" s="52">
        <v>5</v>
      </c>
      <c r="K112" s="113">
        <f t="shared" si="119"/>
        <v>5</v>
      </c>
      <c r="L112" s="74">
        <v>5</v>
      </c>
      <c r="M112" s="75">
        <v>5</v>
      </c>
      <c r="N112" s="124">
        <v>5</v>
      </c>
      <c r="O112" s="124">
        <v>5</v>
      </c>
      <c r="P112" s="124">
        <v>5</v>
      </c>
      <c r="Q112" s="124">
        <v>5</v>
      </c>
      <c r="R112" s="124">
        <v>5</v>
      </c>
      <c r="S112" s="124">
        <v>5</v>
      </c>
      <c r="T112" s="135">
        <v>5</v>
      </c>
      <c r="U112" s="135">
        <v>5</v>
      </c>
      <c r="V112" s="186">
        <f t="shared" si="120"/>
        <v>4.5</v>
      </c>
      <c r="W112" s="185">
        <v>5</v>
      </c>
      <c r="X112" s="152">
        <v>5</v>
      </c>
      <c r="Y112" s="152">
        <v>4</v>
      </c>
      <c r="Z112" s="152">
        <v>5</v>
      </c>
      <c r="AA112" s="152">
        <v>4</v>
      </c>
      <c r="AB112" s="152">
        <v>4</v>
      </c>
      <c r="AC112" s="152">
        <v>4</v>
      </c>
      <c r="AD112" s="152">
        <v>5</v>
      </c>
      <c r="AE112" s="236">
        <f t="shared" si="121"/>
        <v>4.5</v>
      </c>
      <c r="AF112" s="237">
        <v>4</v>
      </c>
      <c r="AG112" s="221">
        <v>5</v>
      </c>
      <c r="AH112" s="221">
        <v>4</v>
      </c>
      <c r="AI112" s="221">
        <v>4</v>
      </c>
      <c r="AJ112" s="221">
        <v>5</v>
      </c>
      <c r="AK112" s="221">
        <v>4</v>
      </c>
      <c r="AL112" s="221">
        <v>5</v>
      </c>
      <c r="AM112" s="221">
        <v>5</v>
      </c>
      <c r="AN112" s="140">
        <f t="shared" si="122"/>
        <v>4.75</v>
      </c>
    </row>
    <row r="113" spans="1:40" ht="19.5" thickBot="1" x14ac:dyDescent="0.35">
      <c r="A113" s="30">
        <v>9</v>
      </c>
      <c r="B113" s="290" t="s">
        <v>87</v>
      </c>
      <c r="C113" s="290" t="s">
        <v>139</v>
      </c>
      <c r="D113" s="102">
        <f t="shared" si="118"/>
        <v>4.166666666666667</v>
      </c>
      <c r="E113" s="36">
        <v>4</v>
      </c>
      <c r="F113" s="36">
        <v>4</v>
      </c>
      <c r="G113" s="36">
        <v>5</v>
      </c>
      <c r="H113" s="36">
        <v>4</v>
      </c>
      <c r="I113" s="36">
        <v>4</v>
      </c>
      <c r="J113" s="53">
        <v>4</v>
      </c>
      <c r="K113" s="113">
        <f t="shared" si="119"/>
        <v>4.2</v>
      </c>
      <c r="L113" s="74">
        <v>4</v>
      </c>
      <c r="M113" s="75">
        <v>5</v>
      </c>
      <c r="N113" s="124">
        <v>4</v>
      </c>
      <c r="O113" s="124">
        <v>4</v>
      </c>
      <c r="P113" s="124">
        <v>4</v>
      </c>
      <c r="Q113" s="124">
        <v>4</v>
      </c>
      <c r="R113" s="124">
        <v>5</v>
      </c>
      <c r="S113" s="124">
        <v>4</v>
      </c>
      <c r="T113" s="135">
        <v>4</v>
      </c>
      <c r="U113" s="135">
        <v>4</v>
      </c>
      <c r="V113" s="186">
        <f t="shared" si="120"/>
        <v>4.25</v>
      </c>
      <c r="W113" s="185">
        <v>5</v>
      </c>
      <c r="X113" s="152">
        <v>4</v>
      </c>
      <c r="Y113" s="152">
        <v>4</v>
      </c>
      <c r="Z113" s="152">
        <v>5</v>
      </c>
      <c r="AA113" s="152">
        <v>4</v>
      </c>
      <c r="AB113" s="152">
        <v>4</v>
      </c>
      <c r="AC113" s="152">
        <v>4</v>
      </c>
      <c r="AD113" s="152">
        <v>4</v>
      </c>
      <c r="AE113" s="236">
        <f t="shared" si="121"/>
        <v>4.125</v>
      </c>
      <c r="AF113" s="237">
        <v>4</v>
      </c>
      <c r="AG113" s="221">
        <v>4</v>
      </c>
      <c r="AH113" s="221">
        <v>4</v>
      </c>
      <c r="AI113" s="221">
        <v>4</v>
      </c>
      <c r="AJ113" s="221">
        <v>5</v>
      </c>
      <c r="AK113" s="221">
        <v>4</v>
      </c>
      <c r="AL113" s="221">
        <v>4</v>
      </c>
      <c r="AM113" s="221">
        <v>4</v>
      </c>
      <c r="AN113" s="140">
        <f t="shared" si="122"/>
        <v>4.1875</v>
      </c>
    </row>
    <row r="114" spans="1:40" ht="19.5" thickBot="1" x14ac:dyDescent="0.35">
      <c r="A114" s="30">
        <v>10</v>
      </c>
      <c r="B114" s="290" t="s">
        <v>87</v>
      </c>
      <c r="C114" s="290" t="s">
        <v>140</v>
      </c>
      <c r="D114" s="102">
        <f t="shared" si="118"/>
        <v>5</v>
      </c>
      <c r="E114" s="23">
        <v>5</v>
      </c>
      <c r="F114" s="23">
        <v>5</v>
      </c>
      <c r="G114" s="36">
        <v>5</v>
      </c>
      <c r="H114" s="23">
        <v>5</v>
      </c>
      <c r="I114" s="23">
        <v>5</v>
      </c>
      <c r="J114" s="32">
        <v>5</v>
      </c>
      <c r="K114" s="113">
        <f t="shared" si="119"/>
        <v>4.5999999999999996</v>
      </c>
      <c r="L114" s="87">
        <v>5</v>
      </c>
      <c r="M114" s="88">
        <v>5</v>
      </c>
      <c r="N114" s="125">
        <v>4</v>
      </c>
      <c r="O114" s="125">
        <v>5</v>
      </c>
      <c r="P114" s="125">
        <v>4</v>
      </c>
      <c r="Q114" s="125">
        <v>4</v>
      </c>
      <c r="R114" s="125">
        <v>4</v>
      </c>
      <c r="S114" s="125">
        <v>5</v>
      </c>
      <c r="T114" s="136">
        <v>5</v>
      </c>
      <c r="U114" s="136">
        <v>5</v>
      </c>
      <c r="V114" s="208">
        <f t="shared" si="120"/>
        <v>5</v>
      </c>
      <c r="W114" s="185">
        <v>5</v>
      </c>
      <c r="X114" s="152">
        <v>5</v>
      </c>
      <c r="Y114" s="152">
        <v>5</v>
      </c>
      <c r="Z114" s="152">
        <v>5</v>
      </c>
      <c r="AA114" s="152">
        <v>5</v>
      </c>
      <c r="AB114" s="152">
        <v>5</v>
      </c>
      <c r="AC114" s="152">
        <v>5</v>
      </c>
      <c r="AD114" s="152">
        <v>5</v>
      </c>
      <c r="AE114" s="238">
        <f t="shared" si="121"/>
        <v>4.75</v>
      </c>
      <c r="AF114" s="237">
        <v>5</v>
      </c>
      <c r="AG114" s="221">
        <v>5</v>
      </c>
      <c r="AH114" s="221">
        <v>5</v>
      </c>
      <c r="AI114" s="221">
        <v>4</v>
      </c>
      <c r="AJ114" s="221">
        <v>5</v>
      </c>
      <c r="AK114" s="221">
        <v>5</v>
      </c>
      <c r="AL114" s="221">
        <v>4</v>
      </c>
      <c r="AM114" s="221">
        <v>5</v>
      </c>
      <c r="AN114" s="140">
        <f t="shared" si="122"/>
        <v>4.8125</v>
      </c>
    </row>
    <row r="115" spans="1:40" ht="19.5" thickBot="1" x14ac:dyDescent="0.35">
      <c r="A115" s="331" t="s">
        <v>4</v>
      </c>
      <c r="B115" s="332"/>
      <c r="C115" s="333"/>
      <c r="D115" s="118">
        <f>SUM(E115:J115)</f>
        <v>35</v>
      </c>
      <c r="E115" s="21">
        <f>COUNTIF(E105:E114,5)</f>
        <v>5</v>
      </c>
      <c r="F115" s="21">
        <f>COUNTIF(F105:F114,5)</f>
        <v>5</v>
      </c>
      <c r="G115" s="35">
        <f>COUNTIF(G105:G114,5)</f>
        <v>9</v>
      </c>
      <c r="H115" s="21">
        <f t="shared" ref="H115" si="123">COUNTIF(H105:H114,5)</f>
        <v>5</v>
      </c>
      <c r="I115" s="21">
        <f t="shared" ref="I115:J115" si="124">COUNTIF(I105:I114,5)</f>
        <v>5</v>
      </c>
      <c r="J115" s="35">
        <f t="shared" si="124"/>
        <v>6</v>
      </c>
      <c r="K115" s="112">
        <f>SUM(L115:U115)</f>
        <v>71</v>
      </c>
      <c r="L115" s="85">
        <f>COUNTIF(L105:L114,5)</f>
        <v>7</v>
      </c>
      <c r="M115" s="85">
        <f t="shared" ref="M115:T115" si="125">COUNTIF(M105:M114,5)</f>
        <v>10</v>
      </c>
      <c r="N115" s="85">
        <f t="shared" si="125"/>
        <v>6</v>
      </c>
      <c r="O115" s="85">
        <f t="shared" si="125"/>
        <v>7</v>
      </c>
      <c r="P115" s="85">
        <f t="shared" si="125"/>
        <v>6</v>
      </c>
      <c r="Q115" s="85">
        <f t="shared" si="125"/>
        <v>6</v>
      </c>
      <c r="R115" s="85">
        <f t="shared" si="125"/>
        <v>8</v>
      </c>
      <c r="S115" s="85">
        <f t="shared" si="125"/>
        <v>7</v>
      </c>
      <c r="T115" s="85">
        <f t="shared" si="125"/>
        <v>7</v>
      </c>
      <c r="U115" s="84">
        <f>COUNTIF(U105:U114,5)</f>
        <v>7</v>
      </c>
      <c r="V115" s="209">
        <f>SUM(W115:AD115)</f>
        <v>54</v>
      </c>
      <c r="W115" s="168">
        <f t="shared" ref="W115:AD115" si="126">COUNTIF(W105:W114,5)</f>
        <v>8</v>
      </c>
      <c r="X115" s="168">
        <f t="shared" si="126"/>
        <v>6</v>
      </c>
      <c r="Y115" s="168">
        <f t="shared" si="126"/>
        <v>6</v>
      </c>
      <c r="Z115" s="168">
        <f t="shared" si="126"/>
        <v>10</v>
      </c>
      <c r="AA115" s="168">
        <f t="shared" si="126"/>
        <v>6</v>
      </c>
      <c r="AB115" s="168">
        <f t="shared" si="126"/>
        <v>6</v>
      </c>
      <c r="AC115" s="168">
        <f t="shared" si="126"/>
        <v>6</v>
      </c>
      <c r="AD115" s="234">
        <f t="shared" si="126"/>
        <v>6</v>
      </c>
      <c r="AE115" s="239">
        <f>SUM(AF115:AM115)</f>
        <v>37</v>
      </c>
      <c r="AF115" s="226">
        <f t="shared" ref="AF115:AM115" si="127">COUNTIF(AF105:AF114,5)</f>
        <v>4</v>
      </c>
      <c r="AG115" s="226">
        <f t="shared" si="127"/>
        <v>6</v>
      </c>
      <c r="AH115" s="226">
        <f t="shared" si="127"/>
        <v>3</v>
      </c>
      <c r="AI115" s="226">
        <f t="shared" si="127"/>
        <v>3</v>
      </c>
      <c r="AJ115" s="226">
        <f t="shared" si="127"/>
        <v>10</v>
      </c>
      <c r="AK115" s="226">
        <f t="shared" si="127"/>
        <v>3</v>
      </c>
      <c r="AL115" s="226">
        <f t="shared" si="127"/>
        <v>4</v>
      </c>
      <c r="AM115" s="226">
        <f t="shared" si="127"/>
        <v>4</v>
      </c>
      <c r="AN115" s="166">
        <f>SUM(D115,K115,V115:AE115)</f>
        <v>251</v>
      </c>
    </row>
    <row r="116" spans="1:40" ht="19.5" thickBot="1" x14ac:dyDescent="0.35">
      <c r="A116" s="346" t="s">
        <v>5</v>
      </c>
      <c r="B116" s="347"/>
      <c r="C116" s="348"/>
      <c r="D116" s="118">
        <f t="shared" ref="D116:D118" si="128">SUM(E116:J116)</f>
        <v>23</v>
      </c>
      <c r="E116" s="22">
        <f>COUNTIF(E105:E114,4)</f>
        <v>5</v>
      </c>
      <c r="F116" s="22">
        <f>COUNTIF(F105:F114,4)</f>
        <v>4</v>
      </c>
      <c r="G116" s="33">
        <f>COUNTIF(G105:G114,4)</f>
        <v>1</v>
      </c>
      <c r="H116" s="22">
        <f t="shared" ref="H116" si="129">COUNTIF(H105:H114,4)</f>
        <v>5</v>
      </c>
      <c r="I116" s="22">
        <f t="shared" ref="I116:J116" si="130">COUNTIF(I105:I114,4)</f>
        <v>4</v>
      </c>
      <c r="J116" s="33">
        <f t="shared" si="130"/>
        <v>4</v>
      </c>
      <c r="K116" s="112">
        <f>SUM(L116:U116)</f>
        <v>29</v>
      </c>
      <c r="L116" s="81">
        <f>COUNTIF(L105:L114,4)</f>
        <v>3</v>
      </c>
      <c r="M116" s="81">
        <f t="shared" ref="M116:T116" si="131">COUNTIF(M105:M114,4)</f>
        <v>0</v>
      </c>
      <c r="N116" s="81">
        <f t="shared" si="131"/>
        <v>4</v>
      </c>
      <c r="O116" s="81">
        <f t="shared" si="131"/>
        <v>3</v>
      </c>
      <c r="P116" s="81">
        <f t="shared" si="131"/>
        <v>4</v>
      </c>
      <c r="Q116" s="81">
        <f t="shared" si="131"/>
        <v>4</v>
      </c>
      <c r="R116" s="81">
        <f t="shared" si="131"/>
        <v>2</v>
      </c>
      <c r="S116" s="81">
        <f t="shared" si="131"/>
        <v>3</v>
      </c>
      <c r="T116" s="81">
        <f t="shared" si="131"/>
        <v>3</v>
      </c>
      <c r="U116" s="77">
        <f>COUNTIF(U105:U114,4)</f>
        <v>3</v>
      </c>
      <c r="V116" s="210">
        <f>SUM(W116:AD116)</f>
        <v>26</v>
      </c>
      <c r="W116" s="168">
        <f t="shared" ref="W116:AD116" si="132">COUNTIF(W105:W114,4)</f>
        <v>2</v>
      </c>
      <c r="X116" s="168">
        <f t="shared" si="132"/>
        <v>4</v>
      </c>
      <c r="Y116" s="168">
        <f t="shared" si="132"/>
        <v>4</v>
      </c>
      <c r="Z116" s="168">
        <f t="shared" si="132"/>
        <v>0</v>
      </c>
      <c r="AA116" s="168">
        <f t="shared" si="132"/>
        <v>4</v>
      </c>
      <c r="AB116" s="168">
        <f t="shared" si="132"/>
        <v>4</v>
      </c>
      <c r="AC116" s="168">
        <f t="shared" si="132"/>
        <v>4</v>
      </c>
      <c r="AD116" s="234">
        <f t="shared" si="132"/>
        <v>4</v>
      </c>
      <c r="AE116" s="239">
        <f>SUM(AF116:AM116)</f>
        <v>40</v>
      </c>
      <c r="AF116" s="226">
        <f t="shared" ref="AF116:AM116" si="133">COUNTIF(AF105:AF114,4)</f>
        <v>6</v>
      </c>
      <c r="AG116" s="226">
        <f t="shared" si="133"/>
        <v>3</v>
      </c>
      <c r="AH116" s="226">
        <f t="shared" si="133"/>
        <v>6</v>
      </c>
      <c r="AI116" s="226">
        <f t="shared" si="133"/>
        <v>7</v>
      </c>
      <c r="AJ116" s="226">
        <f t="shared" si="133"/>
        <v>0</v>
      </c>
      <c r="AK116" s="226">
        <f t="shared" si="133"/>
        <v>6</v>
      </c>
      <c r="AL116" s="226">
        <f t="shared" si="133"/>
        <v>6</v>
      </c>
      <c r="AM116" s="226">
        <f t="shared" si="133"/>
        <v>6</v>
      </c>
      <c r="AN116" s="166">
        <f>SUM(D116,K116,V116,AE116)</f>
        <v>118</v>
      </c>
    </row>
    <row r="117" spans="1:40" ht="19.5" thickBot="1" x14ac:dyDescent="0.35">
      <c r="A117" s="346" t="s">
        <v>6</v>
      </c>
      <c r="B117" s="347"/>
      <c r="C117" s="348"/>
      <c r="D117" s="118">
        <f t="shared" si="128"/>
        <v>2</v>
      </c>
      <c r="E117" s="22">
        <f>COUNTIF(E105:E114,3)</f>
        <v>0</v>
      </c>
      <c r="F117" s="22">
        <f>COUNTIF(F105:F114,3)</f>
        <v>1</v>
      </c>
      <c r="G117" s="33">
        <f>COUNTIF(G105:G114,3)</f>
        <v>0</v>
      </c>
      <c r="H117" s="22">
        <f t="shared" ref="H117" si="134">COUNTIF(H105:H114,3)</f>
        <v>0</v>
      </c>
      <c r="I117" s="22">
        <f t="shared" ref="I117:J117" si="135">COUNTIF(I105:I114,3)</f>
        <v>1</v>
      </c>
      <c r="J117" s="33">
        <f t="shared" si="135"/>
        <v>0</v>
      </c>
      <c r="K117" s="112">
        <f>SUM(L117:U117)</f>
        <v>0</v>
      </c>
      <c r="L117" s="81">
        <f>COUNTIF(L105:L114,3)</f>
        <v>0</v>
      </c>
      <c r="M117" s="81">
        <f t="shared" ref="M117:T117" si="136">COUNTIF(M105:M114,3)</f>
        <v>0</v>
      </c>
      <c r="N117" s="81">
        <f t="shared" si="136"/>
        <v>0</v>
      </c>
      <c r="O117" s="81">
        <f t="shared" si="136"/>
        <v>0</v>
      </c>
      <c r="P117" s="81">
        <f t="shared" si="136"/>
        <v>0</v>
      </c>
      <c r="Q117" s="81">
        <f t="shared" si="136"/>
        <v>0</v>
      </c>
      <c r="R117" s="81">
        <f t="shared" si="136"/>
        <v>0</v>
      </c>
      <c r="S117" s="81">
        <f t="shared" si="136"/>
        <v>0</v>
      </c>
      <c r="T117" s="81">
        <f t="shared" si="136"/>
        <v>0</v>
      </c>
      <c r="U117" s="77">
        <f>COUNTIF(U105:U114,3)</f>
        <v>0</v>
      </c>
      <c r="V117" s="210">
        <f>SUM(W117:AD117)</f>
        <v>0</v>
      </c>
      <c r="W117" s="168">
        <f t="shared" ref="W117:AD117" si="137">COUNTIF(W105:W114,3)</f>
        <v>0</v>
      </c>
      <c r="X117" s="168">
        <f t="shared" si="137"/>
        <v>0</v>
      </c>
      <c r="Y117" s="168">
        <f t="shared" si="137"/>
        <v>0</v>
      </c>
      <c r="Z117" s="168">
        <f t="shared" si="137"/>
        <v>0</v>
      </c>
      <c r="AA117" s="168">
        <f t="shared" si="137"/>
        <v>0</v>
      </c>
      <c r="AB117" s="168">
        <f t="shared" si="137"/>
        <v>0</v>
      </c>
      <c r="AC117" s="168">
        <f t="shared" si="137"/>
        <v>0</v>
      </c>
      <c r="AD117" s="234">
        <f t="shared" si="137"/>
        <v>0</v>
      </c>
      <c r="AE117" s="239">
        <f>SUM(AF117:AM117)</f>
        <v>3</v>
      </c>
      <c r="AF117" s="226">
        <f t="shared" ref="AF117:AM117" si="138">COUNTIF(AF105:AF114,3)</f>
        <v>0</v>
      </c>
      <c r="AG117" s="226">
        <f t="shared" si="138"/>
        <v>1</v>
      </c>
      <c r="AH117" s="226">
        <f t="shared" si="138"/>
        <v>1</v>
      </c>
      <c r="AI117" s="226">
        <f t="shared" si="138"/>
        <v>0</v>
      </c>
      <c r="AJ117" s="226">
        <f t="shared" si="138"/>
        <v>0</v>
      </c>
      <c r="AK117" s="226">
        <f t="shared" si="138"/>
        <v>1</v>
      </c>
      <c r="AL117" s="226">
        <f t="shared" si="138"/>
        <v>0</v>
      </c>
      <c r="AM117" s="226">
        <f t="shared" si="138"/>
        <v>0</v>
      </c>
      <c r="AN117" s="166">
        <f>SUM(D117,K117,V117,AE117)</f>
        <v>5</v>
      </c>
    </row>
    <row r="118" spans="1:40" ht="19.5" thickBot="1" x14ac:dyDescent="0.35">
      <c r="A118" s="340" t="s">
        <v>7</v>
      </c>
      <c r="B118" s="341"/>
      <c r="C118" s="342"/>
      <c r="D118" s="118">
        <f t="shared" si="128"/>
        <v>0</v>
      </c>
      <c r="E118" s="23">
        <f>COUNTIF(E105:E114,2)</f>
        <v>0</v>
      </c>
      <c r="F118" s="23">
        <f t="shared" ref="F118:I118" si="139">COUNTIF(F105:F114,2)</f>
        <v>0</v>
      </c>
      <c r="G118" s="23">
        <f t="shared" si="139"/>
        <v>0</v>
      </c>
      <c r="H118" s="23">
        <f t="shared" si="139"/>
        <v>0</v>
      </c>
      <c r="I118" s="23">
        <f t="shared" si="139"/>
        <v>0</v>
      </c>
      <c r="J118" s="23">
        <f>COUNTIF(J105:J114,2)</f>
        <v>0</v>
      </c>
      <c r="K118" s="112">
        <f>SUM(L118:U118)</f>
        <v>0</v>
      </c>
      <c r="L118" s="82">
        <f>COUNTIF(L105:L114,2)</f>
        <v>0</v>
      </c>
      <c r="M118" s="82">
        <f t="shared" ref="M118:R118" si="140">COUNTIF(M105:M114,2)</f>
        <v>0</v>
      </c>
      <c r="N118" s="82">
        <f t="shared" si="140"/>
        <v>0</v>
      </c>
      <c r="O118" s="82">
        <f t="shared" si="140"/>
        <v>0</v>
      </c>
      <c r="P118" s="82">
        <f t="shared" si="140"/>
        <v>0</v>
      </c>
      <c r="Q118" s="82">
        <f t="shared" si="140"/>
        <v>0</v>
      </c>
      <c r="R118" s="82">
        <f t="shared" si="140"/>
        <v>0</v>
      </c>
      <c r="S118" s="82">
        <f>COUNTIF(S105:S114,2)</f>
        <v>0</v>
      </c>
      <c r="T118" s="82">
        <f>COUNTIF(T105:T114,2)</f>
        <v>0</v>
      </c>
      <c r="U118" s="78">
        <f>COUNTIF(U105:U114,2)</f>
        <v>0</v>
      </c>
      <c r="V118" s="210">
        <f>SUM(W118:AD118)</f>
        <v>0</v>
      </c>
      <c r="W118" s="168">
        <f t="shared" ref="W118:AD118" si="141">COUNTIF(W105:W114,2)</f>
        <v>0</v>
      </c>
      <c r="X118" s="168">
        <f t="shared" si="141"/>
        <v>0</v>
      </c>
      <c r="Y118" s="168">
        <f t="shared" si="141"/>
        <v>0</v>
      </c>
      <c r="Z118" s="168">
        <f t="shared" si="141"/>
        <v>0</v>
      </c>
      <c r="AA118" s="168">
        <f t="shared" si="141"/>
        <v>0</v>
      </c>
      <c r="AB118" s="168">
        <f t="shared" si="141"/>
        <v>0</v>
      </c>
      <c r="AC118" s="168">
        <f t="shared" si="141"/>
        <v>0</v>
      </c>
      <c r="AD118" s="234">
        <f t="shared" si="141"/>
        <v>0</v>
      </c>
      <c r="AE118" s="239">
        <f>SUM(AF118:AM118)</f>
        <v>0</v>
      </c>
      <c r="AF118" s="226">
        <f t="shared" ref="AF118:AM118" si="142">COUNTIF(AF105:AF114,2)</f>
        <v>0</v>
      </c>
      <c r="AG118" s="226">
        <f t="shared" si="142"/>
        <v>0</v>
      </c>
      <c r="AH118" s="226">
        <f t="shared" si="142"/>
        <v>0</v>
      </c>
      <c r="AI118" s="226">
        <f t="shared" si="142"/>
        <v>0</v>
      </c>
      <c r="AJ118" s="226">
        <f t="shared" si="142"/>
        <v>0</v>
      </c>
      <c r="AK118" s="226">
        <f t="shared" si="142"/>
        <v>0</v>
      </c>
      <c r="AL118" s="226">
        <f t="shared" si="142"/>
        <v>0</v>
      </c>
      <c r="AM118" s="226">
        <f t="shared" si="142"/>
        <v>0</v>
      </c>
      <c r="AN118" s="166">
        <f>SUM(D118,K118,V118)</f>
        <v>0</v>
      </c>
    </row>
    <row r="119" spans="1:40" ht="31.5" customHeight="1" thickBot="1" x14ac:dyDescent="0.35">
      <c r="A119" s="343" t="s">
        <v>8</v>
      </c>
      <c r="B119" s="344"/>
      <c r="C119" s="345"/>
      <c r="D119" s="19">
        <f>(D105+D106+D107+D108+D109+D110+D111+D112+D113+D114)/10</f>
        <v>4.55</v>
      </c>
      <c r="E119" s="50">
        <f>AVERAGE(E105:E114)</f>
        <v>4.5</v>
      </c>
      <c r="F119" s="50">
        <f>AVERAGE(F105:F114)</f>
        <v>4.4000000000000004</v>
      </c>
      <c r="G119" s="50">
        <f t="shared" ref="G119:J119" si="143">AVERAGE(G105:G114)</f>
        <v>4.9000000000000004</v>
      </c>
      <c r="H119" s="50">
        <f t="shared" si="143"/>
        <v>4.5</v>
      </c>
      <c r="I119" s="50">
        <f t="shared" si="143"/>
        <v>4.4000000000000004</v>
      </c>
      <c r="J119" s="71">
        <f t="shared" si="143"/>
        <v>4.5999999999999996</v>
      </c>
      <c r="K119" s="19">
        <f>(K105+K106+K107+K108+K109+K110+K111+K112+K113+K114)/10</f>
        <v>4.71</v>
      </c>
      <c r="L119" s="83">
        <f>AVERAGE(L105:L114)</f>
        <v>4.7</v>
      </c>
      <c r="M119" s="83">
        <f t="shared" ref="M119:T119" si="144">AVERAGE(M105:M114)</f>
        <v>5</v>
      </c>
      <c r="N119" s="83">
        <f t="shared" si="144"/>
        <v>4.5999999999999996</v>
      </c>
      <c r="O119" s="83">
        <f t="shared" si="144"/>
        <v>4.7</v>
      </c>
      <c r="P119" s="83">
        <f t="shared" si="144"/>
        <v>4.5999999999999996</v>
      </c>
      <c r="Q119" s="83">
        <f t="shared" si="144"/>
        <v>4.5999999999999996</v>
      </c>
      <c r="R119" s="83">
        <f t="shared" si="144"/>
        <v>4.8</v>
      </c>
      <c r="S119" s="83">
        <f t="shared" si="144"/>
        <v>4.7</v>
      </c>
      <c r="T119" s="83">
        <f t="shared" si="144"/>
        <v>4.7</v>
      </c>
      <c r="U119" s="79">
        <f>AVERAGE(U105:U114)</f>
        <v>4.7</v>
      </c>
      <c r="V119" s="117">
        <f>(V105+V106+V107+V108+V109+V110+V111+V112+V113+V114)/10</f>
        <v>4.6749999999999998</v>
      </c>
      <c r="W119" s="215">
        <f t="shared" ref="W119:AD119" si="145">AVERAGE(W105:W114)</f>
        <v>4.8</v>
      </c>
      <c r="X119" s="216">
        <f t="shared" si="145"/>
        <v>4.5999999999999996</v>
      </c>
      <c r="Y119" s="216">
        <f t="shared" si="145"/>
        <v>4.5999999999999996</v>
      </c>
      <c r="Z119" s="216">
        <f t="shared" si="145"/>
        <v>5</v>
      </c>
      <c r="AA119" s="216">
        <f t="shared" si="145"/>
        <v>4.5999999999999996</v>
      </c>
      <c r="AB119" s="216">
        <f t="shared" si="145"/>
        <v>4.5999999999999996</v>
      </c>
      <c r="AC119" s="216">
        <f t="shared" si="145"/>
        <v>4.5999999999999996</v>
      </c>
      <c r="AD119" s="216">
        <f t="shared" si="145"/>
        <v>4.5999999999999996</v>
      </c>
      <c r="AE119" s="117">
        <f>SUM(AE105+AE106+AE107+AE108+AE109+AE110+AE111+AE112+AE113+AE114)/10</f>
        <v>4.4249999999999998</v>
      </c>
      <c r="AF119" s="240">
        <f t="shared" ref="AF119:AM119" si="146">AVERAGE(AF105:AF114)</f>
        <v>4.4000000000000004</v>
      </c>
      <c r="AG119" s="241">
        <f t="shared" si="146"/>
        <v>4.5</v>
      </c>
      <c r="AH119" s="241">
        <f t="shared" si="146"/>
        <v>4.2</v>
      </c>
      <c r="AI119" s="241">
        <f t="shared" si="146"/>
        <v>4.3</v>
      </c>
      <c r="AJ119" s="241">
        <f t="shared" si="146"/>
        <v>5</v>
      </c>
      <c r="AK119" s="241">
        <f t="shared" si="146"/>
        <v>4.2</v>
      </c>
      <c r="AL119" s="241">
        <f t="shared" si="146"/>
        <v>4.4000000000000004</v>
      </c>
      <c r="AM119" s="241">
        <f t="shared" si="146"/>
        <v>4.4000000000000004</v>
      </c>
      <c r="AN119" s="141">
        <f>(AN115*5+AN116*4+AN117*3+AN118*2)/SUM(AN115:AN118)</f>
        <v>4.6577540106951876</v>
      </c>
    </row>
    <row r="120" spans="1:40" x14ac:dyDescent="0.3">
      <c r="I120" s="13"/>
    </row>
    <row r="124" spans="1:40" ht="27" x14ac:dyDescent="0.35">
      <c r="A124" s="382" t="s">
        <v>85</v>
      </c>
      <c r="B124" s="382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382"/>
      <c r="O124" s="382"/>
      <c r="P124" s="382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  <c r="AA124" s="382"/>
      <c r="AB124" s="382"/>
      <c r="AC124" s="382"/>
      <c r="AD124" s="382"/>
      <c r="AE124" s="382"/>
    </row>
    <row r="125" spans="1:40" ht="19.5" thickBot="1" x14ac:dyDescent="0.35"/>
    <row r="126" spans="1:40" ht="27.75" customHeight="1" thickBot="1" x14ac:dyDescent="0.35">
      <c r="A126" s="360" t="s">
        <v>0</v>
      </c>
      <c r="B126" s="363" t="s">
        <v>1</v>
      </c>
      <c r="C126" s="401" t="s">
        <v>2</v>
      </c>
      <c r="D126" s="389" t="s">
        <v>20</v>
      </c>
      <c r="E126" s="368"/>
      <c r="F126" s="368"/>
      <c r="G126" s="368"/>
      <c r="H126" s="368"/>
      <c r="I126" s="368"/>
      <c r="J126" s="368"/>
      <c r="K126" s="368"/>
      <c r="L126" s="368"/>
      <c r="M126" s="390"/>
      <c r="N126" s="390"/>
      <c r="O126" s="390"/>
      <c r="P126" s="390"/>
      <c r="Q126" s="390"/>
      <c r="R126" s="390"/>
      <c r="S126" s="390"/>
      <c r="T126" s="390"/>
      <c r="U126" s="390"/>
      <c r="V126" s="390"/>
      <c r="W126" s="368"/>
      <c r="X126" s="368"/>
      <c r="Y126" s="368"/>
      <c r="Z126" s="368"/>
      <c r="AA126" s="368"/>
      <c r="AB126" s="368"/>
      <c r="AC126" s="368"/>
      <c r="AD126" s="368"/>
      <c r="AE126" s="368"/>
      <c r="AF126" s="368"/>
      <c r="AG126" s="368"/>
      <c r="AH126" s="368"/>
      <c r="AI126" s="368"/>
      <c r="AJ126" s="368"/>
      <c r="AK126" s="391"/>
      <c r="AL126" s="326" t="s">
        <v>34</v>
      </c>
    </row>
    <row r="127" spans="1:40" s="10" customFormat="1" ht="96.75" customHeight="1" thickBot="1" x14ac:dyDescent="0.35">
      <c r="A127" s="361"/>
      <c r="B127" s="364"/>
      <c r="C127" s="364"/>
      <c r="D127" s="394" t="s">
        <v>17</v>
      </c>
      <c r="E127" s="47" t="s">
        <v>14</v>
      </c>
      <c r="F127" s="47" t="s">
        <v>13</v>
      </c>
      <c r="G127" s="47" t="s">
        <v>11</v>
      </c>
      <c r="H127" s="47" t="s">
        <v>12</v>
      </c>
      <c r="I127" s="69" t="s">
        <v>18</v>
      </c>
      <c r="J127" s="69" t="s">
        <v>149</v>
      </c>
      <c r="K127" s="147" t="s">
        <v>35</v>
      </c>
      <c r="L127" s="337" t="s">
        <v>29</v>
      </c>
      <c r="M127" s="304" t="s">
        <v>52</v>
      </c>
      <c r="N127" s="305" t="s">
        <v>27</v>
      </c>
      <c r="O127" s="296" t="s">
        <v>31</v>
      </c>
      <c r="P127" s="305" t="s">
        <v>26</v>
      </c>
      <c r="Q127" s="306" t="s">
        <v>25</v>
      </c>
      <c r="R127" s="306" t="s">
        <v>22</v>
      </c>
      <c r="S127" s="305" t="s">
        <v>155</v>
      </c>
      <c r="T127" s="305" t="s">
        <v>53</v>
      </c>
      <c r="U127" s="296" t="s">
        <v>33</v>
      </c>
      <c r="V127" s="386" t="s">
        <v>36</v>
      </c>
      <c r="W127" s="307" t="s">
        <v>44</v>
      </c>
      <c r="X127" s="164" t="s">
        <v>39</v>
      </c>
      <c r="Y127" s="164" t="s">
        <v>12</v>
      </c>
      <c r="Z127" s="165" t="s">
        <v>50</v>
      </c>
      <c r="AA127" s="164" t="s">
        <v>41</v>
      </c>
      <c r="AB127" s="164" t="s">
        <v>32</v>
      </c>
      <c r="AC127" s="164" t="s">
        <v>49</v>
      </c>
      <c r="AD127" s="407" t="s">
        <v>57</v>
      </c>
      <c r="AE127" s="244" t="s">
        <v>61</v>
      </c>
      <c r="AF127" s="244" t="s">
        <v>66</v>
      </c>
      <c r="AG127" s="244" t="s">
        <v>68</v>
      </c>
      <c r="AH127" s="287" t="s">
        <v>69</v>
      </c>
      <c r="AI127" s="244" t="s">
        <v>71</v>
      </c>
      <c r="AJ127" s="244" t="s">
        <v>73</v>
      </c>
      <c r="AK127" s="244" t="s">
        <v>75</v>
      </c>
      <c r="AL127" s="392"/>
    </row>
    <row r="128" spans="1:40" ht="23.25" customHeight="1" thickBot="1" x14ac:dyDescent="0.35">
      <c r="A128" s="361"/>
      <c r="B128" s="364"/>
      <c r="C128" s="364"/>
      <c r="D128" s="394"/>
      <c r="E128" s="396" t="s">
        <v>10</v>
      </c>
      <c r="F128" s="397"/>
      <c r="G128" s="397"/>
      <c r="H128" s="397"/>
      <c r="I128" s="397"/>
      <c r="J128" s="397"/>
      <c r="K128" s="398"/>
      <c r="L128" s="338"/>
      <c r="M128" s="383" t="s">
        <v>28</v>
      </c>
      <c r="N128" s="384"/>
      <c r="O128" s="384"/>
      <c r="P128" s="384"/>
      <c r="Q128" s="384"/>
      <c r="R128" s="384"/>
      <c r="S128" s="384"/>
      <c r="T128" s="384"/>
      <c r="U128" s="385"/>
      <c r="V128" s="387"/>
      <c r="W128" s="399" t="s">
        <v>37</v>
      </c>
      <c r="X128" s="399"/>
      <c r="Y128" s="399"/>
      <c r="Z128" s="399"/>
      <c r="AA128" s="399"/>
      <c r="AB128" s="399"/>
      <c r="AC128" s="400"/>
      <c r="AD128" s="408"/>
      <c r="AE128" s="410" t="s">
        <v>58</v>
      </c>
      <c r="AF128" s="411"/>
      <c r="AG128" s="411"/>
      <c r="AH128" s="411"/>
      <c r="AI128" s="411"/>
      <c r="AJ128" s="411"/>
      <c r="AK128" s="412"/>
      <c r="AL128" s="392"/>
    </row>
    <row r="129" spans="1:38" s="11" customFormat="1" ht="83.25" customHeight="1" thickBot="1" x14ac:dyDescent="0.3">
      <c r="A129" s="362"/>
      <c r="B129" s="365"/>
      <c r="C129" s="365"/>
      <c r="D129" s="395"/>
      <c r="E129" s="37">
        <v>45241</v>
      </c>
      <c r="F129" s="37">
        <v>45248</v>
      </c>
      <c r="G129" s="45">
        <v>45258</v>
      </c>
      <c r="H129" s="45" t="s">
        <v>21</v>
      </c>
      <c r="I129" s="45">
        <v>45279</v>
      </c>
      <c r="J129" s="70">
        <v>45282</v>
      </c>
      <c r="K129" s="293">
        <v>45283</v>
      </c>
      <c r="L129" s="339"/>
      <c r="M129" s="175" t="s">
        <v>151</v>
      </c>
      <c r="N129" s="183">
        <v>45447</v>
      </c>
      <c r="O129" s="183">
        <v>45450</v>
      </c>
      <c r="P129" s="183">
        <v>44726</v>
      </c>
      <c r="Q129" s="183">
        <v>44732</v>
      </c>
      <c r="R129" s="183">
        <v>44733</v>
      </c>
      <c r="S129" s="190">
        <v>44734</v>
      </c>
      <c r="T129" s="313">
        <v>44737</v>
      </c>
      <c r="U129" s="183">
        <v>44740</v>
      </c>
      <c r="V129" s="388"/>
      <c r="W129" s="308">
        <v>45549</v>
      </c>
      <c r="X129" s="303">
        <v>45629</v>
      </c>
      <c r="Y129" s="303">
        <v>45624</v>
      </c>
      <c r="Z129" s="303">
        <v>45636</v>
      </c>
      <c r="AA129" s="303">
        <v>45651</v>
      </c>
      <c r="AB129" s="303">
        <v>45650</v>
      </c>
      <c r="AC129" s="303">
        <v>45644</v>
      </c>
      <c r="AD129" s="409"/>
      <c r="AE129" s="285">
        <v>45017</v>
      </c>
      <c r="AF129" s="285">
        <v>45027</v>
      </c>
      <c r="AG129" s="285">
        <v>45034</v>
      </c>
      <c r="AH129" s="285">
        <v>45035</v>
      </c>
      <c r="AI129" s="285">
        <v>45041</v>
      </c>
      <c r="AJ129" s="285">
        <v>45043</v>
      </c>
      <c r="AK129" s="285">
        <v>45049</v>
      </c>
      <c r="AL129" s="393"/>
    </row>
    <row r="130" spans="1:38" ht="26.25" customHeight="1" thickBot="1" x14ac:dyDescent="0.35">
      <c r="A130" s="29">
        <v>1</v>
      </c>
      <c r="B130" s="289" t="s">
        <v>9</v>
      </c>
      <c r="C130" s="289" t="s">
        <v>141</v>
      </c>
      <c r="D130" s="99">
        <f>AVERAGE(E130:K130)</f>
        <v>4.5</v>
      </c>
      <c r="E130" s="57">
        <v>5</v>
      </c>
      <c r="F130" s="72">
        <v>5</v>
      </c>
      <c r="G130" s="49">
        <v>4</v>
      </c>
      <c r="H130" s="49">
        <v>5</v>
      </c>
      <c r="I130" s="49">
        <v>4</v>
      </c>
      <c r="J130" s="72">
        <v>4</v>
      </c>
      <c r="K130" s="314" t="s">
        <v>150</v>
      </c>
      <c r="L130" s="319">
        <f>AVERAGE(M130:U130)</f>
        <v>5</v>
      </c>
      <c r="M130" s="315">
        <v>5</v>
      </c>
      <c r="N130" s="124">
        <v>5</v>
      </c>
      <c r="O130" s="124">
        <v>5</v>
      </c>
      <c r="P130" s="124">
        <v>5</v>
      </c>
      <c r="Q130" s="124">
        <v>5</v>
      </c>
      <c r="R130" s="124">
        <v>5</v>
      </c>
      <c r="S130" s="135">
        <v>5</v>
      </c>
      <c r="T130" s="128">
        <v>5</v>
      </c>
      <c r="U130" s="181">
        <v>5</v>
      </c>
      <c r="V130" s="311">
        <f>AVERAGE(W130:AC130)</f>
        <v>5</v>
      </c>
      <c r="W130" s="309">
        <v>5</v>
      </c>
      <c r="X130" s="152">
        <v>5</v>
      </c>
      <c r="Y130" s="152">
        <v>5</v>
      </c>
      <c r="Z130" s="152">
        <v>5</v>
      </c>
      <c r="AA130" s="152">
        <v>5</v>
      </c>
      <c r="AB130" s="152">
        <v>5</v>
      </c>
      <c r="AC130" s="152">
        <v>5</v>
      </c>
      <c r="AD130" s="222">
        <f>AVERAGE(AE130:AK130)</f>
        <v>4.5714285714285712</v>
      </c>
      <c r="AE130" s="221">
        <v>5</v>
      </c>
      <c r="AF130" s="221">
        <v>5</v>
      </c>
      <c r="AG130" s="221">
        <v>4</v>
      </c>
      <c r="AH130" s="221">
        <v>5</v>
      </c>
      <c r="AI130" s="221">
        <v>4</v>
      </c>
      <c r="AJ130" s="221">
        <v>5</v>
      </c>
      <c r="AK130" s="221">
        <v>4</v>
      </c>
      <c r="AL130" s="140">
        <f>AVERAGE(E130:K130,M130:U130,W130:AC130,AE130:AK130)</f>
        <v>4.7931034482758621</v>
      </c>
    </row>
    <row r="131" spans="1:38" s="24" customFormat="1" ht="27.75" customHeight="1" thickBot="1" x14ac:dyDescent="0.35">
      <c r="A131" s="30">
        <v>2</v>
      </c>
      <c r="B131" s="290" t="s">
        <v>87</v>
      </c>
      <c r="C131" s="290" t="s">
        <v>142</v>
      </c>
      <c r="D131" s="99">
        <f t="shared" ref="D131" si="147">AVERAGE(E131:K131)</f>
        <v>5</v>
      </c>
      <c r="E131" s="91">
        <v>5</v>
      </c>
      <c r="F131" s="67">
        <v>5</v>
      </c>
      <c r="G131" s="46">
        <v>5</v>
      </c>
      <c r="H131" s="46">
        <v>5</v>
      </c>
      <c r="I131" s="46">
        <v>5</v>
      </c>
      <c r="J131" s="67">
        <v>5</v>
      </c>
      <c r="K131" s="314" t="s">
        <v>150</v>
      </c>
      <c r="L131" s="100">
        <f>AVERAGE(M131:U131)</f>
        <v>5</v>
      </c>
      <c r="M131" s="316">
        <v>5</v>
      </c>
      <c r="N131" s="124">
        <v>5</v>
      </c>
      <c r="O131" s="124">
        <v>5</v>
      </c>
      <c r="P131" s="124">
        <v>5</v>
      </c>
      <c r="Q131" s="124">
        <v>5</v>
      </c>
      <c r="R131" s="124">
        <v>5</v>
      </c>
      <c r="S131" s="135">
        <v>5</v>
      </c>
      <c r="T131" s="124">
        <v>5</v>
      </c>
      <c r="U131" s="181">
        <v>5</v>
      </c>
      <c r="V131" s="312">
        <f>AVERAGE(W131:AC131)</f>
        <v>5</v>
      </c>
      <c r="W131" s="309">
        <v>5</v>
      </c>
      <c r="X131" s="152">
        <v>5</v>
      </c>
      <c r="Y131" s="152">
        <v>5</v>
      </c>
      <c r="Z131" s="152">
        <v>5</v>
      </c>
      <c r="AA131" s="152">
        <v>5</v>
      </c>
      <c r="AB131" s="152">
        <v>5</v>
      </c>
      <c r="AC131" s="152">
        <v>5</v>
      </c>
      <c r="AD131" s="222">
        <f>AVERAGE(AE131:AK131)</f>
        <v>5</v>
      </c>
      <c r="AE131" s="221">
        <v>5</v>
      </c>
      <c r="AF131" s="221">
        <v>5</v>
      </c>
      <c r="AG131" s="221">
        <v>5</v>
      </c>
      <c r="AH131" s="221">
        <v>5</v>
      </c>
      <c r="AI131" s="221">
        <v>5</v>
      </c>
      <c r="AJ131" s="221">
        <v>5</v>
      </c>
      <c r="AK131" s="221">
        <v>5</v>
      </c>
      <c r="AL131" s="140">
        <f t="shared" ref="AL131:AL132" si="148">AVERAGE(E131:K131,M131:U131,W131:AC131,AE131:AK131)</f>
        <v>5</v>
      </c>
    </row>
    <row r="132" spans="1:38" ht="27.75" customHeight="1" thickBot="1" x14ac:dyDescent="0.35">
      <c r="A132" s="30">
        <v>3</v>
      </c>
      <c r="B132" s="290" t="s">
        <v>87</v>
      </c>
      <c r="C132" s="290" t="s">
        <v>143</v>
      </c>
      <c r="D132" s="99">
        <f>AVERAGE(E132:K132)</f>
        <v>4.5</v>
      </c>
      <c r="E132" s="23">
        <v>4</v>
      </c>
      <c r="F132" s="68">
        <v>4</v>
      </c>
      <c r="G132" s="48">
        <v>5</v>
      </c>
      <c r="H132" s="48">
        <v>5</v>
      </c>
      <c r="I132" s="48">
        <v>4</v>
      </c>
      <c r="J132" s="68">
        <v>5</v>
      </c>
      <c r="K132" s="314" t="s">
        <v>150</v>
      </c>
      <c r="L132" s="322">
        <f>AVERAGE(M132:U132)</f>
        <v>4.2222222222222223</v>
      </c>
      <c r="M132" s="317">
        <v>4</v>
      </c>
      <c r="N132" s="125">
        <v>5</v>
      </c>
      <c r="O132" s="125">
        <v>5</v>
      </c>
      <c r="P132" s="125">
        <v>4</v>
      </c>
      <c r="Q132" s="125">
        <v>4</v>
      </c>
      <c r="R132" s="125">
        <v>4</v>
      </c>
      <c r="S132" s="136">
        <v>4</v>
      </c>
      <c r="T132" s="124">
        <v>4</v>
      </c>
      <c r="U132" s="184">
        <v>4</v>
      </c>
      <c r="V132" s="324">
        <f>AVERAGE(W132:AC132)</f>
        <v>4.1428571428571432</v>
      </c>
      <c r="W132" s="309">
        <v>4</v>
      </c>
      <c r="X132" s="152">
        <v>4</v>
      </c>
      <c r="Y132" s="152">
        <v>5</v>
      </c>
      <c r="Z132" s="152">
        <v>4</v>
      </c>
      <c r="AA132" s="152">
        <v>4</v>
      </c>
      <c r="AB132" s="152">
        <v>4</v>
      </c>
      <c r="AC132" s="152">
        <v>4</v>
      </c>
      <c r="AD132" s="222">
        <f>AVERAGE(AE132:AK132)</f>
        <v>4.2857142857142856</v>
      </c>
      <c r="AE132" s="221">
        <v>5</v>
      </c>
      <c r="AF132" s="221">
        <v>4</v>
      </c>
      <c r="AG132" s="221">
        <v>4</v>
      </c>
      <c r="AH132" s="221">
        <v>4</v>
      </c>
      <c r="AI132" s="221">
        <v>4</v>
      </c>
      <c r="AJ132" s="221">
        <v>5</v>
      </c>
      <c r="AK132" s="221">
        <v>4</v>
      </c>
      <c r="AL132" s="140">
        <f t="shared" si="148"/>
        <v>4.2758620689655169</v>
      </c>
    </row>
    <row r="133" spans="1:38" ht="19.5" thickBot="1" x14ac:dyDescent="0.35">
      <c r="A133" s="331" t="s">
        <v>4</v>
      </c>
      <c r="B133" s="332"/>
      <c r="C133" s="333"/>
      <c r="D133" s="111">
        <f>SUM(E133:K133)</f>
        <v>12</v>
      </c>
      <c r="E133" s="21">
        <f>COUNTIF(E130:E132,5)</f>
        <v>2</v>
      </c>
      <c r="F133" s="21">
        <f t="shared" ref="F133:K133" si="149">COUNTIF(F130:F132,5)</f>
        <v>2</v>
      </c>
      <c r="G133" s="21">
        <f t="shared" si="149"/>
        <v>2</v>
      </c>
      <c r="H133" s="21">
        <f t="shared" si="149"/>
        <v>3</v>
      </c>
      <c r="I133" s="21">
        <f t="shared" si="149"/>
        <v>1</v>
      </c>
      <c r="J133" s="21">
        <f t="shared" si="149"/>
        <v>2</v>
      </c>
      <c r="K133" s="21">
        <f t="shared" si="149"/>
        <v>0</v>
      </c>
      <c r="L133" s="321">
        <f>SUM(M133:U133)</f>
        <v>20</v>
      </c>
      <c r="M133" s="114">
        <f>COUNTIF(M130:M132,5)</f>
        <v>2</v>
      </c>
      <c r="N133" s="80">
        <f t="shared" ref="N133:S133" si="150">COUNTIF(N130:N132,5)</f>
        <v>3</v>
      </c>
      <c r="O133" s="80">
        <f t="shared" si="150"/>
        <v>3</v>
      </c>
      <c r="P133" s="80">
        <f t="shared" si="150"/>
        <v>2</v>
      </c>
      <c r="Q133" s="80">
        <f t="shared" si="150"/>
        <v>2</v>
      </c>
      <c r="R133" s="80">
        <f t="shared" si="150"/>
        <v>2</v>
      </c>
      <c r="S133" s="76">
        <f t="shared" si="150"/>
        <v>2</v>
      </c>
      <c r="T133" s="76">
        <f t="shared" ref="T133:U133" si="151">COUNTIF(T130:T132,5)</f>
        <v>2</v>
      </c>
      <c r="U133" s="76">
        <f t="shared" si="151"/>
        <v>2</v>
      </c>
      <c r="V133" s="323">
        <f>SUM(W133:AC133)</f>
        <v>15</v>
      </c>
      <c r="W133" s="168">
        <f t="shared" ref="W133:AC133" si="152">COUNTIF(W130:W132,5)</f>
        <v>2</v>
      </c>
      <c r="X133" s="168">
        <f t="shared" si="152"/>
        <v>2</v>
      </c>
      <c r="Y133" s="168">
        <f t="shared" si="152"/>
        <v>3</v>
      </c>
      <c r="Z133" s="168">
        <f t="shared" si="152"/>
        <v>2</v>
      </c>
      <c r="AA133" s="168">
        <f t="shared" si="152"/>
        <v>2</v>
      </c>
      <c r="AB133" s="168">
        <f t="shared" si="152"/>
        <v>2</v>
      </c>
      <c r="AC133" s="168">
        <f t="shared" si="152"/>
        <v>2</v>
      </c>
      <c r="AD133" s="239">
        <f>SUM(AE133:AK133)</f>
        <v>13</v>
      </c>
      <c r="AE133" s="226">
        <f t="shared" ref="AE133:AK133" si="153">COUNTIF(AE130:AE132,5)</f>
        <v>3</v>
      </c>
      <c r="AF133" s="226">
        <f t="shared" si="153"/>
        <v>2</v>
      </c>
      <c r="AG133" s="226">
        <f t="shared" si="153"/>
        <v>1</v>
      </c>
      <c r="AH133" s="226">
        <f t="shared" si="153"/>
        <v>2</v>
      </c>
      <c r="AI133" s="226">
        <f t="shared" si="153"/>
        <v>1</v>
      </c>
      <c r="AJ133" s="226">
        <f t="shared" si="153"/>
        <v>3</v>
      </c>
      <c r="AK133" s="226">
        <f t="shared" si="153"/>
        <v>1</v>
      </c>
      <c r="AL133" s="166">
        <f>SUM(D133,L133,V133,AD133)</f>
        <v>60</v>
      </c>
    </row>
    <row r="134" spans="1:38" ht="19.5" thickBot="1" x14ac:dyDescent="0.35">
      <c r="A134" s="346" t="s">
        <v>5</v>
      </c>
      <c r="B134" s="347"/>
      <c r="C134" s="348"/>
      <c r="D134" s="111">
        <f t="shared" ref="D134:D136" si="154">SUM(E134:K134)</f>
        <v>6</v>
      </c>
      <c r="E134" s="22">
        <f>COUNTIF(E130:E132,4)</f>
        <v>1</v>
      </c>
      <c r="F134" s="22">
        <f t="shared" ref="F134:K134" si="155">COUNTIF(F130:F132,4)</f>
        <v>1</v>
      </c>
      <c r="G134" s="22">
        <f t="shared" si="155"/>
        <v>1</v>
      </c>
      <c r="H134" s="22">
        <f t="shared" si="155"/>
        <v>0</v>
      </c>
      <c r="I134" s="22">
        <f t="shared" si="155"/>
        <v>2</v>
      </c>
      <c r="J134" s="22">
        <f t="shared" si="155"/>
        <v>1</v>
      </c>
      <c r="K134" s="22">
        <f t="shared" si="155"/>
        <v>0</v>
      </c>
      <c r="L134" s="320">
        <f>SUM(M134:U134)</f>
        <v>7</v>
      </c>
      <c r="M134" s="115">
        <f>COUNTIF(M130:M132,4)</f>
        <v>1</v>
      </c>
      <c r="N134" s="81">
        <f t="shared" ref="N134:S134" si="156">COUNTIF(N130:N132,4)</f>
        <v>0</v>
      </c>
      <c r="O134" s="81">
        <f t="shared" si="156"/>
        <v>0</v>
      </c>
      <c r="P134" s="81">
        <f t="shared" si="156"/>
        <v>1</v>
      </c>
      <c r="Q134" s="81">
        <f t="shared" si="156"/>
        <v>1</v>
      </c>
      <c r="R134" s="81">
        <f t="shared" si="156"/>
        <v>1</v>
      </c>
      <c r="S134" s="77">
        <f t="shared" si="156"/>
        <v>1</v>
      </c>
      <c r="T134" s="77">
        <f t="shared" ref="T134:U136" si="157">COUNTIF(T130:T132,4)</f>
        <v>1</v>
      </c>
      <c r="U134" s="77">
        <f t="shared" si="157"/>
        <v>1</v>
      </c>
      <c r="V134" s="210">
        <f>SUM(W134:AC134)</f>
        <v>6</v>
      </c>
      <c r="W134" s="168">
        <f>COUNTIF(W130:W132,4)</f>
        <v>1</v>
      </c>
      <c r="X134" s="168">
        <f>COUNTIF(X130:X132,4)</f>
        <v>1</v>
      </c>
      <c r="Y134" s="168">
        <f>COUNTIF(Y131:Y133,4)</f>
        <v>0</v>
      </c>
      <c r="Z134" s="168">
        <f>COUNTIF(Z130:Z132,4)</f>
        <v>1</v>
      </c>
      <c r="AA134" s="168">
        <f>COUNTIF(AA131:AA133,4)</f>
        <v>1</v>
      </c>
      <c r="AB134" s="168">
        <f>COUNTIF(AB131:AB133,4)</f>
        <v>1</v>
      </c>
      <c r="AC134" s="168">
        <f>COUNTIF(AC131:AC133,4)</f>
        <v>1</v>
      </c>
      <c r="AD134" s="239">
        <f>SUM(AE134:AK134)</f>
        <v>5</v>
      </c>
      <c r="AE134" s="226">
        <f>COUNTIF(AE130:AE132,4)</f>
        <v>0</v>
      </c>
      <c r="AF134" s="226">
        <f>COUNTIF(AF130:AF132,4)</f>
        <v>1</v>
      </c>
      <c r="AG134" s="226">
        <f>COUNTIF(AG131:AG133,4)</f>
        <v>1</v>
      </c>
      <c r="AH134" s="226">
        <f>COUNTIF(AH130:AH132,4)</f>
        <v>1</v>
      </c>
      <c r="AI134" s="226">
        <f>COUNTIF(AI131:AI133,4)</f>
        <v>1</v>
      </c>
      <c r="AJ134" s="226">
        <f>COUNTIF(AJ131:AJ133,4)</f>
        <v>0</v>
      </c>
      <c r="AK134" s="226">
        <f>COUNTIF(AK131:AK133,4)</f>
        <v>1</v>
      </c>
      <c r="AL134" s="166">
        <f t="shared" ref="AL134:AL136" si="158">SUM(D134,L134,V134,AD134)</f>
        <v>24</v>
      </c>
    </row>
    <row r="135" spans="1:38" ht="19.5" thickBot="1" x14ac:dyDescent="0.35">
      <c r="A135" s="346" t="s">
        <v>6</v>
      </c>
      <c r="B135" s="347"/>
      <c r="C135" s="348"/>
      <c r="D135" s="111">
        <f t="shared" si="154"/>
        <v>0</v>
      </c>
      <c r="E135" s="22">
        <f>COUNTIF(E130:E132,3)</f>
        <v>0</v>
      </c>
      <c r="F135" s="22">
        <f t="shared" ref="F135:K135" si="159">COUNTIF(F130:F132,3)</f>
        <v>0</v>
      </c>
      <c r="G135" s="22">
        <f t="shared" si="159"/>
        <v>0</v>
      </c>
      <c r="H135" s="22">
        <f t="shared" si="159"/>
        <v>0</v>
      </c>
      <c r="I135" s="22">
        <f t="shared" si="159"/>
        <v>0</v>
      </c>
      <c r="J135" s="22">
        <f t="shared" si="159"/>
        <v>0</v>
      </c>
      <c r="K135" s="22">
        <f t="shared" si="159"/>
        <v>0</v>
      </c>
      <c r="L135" s="320">
        <f>SUM(M135:U135)</f>
        <v>0</v>
      </c>
      <c r="M135" s="115">
        <f>COUNTIF(M130:M132,3)</f>
        <v>0</v>
      </c>
      <c r="N135" s="81">
        <f t="shared" ref="N135:U135" si="160">COUNTIF(N130:N132,3)</f>
        <v>0</v>
      </c>
      <c r="O135" s="81">
        <f t="shared" si="160"/>
        <v>0</v>
      </c>
      <c r="P135" s="81">
        <f t="shared" si="160"/>
        <v>0</v>
      </c>
      <c r="Q135" s="81">
        <f t="shared" si="160"/>
        <v>0</v>
      </c>
      <c r="R135" s="81">
        <f t="shared" si="160"/>
        <v>0</v>
      </c>
      <c r="S135" s="77">
        <f t="shared" si="160"/>
        <v>0</v>
      </c>
      <c r="T135" s="77">
        <f t="shared" si="160"/>
        <v>0</v>
      </c>
      <c r="U135" s="77">
        <f t="shared" si="160"/>
        <v>0</v>
      </c>
      <c r="V135" s="210">
        <f>SUM(W135:AC135)</f>
        <v>0</v>
      </c>
      <c r="W135" s="168">
        <f>COUNTIF(W130:W132,3)</f>
        <v>0</v>
      </c>
      <c r="X135" s="168">
        <f t="shared" ref="X135:AC135" si="161">COUNTIF(X132:X134,3)</f>
        <v>0</v>
      </c>
      <c r="Y135" s="168">
        <f>COUNTIF(Y130:Y132,3)</f>
        <v>0</v>
      </c>
      <c r="Z135" s="168">
        <f t="shared" si="161"/>
        <v>0</v>
      </c>
      <c r="AA135" s="168">
        <f t="shared" si="161"/>
        <v>0</v>
      </c>
      <c r="AB135" s="168">
        <f t="shared" si="161"/>
        <v>0</v>
      </c>
      <c r="AC135" s="168">
        <f t="shared" si="161"/>
        <v>0</v>
      </c>
      <c r="AD135" s="239">
        <f>SUM(AE135:AK135)</f>
        <v>1</v>
      </c>
      <c r="AE135" s="226">
        <f>COUNTIF(AE130:AE132,3)</f>
        <v>0</v>
      </c>
      <c r="AF135" s="226">
        <f t="shared" ref="AF135" si="162">COUNTIF(AF132:AF134,3)</f>
        <v>0</v>
      </c>
      <c r="AG135" s="226">
        <f>COUNTIF(AG130:AG132,3)</f>
        <v>0</v>
      </c>
      <c r="AH135" s="226">
        <f t="shared" ref="AH135:AK135" si="163">COUNTIF(AH132:AH134,3)</f>
        <v>0</v>
      </c>
      <c r="AI135" s="226">
        <f t="shared" si="163"/>
        <v>0</v>
      </c>
      <c r="AJ135" s="226">
        <f t="shared" si="163"/>
        <v>1</v>
      </c>
      <c r="AK135" s="226">
        <f t="shared" si="163"/>
        <v>0</v>
      </c>
      <c r="AL135" s="166">
        <f t="shared" si="158"/>
        <v>1</v>
      </c>
    </row>
    <row r="136" spans="1:38" ht="19.5" thickBot="1" x14ac:dyDescent="0.35">
      <c r="A136" s="340" t="s">
        <v>7</v>
      </c>
      <c r="B136" s="341"/>
      <c r="C136" s="342"/>
      <c r="D136" s="111">
        <f t="shared" si="154"/>
        <v>0</v>
      </c>
      <c r="E136" s="23">
        <f>COUNTIF(E130:E132,2)</f>
        <v>0</v>
      </c>
      <c r="F136" s="23">
        <f t="shared" ref="F136:K136" si="164">COUNTIF(F130:F132,2)</f>
        <v>0</v>
      </c>
      <c r="G136" s="23">
        <f t="shared" si="164"/>
        <v>0</v>
      </c>
      <c r="H136" s="23">
        <f t="shared" si="164"/>
        <v>0</v>
      </c>
      <c r="I136" s="23">
        <f t="shared" si="164"/>
        <v>0</v>
      </c>
      <c r="J136" s="23">
        <f t="shared" si="164"/>
        <v>0</v>
      </c>
      <c r="K136" s="23">
        <f t="shared" si="164"/>
        <v>0</v>
      </c>
      <c r="L136" s="320">
        <f>SUM(M136:U136)</f>
        <v>1</v>
      </c>
      <c r="M136" s="116">
        <f>COUNTIF(M130:M132,2)</f>
        <v>0</v>
      </c>
      <c r="N136" s="82">
        <f t="shared" ref="N136:S136" si="165">COUNTIF(N130:N132,2)</f>
        <v>0</v>
      </c>
      <c r="O136" s="82">
        <f t="shared" si="165"/>
        <v>0</v>
      </c>
      <c r="P136" s="82">
        <f t="shared" si="165"/>
        <v>0</v>
      </c>
      <c r="Q136" s="82">
        <f t="shared" si="165"/>
        <v>0</v>
      </c>
      <c r="R136" s="82">
        <f t="shared" si="165"/>
        <v>0</v>
      </c>
      <c r="S136" s="78">
        <f t="shared" si="165"/>
        <v>0</v>
      </c>
      <c r="T136" s="77">
        <f t="shared" si="157"/>
        <v>1</v>
      </c>
      <c r="U136" s="194">
        <f>COUNTIF(U130:U132,2)</f>
        <v>0</v>
      </c>
      <c r="V136" s="210">
        <f>SUM(W136:AC136)</f>
        <v>0</v>
      </c>
      <c r="W136" s="168">
        <f t="shared" ref="W136:AC136" si="166">COUNTIF(W130:W132,2)</f>
        <v>0</v>
      </c>
      <c r="X136" s="168">
        <f t="shared" si="166"/>
        <v>0</v>
      </c>
      <c r="Y136" s="168">
        <f t="shared" si="166"/>
        <v>0</v>
      </c>
      <c r="Z136" s="168">
        <f t="shared" si="166"/>
        <v>0</v>
      </c>
      <c r="AA136" s="168">
        <f t="shared" si="166"/>
        <v>0</v>
      </c>
      <c r="AB136" s="168">
        <f t="shared" si="166"/>
        <v>0</v>
      </c>
      <c r="AC136" s="168">
        <f t="shared" si="166"/>
        <v>0</v>
      </c>
      <c r="AD136" s="239">
        <f>SUM(AE136:AK136)</f>
        <v>0</v>
      </c>
      <c r="AE136" s="226">
        <f t="shared" ref="AE136:AK136" si="167">COUNTIF(AE130:AE132,2)</f>
        <v>0</v>
      </c>
      <c r="AF136" s="226">
        <f t="shared" si="167"/>
        <v>0</v>
      </c>
      <c r="AG136" s="226">
        <f t="shared" si="167"/>
        <v>0</v>
      </c>
      <c r="AH136" s="226">
        <f t="shared" si="167"/>
        <v>0</v>
      </c>
      <c r="AI136" s="226">
        <f t="shared" si="167"/>
        <v>0</v>
      </c>
      <c r="AJ136" s="226">
        <f t="shared" si="167"/>
        <v>0</v>
      </c>
      <c r="AK136" s="226">
        <f t="shared" si="167"/>
        <v>0</v>
      </c>
      <c r="AL136" s="166">
        <f t="shared" si="158"/>
        <v>1</v>
      </c>
    </row>
    <row r="137" spans="1:38" ht="19.5" customHeight="1" thickBot="1" x14ac:dyDescent="0.35">
      <c r="A137" s="379" t="s">
        <v>8</v>
      </c>
      <c r="B137" s="380"/>
      <c r="C137" s="381"/>
      <c r="D137" s="19">
        <f>(D130+D131+D132)/3</f>
        <v>4.666666666666667</v>
      </c>
      <c r="E137" s="50">
        <f>AVERAGE(E130:E132)</f>
        <v>4.666666666666667</v>
      </c>
      <c r="F137" s="50">
        <f t="shared" ref="F137:K137" si="168">AVERAGE(F130:F132)</f>
        <v>4.666666666666667</v>
      </c>
      <c r="G137" s="50">
        <f t="shared" si="168"/>
        <v>4.666666666666667</v>
      </c>
      <c r="H137" s="50">
        <f t="shared" si="168"/>
        <v>5</v>
      </c>
      <c r="I137" s="50">
        <f t="shared" si="168"/>
        <v>4.333333333333333</v>
      </c>
      <c r="J137" s="50">
        <f t="shared" si="168"/>
        <v>4.666666666666667</v>
      </c>
      <c r="K137" s="50" t="e">
        <f t="shared" si="168"/>
        <v>#DIV/0!</v>
      </c>
      <c r="L137" s="117">
        <f>(L130+L131+L132)/3</f>
        <v>4.7407407407407405</v>
      </c>
      <c r="M137" s="318">
        <f>AVERAGE(M130:M132)</f>
        <v>4.666666666666667</v>
      </c>
      <c r="N137" s="83">
        <f t="shared" ref="N137:S137" si="169">AVERAGE(N130:N132)</f>
        <v>5</v>
      </c>
      <c r="O137" s="83">
        <f t="shared" si="169"/>
        <v>5</v>
      </c>
      <c r="P137" s="83">
        <f t="shared" si="169"/>
        <v>4.666666666666667</v>
      </c>
      <c r="Q137" s="83">
        <f t="shared" si="169"/>
        <v>4.666666666666667</v>
      </c>
      <c r="R137" s="83">
        <f t="shared" si="169"/>
        <v>4.666666666666667</v>
      </c>
      <c r="S137" s="83">
        <f t="shared" si="169"/>
        <v>4.666666666666667</v>
      </c>
      <c r="T137" s="83">
        <f t="shared" ref="T137:U137" si="170">AVERAGE(T130:T132)</f>
        <v>4.666666666666667</v>
      </c>
      <c r="U137" s="79">
        <f t="shared" si="170"/>
        <v>4.666666666666667</v>
      </c>
      <c r="V137" s="117">
        <f>(V130+V131+V132)/3</f>
        <v>4.7142857142857144</v>
      </c>
      <c r="W137" s="310">
        <f t="shared" ref="W137:AC137" si="171">AVERAGE(W130:W132)</f>
        <v>4.666666666666667</v>
      </c>
      <c r="X137" s="169">
        <f t="shared" si="171"/>
        <v>4.666666666666667</v>
      </c>
      <c r="Y137" s="169">
        <f t="shared" si="171"/>
        <v>5</v>
      </c>
      <c r="Z137" s="169">
        <f t="shared" si="171"/>
        <v>4.666666666666667</v>
      </c>
      <c r="AA137" s="169">
        <f t="shared" si="171"/>
        <v>4.666666666666667</v>
      </c>
      <c r="AB137" s="169">
        <f t="shared" si="171"/>
        <v>4.666666666666667</v>
      </c>
      <c r="AC137" s="169">
        <f t="shared" si="171"/>
        <v>4.666666666666667</v>
      </c>
      <c r="AD137" s="117">
        <f>(AD130+AD131+AD132)/3</f>
        <v>4.6190476190476195</v>
      </c>
      <c r="AE137" s="245">
        <f t="shared" ref="AE137:AK137" si="172">AVERAGE(AE130:AE132)</f>
        <v>5</v>
      </c>
      <c r="AF137" s="245">
        <f t="shared" si="172"/>
        <v>4.666666666666667</v>
      </c>
      <c r="AG137" s="245">
        <f t="shared" si="172"/>
        <v>4.333333333333333</v>
      </c>
      <c r="AH137" s="245">
        <f t="shared" si="172"/>
        <v>4.666666666666667</v>
      </c>
      <c r="AI137" s="245">
        <f t="shared" si="172"/>
        <v>4.333333333333333</v>
      </c>
      <c r="AJ137" s="245">
        <f t="shared" si="172"/>
        <v>5</v>
      </c>
      <c r="AK137" s="245">
        <f t="shared" si="172"/>
        <v>4.333333333333333</v>
      </c>
      <c r="AL137" s="141">
        <f>(AL133*5+AL134*4+AL135*3+AL136*2)/SUM(AL133:AL136)</f>
        <v>4.6627906976744189</v>
      </c>
    </row>
    <row r="138" spans="1:38" x14ac:dyDescent="0.3">
      <c r="K138" s="20"/>
      <c r="L138" s="20"/>
      <c r="M138" s="20"/>
    </row>
    <row r="139" spans="1:38" x14ac:dyDescent="0.3">
      <c r="K139" s="20"/>
      <c r="L139" s="20"/>
      <c r="M139" s="20"/>
    </row>
  </sheetData>
  <mergeCells count="116">
    <mergeCell ref="A1:AC1"/>
    <mergeCell ref="A24:AC24"/>
    <mergeCell ref="A45:AG45"/>
    <mergeCell ref="B3:B7"/>
    <mergeCell ref="A3:A7"/>
    <mergeCell ref="A19:C19"/>
    <mergeCell ref="A18:C18"/>
    <mergeCell ref="A17:C17"/>
    <mergeCell ref="A20:C20"/>
    <mergeCell ref="A21:C21"/>
    <mergeCell ref="D3:Z3"/>
    <mergeCell ref="D26:Z26"/>
    <mergeCell ref="E6:J6"/>
    <mergeCell ref="K5:K7"/>
    <mergeCell ref="D5:D7"/>
    <mergeCell ref="E28:J28"/>
    <mergeCell ref="U6:Z6"/>
    <mergeCell ref="L28:S28"/>
    <mergeCell ref="K27:K29"/>
    <mergeCell ref="T5:T7"/>
    <mergeCell ref="V76:V78"/>
    <mergeCell ref="A99:AF99"/>
    <mergeCell ref="AB6:AJ6"/>
    <mergeCell ref="AA27:AA29"/>
    <mergeCell ref="AB28:AJ28"/>
    <mergeCell ref="A72:AG72"/>
    <mergeCell ref="D48:D50"/>
    <mergeCell ref="A68:C68"/>
    <mergeCell ref="A65:C65"/>
    <mergeCell ref="A66:C66"/>
    <mergeCell ref="V48:V50"/>
    <mergeCell ref="W49:AD49"/>
    <mergeCell ref="K48:K50"/>
    <mergeCell ref="AA26:AJ26"/>
    <mergeCell ref="D47:AM47"/>
    <mergeCell ref="B26:B29"/>
    <mergeCell ref="C26:C29"/>
    <mergeCell ref="A47:A50"/>
    <mergeCell ref="C3:C7"/>
    <mergeCell ref="AA5:AA7"/>
    <mergeCell ref="A39:C39"/>
    <mergeCell ref="A40:C40"/>
    <mergeCell ref="A42:C42"/>
    <mergeCell ref="AA3:AJ3"/>
    <mergeCell ref="AK3:AK7"/>
    <mergeCell ref="T27:T29"/>
    <mergeCell ref="A41:C41"/>
    <mergeCell ref="AN47:AN50"/>
    <mergeCell ref="A64:C64"/>
    <mergeCell ref="A67:C67"/>
    <mergeCell ref="B47:B50"/>
    <mergeCell ref="C47:C50"/>
    <mergeCell ref="U28:Z28"/>
    <mergeCell ref="D27:D29"/>
    <mergeCell ref="L6:S6"/>
    <mergeCell ref="A26:A29"/>
    <mergeCell ref="A43:C43"/>
    <mergeCell ref="AK26:AK29"/>
    <mergeCell ref="C126:C129"/>
    <mergeCell ref="B126:B129"/>
    <mergeCell ref="W103:AD103"/>
    <mergeCell ref="V102:V104"/>
    <mergeCell ref="K102:K104"/>
    <mergeCell ref="L127:L129"/>
    <mergeCell ref="AE102:AE104"/>
    <mergeCell ref="AF103:AM103"/>
    <mergeCell ref="AD127:AD129"/>
    <mergeCell ref="AE128:AK128"/>
    <mergeCell ref="AF77:AM77"/>
    <mergeCell ref="E49:J49"/>
    <mergeCell ref="AE48:AE50"/>
    <mergeCell ref="AF49:AM49"/>
    <mergeCell ref="L49:U49"/>
    <mergeCell ref="A137:C137"/>
    <mergeCell ref="A134:C134"/>
    <mergeCell ref="A135:C135"/>
    <mergeCell ref="A136:C136"/>
    <mergeCell ref="A117:C117"/>
    <mergeCell ref="A118:C118"/>
    <mergeCell ref="A115:C115"/>
    <mergeCell ref="A116:C116"/>
    <mergeCell ref="A119:C119"/>
    <mergeCell ref="A133:C133"/>
    <mergeCell ref="A126:A129"/>
    <mergeCell ref="A124:AE124"/>
    <mergeCell ref="M128:U128"/>
    <mergeCell ref="V127:V129"/>
    <mergeCell ref="D126:AK126"/>
    <mergeCell ref="AL126:AL129"/>
    <mergeCell ref="D127:D129"/>
    <mergeCell ref="E128:K128"/>
    <mergeCell ref="W128:AC128"/>
    <mergeCell ref="AN101:AN104"/>
    <mergeCell ref="L103:U103"/>
    <mergeCell ref="AN75:AN78"/>
    <mergeCell ref="A91:C91"/>
    <mergeCell ref="W77:AD77"/>
    <mergeCell ref="K76:K78"/>
    <mergeCell ref="A94:C94"/>
    <mergeCell ref="A95:C95"/>
    <mergeCell ref="A93:C93"/>
    <mergeCell ref="A92:C92"/>
    <mergeCell ref="AE76:AE78"/>
    <mergeCell ref="E77:J77"/>
    <mergeCell ref="L77:U77"/>
    <mergeCell ref="D75:AM75"/>
    <mergeCell ref="A75:A78"/>
    <mergeCell ref="B75:B78"/>
    <mergeCell ref="C75:C78"/>
    <mergeCell ref="C101:C104"/>
    <mergeCell ref="D102:D104"/>
    <mergeCell ref="E103:J103"/>
    <mergeCell ref="A101:A104"/>
    <mergeCell ref="B101:B104"/>
    <mergeCell ref="D76:D78"/>
    <mergeCell ref="D101:AD101"/>
  </mergeCells>
  <pageMargins left="0.39370078740157483" right="0.39370078740157483" top="0.39370078740157483" bottom="0.39370078740157483" header="0" footer="0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ведомость</vt:lpstr>
      <vt:lpstr>ведомость!Область_печати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cp:lastPrinted>2019-06-27T05:03:20Z</cp:lastPrinted>
  <dcterms:created xsi:type="dcterms:W3CDTF">2013-10-17T10:52:23Z</dcterms:created>
  <dcterms:modified xsi:type="dcterms:W3CDTF">2025-04-30T12:50:28Z</dcterms:modified>
</cp:coreProperties>
</file>