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 на 08.08\Закон\Experimental Data Nichrome 2025.xlsx\Тонкая\Бальмер энергия передача\"/>
    </mc:Choice>
  </mc:AlternateContent>
  <xr:revisionPtr revIDLastSave="0" documentId="13_ncr:1_{22A97FF7-EEE0-4823-85BE-7D6F91C010EB}" xr6:coauthVersionLast="47" xr6:coauthVersionMax="47" xr10:uidLastSave="{00000000-0000-0000-0000-000000000000}"/>
  <bookViews>
    <workbookView xWindow="4788" yWindow="342" windowWidth="9372" windowHeight="102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B43" i="1"/>
  <c r="C44" i="1" s="1"/>
  <c r="D45" i="1" s="1"/>
  <c r="E46" i="1" s="1"/>
  <c r="F47" i="1" s="1"/>
  <c r="G48" i="1" s="1"/>
  <c r="H49" i="1" s="1"/>
  <c r="I50" i="1" s="1"/>
  <c r="J51" i="1" s="1"/>
  <c r="B44" i="1"/>
  <c r="C45" i="1" s="1"/>
  <c r="D46" i="1" s="1"/>
  <c r="E47" i="1" s="1"/>
  <c r="F48" i="1" s="1"/>
  <c r="G49" i="1" s="1"/>
  <c r="H50" i="1" s="1"/>
  <c r="I51" i="1" s="1"/>
  <c r="B45" i="1"/>
  <c r="C46" i="1" s="1"/>
  <c r="D47" i="1" s="1"/>
  <c r="E48" i="1" s="1"/>
  <c r="F49" i="1" s="1"/>
  <c r="G50" i="1" s="1"/>
  <c r="H51" i="1" s="1"/>
  <c r="B46" i="1"/>
  <c r="C47" i="1" s="1"/>
  <c r="D48" i="1" s="1"/>
  <c r="E49" i="1" s="1"/>
  <c r="F50" i="1" s="1"/>
  <c r="G51" i="1" s="1"/>
  <c r="B47" i="1"/>
  <c r="B48" i="1"/>
  <c r="C49" i="1" s="1"/>
  <c r="D50" i="1" s="1"/>
  <c r="E51" i="1" s="1"/>
  <c r="C48" i="1"/>
  <c r="D49" i="1" s="1"/>
  <c r="E50" i="1" s="1"/>
  <c r="F51" i="1" s="1"/>
  <c r="B49" i="1"/>
  <c r="B50" i="1"/>
  <c r="C51" i="1" s="1"/>
  <c r="C50" i="1"/>
  <c r="D51" i="1" s="1"/>
  <c r="B51" i="1"/>
  <c r="C42" i="1"/>
  <c r="D43" i="1" s="1"/>
  <c r="E44" i="1" s="1"/>
  <c r="F45" i="1" s="1"/>
  <c r="G46" i="1" s="1"/>
  <c r="H47" i="1" s="1"/>
  <c r="I48" i="1" s="1"/>
  <c r="J49" i="1" s="1"/>
  <c r="K50" i="1" s="1"/>
  <c r="D42" i="1"/>
  <c r="E43" i="1" s="1"/>
  <c r="F44" i="1" s="1"/>
  <c r="G45" i="1" s="1"/>
  <c r="H46" i="1" s="1"/>
  <c r="I47" i="1" s="1"/>
  <c r="J48" i="1" s="1"/>
  <c r="K49" i="1" s="1"/>
  <c r="E42" i="1"/>
  <c r="F43" i="1" s="1"/>
  <c r="G44" i="1" s="1"/>
  <c r="F42" i="1"/>
  <c r="G43" i="1" s="1"/>
  <c r="H44" i="1" s="1"/>
  <c r="I45" i="1" s="1"/>
  <c r="J46" i="1" s="1"/>
  <c r="K47" i="1" s="1"/>
  <c r="G42" i="1"/>
  <c r="H43" i="1" s="1"/>
  <c r="I44" i="1" s="1"/>
  <c r="J45" i="1" s="1"/>
  <c r="K46" i="1" s="1"/>
  <c r="H42" i="1"/>
  <c r="I43" i="1" s="1"/>
  <c r="J44" i="1" s="1"/>
  <c r="K45" i="1" s="1"/>
  <c r="I42" i="1"/>
  <c r="J43" i="1" s="1"/>
  <c r="K44" i="1" s="1"/>
  <c r="J42" i="1"/>
  <c r="K43" i="1" s="1"/>
  <c r="K42" i="1"/>
  <c r="B42" i="1"/>
  <c r="C43" i="1" s="1"/>
  <c r="D44" i="1" s="1"/>
  <c r="E45" i="1" s="1"/>
  <c r="F46" i="1" s="1"/>
  <c r="G47" i="1" s="1"/>
  <c r="H48" i="1" s="1"/>
  <c r="I49" i="1" s="1"/>
  <c r="J50" i="1" s="1"/>
  <c r="K51" i="1" s="1"/>
  <c r="B57" i="1"/>
  <c r="H45" i="1" l="1"/>
  <c r="I46" i="1" s="1"/>
  <c r="J47" i="1" s="1"/>
  <c r="K48" i="1" s="1"/>
  <c r="B56" i="1"/>
</calcChain>
</file>

<file path=xl/sharedStrings.xml><?xml version="1.0" encoding="utf-8"?>
<sst xmlns="http://schemas.openxmlformats.org/spreadsheetml/2006/main" count="5" uniqueCount="5">
  <si>
    <t>энергия упала в 9 раз</t>
  </si>
  <si>
    <t>y</t>
  </si>
  <si>
    <t>препятствие</t>
  </si>
  <si>
    <t>круг</t>
  </si>
  <si>
    <t>нормальное распространение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</si>
</sst>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rgb="FF494949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quotePrefix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501650</xdr:colOff>
      <xdr:row>40</xdr:row>
      <xdr:rowOff>25400</xdr:rowOff>
    </xdr:from>
    <xdr:to>
      <xdr:col>6</xdr:col>
      <xdr:colOff>501650</xdr:colOff>
      <xdr:row>53</xdr:row>
      <xdr:rowOff>171450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5CAEC18B-C77B-9D36-9A3A-6457CE90CDB5}"/>
            </a:ext>
          </a:extLst>
        </xdr:cNvPr>
        <xdr:cNvCxnSpPr/>
      </xdr:nvCxnSpPr>
      <xdr:spPr>
        <a:xfrm flipH="1">
          <a:off x="4781550" y="558800"/>
          <a:ext cx="0" cy="2457450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219710</xdr:colOff>
      <xdr:row>46</xdr:row>
      <xdr:rowOff>100012</xdr:rowOff>
    </xdr:from>
    <xdr:to>
      <xdr:col>13</xdr:col>
      <xdr:colOff>276860</xdr:colOff>
      <xdr:row>46</xdr:row>
      <xdr:rowOff>100012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1BFDA171-47EE-FA1B-B0E0-127323F0B117}"/>
            </a:ext>
          </a:extLst>
        </xdr:cNvPr>
        <xdr:cNvCxnSpPr/>
      </xdr:nvCxnSpPr>
      <xdr:spPr>
        <a:xfrm flipV="1">
          <a:off x="219710" y="8337232"/>
          <a:ext cx="985266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315277</xdr:colOff>
      <xdr:row>41</xdr:row>
      <xdr:rowOff>152400</xdr:rowOff>
    </xdr:from>
    <xdr:to>
      <xdr:col>8</xdr:col>
      <xdr:colOff>231140</xdr:colOff>
      <xdr:row>51</xdr:row>
      <xdr:rowOff>95250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47543755-F433-67D9-5125-78CC01EFD142}"/>
            </a:ext>
          </a:extLst>
        </xdr:cNvPr>
        <xdr:cNvCxnSpPr/>
      </xdr:nvCxnSpPr>
      <xdr:spPr>
        <a:xfrm>
          <a:off x="3123247" y="7494270"/>
          <a:ext cx="3489643" cy="1733550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36</xdr:row>
      <xdr:rowOff>119063</xdr:rowOff>
    </xdr:from>
    <xdr:to>
      <xdr:col>9</xdr:col>
      <xdr:colOff>471487</xdr:colOff>
      <xdr:row>53</xdr:row>
      <xdr:rowOff>504826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14D07C28-F6EA-96B5-DEFE-1618A3E00574}"/>
            </a:ext>
          </a:extLst>
        </xdr:cNvPr>
        <xdr:cNvCxnSpPr/>
      </xdr:nvCxnSpPr>
      <xdr:spPr>
        <a:xfrm flipV="1">
          <a:off x="2195513" y="6634163"/>
          <a:ext cx="5386387" cy="3462338"/>
        </a:xfrm>
        <a:prstGeom prst="line">
          <a:avLst/>
        </a:prstGeom>
        <a:ln w="158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533491</xdr:colOff>
      <xdr:row>45</xdr:row>
      <xdr:rowOff>82064</xdr:rowOff>
    </xdr:from>
    <xdr:to>
      <xdr:col>8</xdr:col>
      <xdr:colOff>212613</xdr:colOff>
      <xdr:row>46</xdr:row>
      <xdr:rowOff>81955</xdr:rowOff>
    </xdr:to>
    <xdr:sp macro="" textlink="">
      <xdr:nvSpPr>
        <xdr:cNvPr id="32" name="Овал 31">
          <a:extLst>
            <a:ext uri="{FF2B5EF4-FFF2-40B4-BE49-F238E27FC236}">
              <a16:creationId xmlns:a16="http://schemas.microsoft.com/office/drawing/2014/main" id="{DBDB7DF6-5930-92DB-B64C-170B7FC30866}"/>
            </a:ext>
          </a:extLst>
        </xdr:cNvPr>
        <xdr:cNvSpPr/>
      </xdr:nvSpPr>
      <xdr:spPr>
        <a:xfrm rot="3480000">
          <a:off x="4883723" y="6543765"/>
          <a:ext cx="177691" cy="3256289"/>
        </a:xfrm>
        <a:prstGeom prst="ellipse">
          <a:avLst/>
        </a:prstGeom>
        <a:noFill/>
        <a:ln w="158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623053</xdr:colOff>
      <xdr:row>46</xdr:row>
      <xdr:rowOff>103869</xdr:rowOff>
    </xdr:from>
    <xdr:to>
      <xdr:col>8</xdr:col>
      <xdr:colOff>210792</xdr:colOff>
      <xdr:row>47</xdr:row>
      <xdr:rowOff>106069</xdr:rowOff>
    </xdr:to>
    <xdr:sp macro="" textlink="">
      <xdr:nvSpPr>
        <xdr:cNvPr id="52" name="Овал 51">
          <a:extLst>
            <a:ext uri="{FF2B5EF4-FFF2-40B4-BE49-F238E27FC236}">
              <a16:creationId xmlns:a16="http://schemas.microsoft.com/office/drawing/2014/main" id="{F2B38815-6A8E-4C46-A5E6-02A592D678D3}"/>
            </a:ext>
          </a:extLst>
        </xdr:cNvPr>
        <xdr:cNvSpPr/>
      </xdr:nvSpPr>
      <xdr:spPr>
        <a:xfrm rot="6960000">
          <a:off x="4926439" y="6790216"/>
          <a:ext cx="180000" cy="3164906"/>
        </a:xfrm>
        <a:prstGeom prst="ellipse">
          <a:avLst/>
        </a:prstGeom>
        <a:noFill/>
        <a:ln w="158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409577</xdr:colOff>
      <xdr:row>41</xdr:row>
      <xdr:rowOff>109553</xdr:rowOff>
    </xdr:from>
    <xdr:to>
      <xdr:col>7</xdr:col>
      <xdr:colOff>428612</xdr:colOff>
      <xdr:row>51</xdr:row>
      <xdr:rowOff>9525</xdr:rowOff>
    </xdr:to>
    <xdr:sp macro="" textlink="">
      <xdr:nvSpPr>
        <xdr:cNvPr id="54" name="Овал 53">
          <a:extLst>
            <a:ext uri="{FF2B5EF4-FFF2-40B4-BE49-F238E27FC236}">
              <a16:creationId xmlns:a16="http://schemas.microsoft.com/office/drawing/2014/main" id="{55CF881B-AF35-E9F6-DB14-59E318799193}"/>
            </a:ext>
          </a:extLst>
        </xdr:cNvPr>
        <xdr:cNvSpPr>
          <a:spLocks noChangeAspect="1"/>
        </xdr:cNvSpPr>
      </xdr:nvSpPr>
      <xdr:spPr>
        <a:xfrm>
          <a:off x="3948115" y="7529528"/>
          <a:ext cx="1709722" cy="170972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466725</xdr:colOff>
      <xdr:row>46</xdr:row>
      <xdr:rowOff>7620</xdr:rowOff>
    </xdr:from>
    <xdr:to>
      <xdr:col>5</xdr:col>
      <xdr:colOff>617220</xdr:colOff>
      <xdr:row>48</xdr:row>
      <xdr:rowOff>28575</xdr:rowOff>
    </xdr:to>
    <xdr:cxnSp macro="">
      <xdr:nvCxnSpPr>
        <xdr:cNvPr id="60" name="Прямая со стрелкой 59">
          <a:extLst>
            <a:ext uri="{FF2B5EF4-FFF2-40B4-BE49-F238E27FC236}">
              <a16:creationId xmlns:a16="http://schemas.microsoft.com/office/drawing/2014/main" id="{FBCCDC1E-9110-4EAC-E38F-0FD989C7FA22}"/>
            </a:ext>
          </a:extLst>
        </xdr:cNvPr>
        <xdr:cNvCxnSpPr/>
      </xdr:nvCxnSpPr>
      <xdr:spPr>
        <a:xfrm flipH="1">
          <a:off x="4010025" y="8244840"/>
          <a:ext cx="150495" cy="379095"/>
        </a:xfrm>
        <a:prstGeom prst="straightConnector1">
          <a:avLst/>
        </a:prstGeom>
        <a:ln w="22225">
          <a:solidFill>
            <a:srgbClr val="92D050"/>
          </a:solidFill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736293</xdr:colOff>
      <xdr:row>43</xdr:row>
      <xdr:rowOff>20435</xdr:rowOff>
    </xdr:from>
    <xdr:to>
      <xdr:col>5</xdr:col>
      <xdr:colOff>179693</xdr:colOff>
      <xdr:row>50</xdr:row>
      <xdr:rowOff>143835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E6D9AE52-3686-4864-99DF-E8375BC43D2B}"/>
            </a:ext>
          </a:extLst>
        </xdr:cNvPr>
        <xdr:cNvSpPr/>
      </xdr:nvSpPr>
      <xdr:spPr>
        <a:xfrm>
          <a:off x="3547226" y="7665835"/>
          <a:ext cx="180000" cy="1368000"/>
        </a:xfrm>
        <a:prstGeom prst="ellipse">
          <a:avLst/>
        </a:prstGeom>
        <a:noFill/>
        <a:ln w="158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42436</xdr:colOff>
      <xdr:row>50</xdr:row>
      <xdr:rowOff>36048</xdr:rowOff>
    </xdr:from>
    <xdr:to>
      <xdr:col>8</xdr:col>
      <xdr:colOff>35957</xdr:colOff>
      <xdr:row>51</xdr:row>
      <xdr:rowOff>38248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758B2E7B-FB68-40F1-95DA-219BE725B8EC}"/>
            </a:ext>
          </a:extLst>
        </xdr:cNvPr>
        <xdr:cNvSpPr/>
      </xdr:nvSpPr>
      <xdr:spPr>
        <a:xfrm rot="5400000">
          <a:off x="4917013" y="7599004"/>
          <a:ext cx="180000" cy="2834088"/>
        </a:xfrm>
        <a:prstGeom prst="ellipse">
          <a:avLst/>
        </a:prstGeom>
        <a:noFill/>
        <a:ln w="158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42653</xdr:colOff>
      <xdr:row>41</xdr:row>
      <xdr:rowOff>140739</xdr:rowOff>
    </xdr:from>
    <xdr:to>
      <xdr:col>7</xdr:col>
      <xdr:colOff>1138973</xdr:colOff>
      <xdr:row>42</xdr:row>
      <xdr:rowOff>142939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C250A850-1802-4C23-A2B3-571F9E164C39}"/>
            </a:ext>
          </a:extLst>
        </xdr:cNvPr>
        <xdr:cNvSpPr/>
      </xdr:nvSpPr>
      <xdr:spPr>
        <a:xfrm rot="4920000">
          <a:off x="4895013" y="6125712"/>
          <a:ext cx="180000" cy="2789654"/>
        </a:xfrm>
        <a:prstGeom prst="ellipse">
          <a:avLst/>
        </a:prstGeom>
        <a:noFill/>
        <a:ln w="158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1016000</xdr:colOff>
      <xdr:row>41</xdr:row>
      <xdr:rowOff>41602</xdr:rowOff>
    </xdr:from>
    <xdr:to>
      <xdr:col>8</xdr:col>
      <xdr:colOff>48767</xdr:colOff>
      <xdr:row>50</xdr:row>
      <xdr:rowOff>152400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3029E95E-E213-4D50-861E-D971226E9761}"/>
            </a:ext>
          </a:extLst>
        </xdr:cNvPr>
        <xdr:cNvSpPr/>
      </xdr:nvSpPr>
      <xdr:spPr>
        <a:xfrm>
          <a:off x="6256867" y="7331402"/>
          <a:ext cx="180000" cy="1710998"/>
        </a:xfrm>
        <a:prstGeom prst="ellipse">
          <a:avLst/>
        </a:prstGeom>
        <a:noFill/>
        <a:ln w="158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1:L59"/>
  <sheetViews>
    <sheetView tabSelected="1" topLeftCell="C36" zoomScale="70" zoomScaleNormal="70" workbookViewId="0">
      <selection activeCell="H59" sqref="H59"/>
    </sheetView>
  </sheetViews>
  <sheetFormatPr defaultRowHeight="14.1" x14ac:dyDescent="0.5"/>
  <cols>
    <col min="1" max="1" width="8.83984375" style="3"/>
    <col min="2" max="2" width="10.62890625" style="3" bestFit="1" customWidth="1"/>
    <col min="3" max="3" width="9.15625" style="3" bestFit="1" customWidth="1"/>
    <col min="4" max="6" width="10.15625" style="3" bestFit="1" customWidth="1"/>
    <col min="7" max="7" width="13.20703125" style="3" bestFit="1" customWidth="1"/>
    <col min="8" max="8" width="15.83984375" style="3" customWidth="1"/>
    <col min="9" max="10" width="10.15625" style="3" bestFit="1" customWidth="1"/>
    <col min="11" max="11" width="9.15625" style="3" bestFit="1" customWidth="1"/>
    <col min="12" max="16384" width="8.83984375" style="3"/>
  </cols>
  <sheetData>
    <row r="41" spans="1:12" x14ac:dyDescent="0.5">
      <c r="A41" s="2">
        <v>1000</v>
      </c>
      <c r="B41" s="2">
        <v>-5</v>
      </c>
      <c r="C41" s="2">
        <v>-4</v>
      </c>
      <c r="D41" s="2">
        <v>-3</v>
      </c>
      <c r="E41" s="2">
        <v>-2</v>
      </c>
      <c r="F41" s="2">
        <v>-1</v>
      </c>
      <c r="G41" s="2">
        <v>0</v>
      </c>
      <c r="H41" s="2">
        <v>1</v>
      </c>
      <c r="I41" s="2">
        <v>2</v>
      </c>
      <c r="J41" s="2">
        <v>3</v>
      </c>
      <c r="K41" s="2">
        <v>4</v>
      </c>
      <c r="L41" s="6"/>
    </row>
    <row r="42" spans="1:12" x14ac:dyDescent="0.5">
      <c r="A42" s="4">
        <v>-5</v>
      </c>
      <c r="B42" s="7">
        <f t="shared" ref="B42:K42" si="0">1000 / ((B$41 - 0)^2 + (A41- 0)^2 + 0.001)</f>
        <v>9.9997499962503427E-4</v>
      </c>
      <c r="C42" s="7">
        <f t="shared" si="0"/>
        <v>24.389649032950416</v>
      </c>
      <c r="D42" s="7">
        <f t="shared" si="0"/>
        <v>39.998400063997437</v>
      </c>
      <c r="E42" s="7">
        <f t="shared" si="0"/>
        <v>76.917160218444735</v>
      </c>
      <c r="F42" s="7">
        <f t="shared" si="0"/>
        <v>199.9600079984003</v>
      </c>
      <c r="G42" s="8">
        <f t="shared" si="0"/>
        <v>999.00099900099906</v>
      </c>
      <c r="H42" s="8">
        <f t="shared" si="0"/>
        <v>999.00099900099906</v>
      </c>
      <c r="I42" s="7">
        <f t="shared" si="0"/>
        <v>199.9600079984003</v>
      </c>
      <c r="J42" s="7">
        <f t="shared" si="0"/>
        <v>76.917160218444735</v>
      </c>
      <c r="K42" s="7">
        <f t="shared" si="0"/>
        <v>39.998400063997437</v>
      </c>
    </row>
    <row r="43" spans="1:12" x14ac:dyDescent="0.5">
      <c r="A43" s="4">
        <v>-4</v>
      </c>
      <c r="B43" s="7">
        <f t="shared" ref="B43:B51" si="1">1000 / ((B$41 - 0)^2 + (A42- 0)^2 + 0.001)</f>
        <v>19.999600007999842</v>
      </c>
      <c r="C43" s="8">
        <f t="shared" ref="C43:K51" si="2">1000 / ((C$41 - 0)^2 + (B42- 0)^2 + 0.001)</f>
        <v>62.496090088559129</v>
      </c>
      <c r="D43" s="7">
        <f t="shared" si="2"/>
        <v>1.6560240077145127</v>
      </c>
      <c r="E43" s="7">
        <f t="shared" si="2"/>
        <v>0.62349075968723622</v>
      </c>
      <c r="F43" s="7">
        <f t="shared" si="2"/>
        <v>0.16899740747907846</v>
      </c>
      <c r="G43" s="7">
        <f t="shared" si="2"/>
        <v>2.501000037449987E-2</v>
      </c>
      <c r="H43" s="7">
        <f t="shared" si="2"/>
        <v>1.0019999949909977E-3</v>
      </c>
      <c r="I43" s="7">
        <f t="shared" si="2"/>
        <v>1.001996982988082E-3</v>
      </c>
      <c r="J43" s="7">
        <f t="shared" si="2"/>
        <v>2.5004372140290537E-2</v>
      </c>
      <c r="K43" s="7">
        <f t="shared" si="2"/>
        <v>0.16857008885914276</v>
      </c>
    </row>
    <row r="44" spans="1:12" x14ac:dyDescent="0.5">
      <c r="A44" s="4">
        <v>-3</v>
      </c>
      <c r="B44" s="7">
        <f t="shared" si="1"/>
        <v>24.389649032950416</v>
      </c>
      <c r="C44" s="7">
        <f t="shared" si="2"/>
        <v>2.4039328313428197</v>
      </c>
      <c r="D44" s="7">
        <f t="shared" si="2"/>
        <v>0.25544335247107364</v>
      </c>
      <c r="E44" s="7">
        <f t="shared" si="2"/>
        <v>148.29280472263525</v>
      </c>
      <c r="F44" s="8">
        <f t="shared" si="2"/>
        <v>719.55867758138982</v>
      </c>
      <c r="G44" s="8">
        <f t="shared" si="2"/>
        <v>33829.357717735918</v>
      </c>
      <c r="H44" s="8">
        <f t="shared" si="2"/>
        <v>998.37713784389507</v>
      </c>
      <c r="I44" s="7">
        <f t="shared" si="2"/>
        <v>249.93745290222441</v>
      </c>
      <c r="J44" s="7">
        <f t="shared" si="2"/>
        <v>111.0987544114074</v>
      </c>
      <c r="K44" s="7">
        <f t="shared" si="2"/>
        <v>62.493652134533498</v>
      </c>
    </row>
    <row r="45" spans="1:12" x14ac:dyDescent="0.5">
      <c r="A45" s="4">
        <v>-2</v>
      </c>
      <c r="B45" s="7">
        <f t="shared" si="1"/>
        <v>29.410899679421195</v>
      </c>
      <c r="C45" s="7">
        <f t="shared" si="2"/>
        <v>1.6370470828181716</v>
      </c>
      <c r="D45" s="7">
        <f t="shared" si="2"/>
        <v>67.659488204838738</v>
      </c>
      <c r="E45" s="7">
        <f t="shared" si="2"/>
        <v>245.92675775974158</v>
      </c>
      <c r="F45" s="7">
        <f t="shared" si="2"/>
        <v>4.547158296943149E-2</v>
      </c>
      <c r="G45" s="7">
        <f t="shared" si="2"/>
        <v>1.9313792857067668E-3</v>
      </c>
      <c r="H45" s="7">
        <f t="shared" si="2"/>
        <v>8.7380091444350818E-7</v>
      </c>
      <c r="I45" s="7">
        <f t="shared" si="2"/>
        <v>1.0032496154262628E-3</v>
      </c>
      <c r="J45" s="7">
        <f t="shared" si="2"/>
        <v>1.6005702802905922E-2</v>
      </c>
      <c r="K45" s="7">
        <f t="shared" si="2"/>
        <v>8.0913125779866701E-2</v>
      </c>
    </row>
    <row r="46" spans="1:12" x14ac:dyDescent="0.5">
      <c r="A46" s="4">
        <v>-1</v>
      </c>
      <c r="B46" s="7">
        <f t="shared" si="1"/>
        <v>34.481569601048236</v>
      </c>
      <c r="C46" s="7">
        <f t="shared" si="2"/>
        <v>1.135071177309416</v>
      </c>
      <c r="D46" s="7">
        <f t="shared" si="2"/>
        <v>85.609672030354247</v>
      </c>
      <c r="E46" s="7">
        <f t="shared" si="2"/>
        <v>0.21825448450573021</v>
      </c>
      <c r="F46" s="7">
        <f t="shared" si="2"/>
        <v>1.6534126030932517E-2</v>
      </c>
      <c r="G46" s="8">
        <f t="shared" si="2"/>
        <v>325980.85070309672</v>
      </c>
      <c r="H46" s="8">
        <f t="shared" si="2"/>
        <v>998.99727623820286</v>
      </c>
      <c r="I46" s="7">
        <f t="shared" si="2"/>
        <v>249.937515621047</v>
      </c>
      <c r="J46" s="7">
        <f t="shared" si="2"/>
        <v>111.09875438040396</v>
      </c>
      <c r="K46" s="7">
        <f t="shared" si="2"/>
        <v>62.495093422244921</v>
      </c>
    </row>
    <row r="47" spans="1:12" x14ac:dyDescent="0.5">
      <c r="A47" s="4">
        <v>0</v>
      </c>
      <c r="B47" s="7">
        <f t="shared" si="1"/>
        <v>38.460059228491211</v>
      </c>
      <c r="C47" s="7">
        <f t="shared" si="2"/>
        <v>0.82988953922419184</v>
      </c>
      <c r="D47" s="7">
        <f t="shared" si="2"/>
        <v>97.187523518751433</v>
      </c>
      <c r="E47" s="7">
        <f t="shared" si="2"/>
        <v>0.13636951986891271</v>
      </c>
      <c r="F47" s="8">
        <f t="shared" si="2"/>
        <v>953.62064104387468</v>
      </c>
      <c r="G47" s="8">
        <f t="shared" si="2"/>
        <v>785313.1836583704</v>
      </c>
      <c r="H47" s="7">
        <f t="shared" si="2"/>
        <v>9.4105676793604758E-9</v>
      </c>
      <c r="I47" s="7">
        <f t="shared" si="2"/>
        <v>1.0020044508544611E-3</v>
      </c>
      <c r="J47" s="7">
        <f t="shared" si="2"/>
        <v>1.6005694771185811E-2</v>
      </c>
      <c r="K47" s="7">
        <f t="shared" si="2"/>
        <v>8.0913125824967791E-2</v>
      </c>
    </row>
    <row r="48" spans="1:12" x14ac:dyDescent="0.5">
      <c r="A48" s="4">
        <v>1</v>
      </c>
      <c r="B48" s="7">
        <f t="shared" si="1"/>
        <v>39.998400063997437</v>
      </c>
      <c r="C48" s="7">
        <f t="shared" si="2"/>
        <v>0.66881706698190646</v>
      </c>
      <c r="D48" s="7">
        <f t="shared" si="2"/>
        <v>103.20219222068044</v>
      </c>
      <c r="E48" s="7">
        <f t="shared" si="2"/>
        <v>0.10582664884430576</v>
      </c>
      <c r="F48" s="8">
        <f t="shared" si="2"/>
        <v>980.78000155538723</v>
      </c>
      <c r="G48" s="7">
        <f t="shared" si="2"/>
        <v>1.0996354039755935E-3</v>
      </c>
      <c r="H48" s="7">
        <f t="shared" si="2"/>
        <v>1.6214898082732844E-9</v>
      </c>
      <c r="I48" s="7">
        <f t="shared" si="2"/>
        <v>249.93751562109472</v>
      </c>
      <c r="J48" s="7">
        <f t="shared" si="2"/>
        <v>111.09875441122269</v>
      </c>
      <c r="K48" s="7">
        <f t="shared" si="2"/>
        <v>62.495093423249088</v>
      </c>
    </row>
    <row r="49" spans="1:11" x14ac:dyDescent="0.5">
      <c r="A49" s="4">
        <v>2</v>
      </c>
      <c r="B49" s="7">
        <f t="shared" si="1"/>
        <v>38.460059228491211</v>
      </c>
      <c r="C49" s="7">
        <f t="shared" si="2"/>
        <v>0.61886051394348751</v>
      </c>
      <c r="D49" s="7">
        <f t="shared" si="2"/>
        <v>105.83896342164965</v>
      </c>
      <c r="E49" s="7">
        <f t="shared" si="2"/>
        <v>9.3855351348819449E-2</v>
      </c>
      <c r="F49" s="8">
        <f t="shared" si="2"/>
        <v>987.94774917211055</v>
      </c>
      <c r="G49" s="7">
        <f t="shared" si="2"/>
        <v>1.0395773193502954E-3</v>
      </c>
      <c r="H49" s="8">
        <f t="shared" si="2"/>
        <v>998.99979221920842</v>
      </c>
      <c r="I49" s="7">
        <f t="shared" si="2"/>
        <v>249.93751562109472</v>
      </c>
      <c r="J49" s="7">
        <f t="shared" si="2"/>
        <v>1.6005694771179701E-2</v>
      </c>
      <c r="K49" s="7">
        <f t="shared" si="2"/>
        <v>8.0913125780135403E-2</v>
      </c>
    </row>
    <row r="50" spans="1:11" x14ac:dyDescent="0.5">
      <c r="A50" s="4">
        <v>3</v>
      </c>
      <c r="B50" s="7">
        <f t="shared" si="1"/>
        <v>34.481569601048236</v>
      </c>
      <c r="C50" s="7">
        <f t="shared" si="2"/>
        <v>0.66881706698190646</v>
      </c>
      <c r="D50" s="7">
        <f t="shared" si="2"/>
        <v>106.56449733571033</v>
      </c>
      <c r="E50" s="7">
        <f t="shared" si="2"/>
        <v>8.9238806718324487E-2</v>
      </c>
      <c r="F50" s="8">
        <f t="shared" si="2"/>
        <v>990.286451539371</v>
      </c>
      <c r="G50" s="7">
        <f t="shared" si="2"/>
        <v>1.0245473805844303E-3</v>
      </c>
      <c r="H50" s="8">
        <f t="shared" si="2"/>
        <v>998.99992043936481</v>
      </c>
      <c r="I50" s="7">
        <f t="shared" si="2"/>
        <v>1.0019994037845736E-3</v>
      </c>
      <c r="J50" s="7">
        <f t="shared" si="2"/>
        <v>1.6005694771179701E-2</v>
      </c>
      <c r="K50" s="7">
        <f t="shared" si="2"/>
        <v>62.495093423249088</v>
      </c>
    </row>
    <row r="51" spans="1:11" x14ac:dyDescent="0.5">
      <c r="A51" s="4">
        <v>4</v>
      </c>
      <c r="B51" s="7">
        <f t="shared" si="1"/>
        <v>29.410899679421195</v>
      </c>
      <c r="C51" s="7">
        <f t="shared" si="2"/>
        <v>0.82988953922419184</v>
      </c>
      <c r="D51" s="7">
        <f t="shared" si="2"/>
        <v>105.83896342164965</v>
      </c>
      <c r="E51" s="7">
        <f t="shared" si="2"/>
        <v>8.8028222540725315E-2</v>
      </c>
      <c r="F51" s="8">
        <f t="shared" si="2"/>
        <v>991.11606708231716</v>
      </c>
      <c r="G51" s="7">
        <f t="shared" si="2"/>
        <v>1.0197138660004649E-3</v>
      </c>
      <c r="H51" s="8">
        <f t="shared" si="2"/>
        <v>998.99995140101237</v>
      </c>
      <c r="I51" s="7">
        <f t="shared" si="2"/>
        <v>1.0019991465753501E-3</v>
      </c>
      <c r="J51" s="7">
        <f t="shared" si="2"/>
        <v>111.09875441134753</v>
      </c>
      <c r="K51" s="7">
        <f t="shared" si="2"/>
        <v>62.495093423249088</v>
      </c>
    </row>
    <row r="52" spans="1:11" x14ac:dyDescent="0.5">
      <c r="J52" s="4"/>
    </row>
    <row r="53" spans="1:11" x14ac:dyDescent="0.5">
      <c r="A53" s="6"/>
    </row>
    <row r="54" spans="1:11" ht="42.3" x14ac:dyDescent="0.5">
      <c r="A54" s="3" t="s">
        <v>1</v>
      </c>
      <c r="J54" s="1" t="s">
        <v>0</v>
      </c>
    </row>
    <row r="56" spans="1:11" x14ac:dyDescent="0.5">
      <c r="B56" s="3">
        <f>1000 / ((D$41 - 0)^2 + (C43- 0)^2 + 0.001)</f>
        <v>0.25544335247107364</v>
      </c>
      <c r="C56" s="10" t="s">
        <v>4</v>
      </c>
      <c r="D56" s="10"/>
      <c r="E56" s="10"/>
    </row>
    <row r="57" spans="1:11" x14ac:dyDescent="0.5">
      <c r="B57" s="5">
        <f>100/((ROW()-2)^2+(COLUMN()-2)^2)</f>
        <v>3.3057851239669422E-2</v>
      </c>
      <c r="C57" s="9" t="s">
        <v>3</v>
      </c>
    </row>
    <row r="58" spans="1:11" x14ac:dyDescent="0.5">
      <c r="B58" s="3">
        <f>IF(AND(B$41=2,A41= 0), 0, 1000 / ((B$41-0)^2 + (A41-0)^2 + 0.001))</f>
        <v>9.9997499962503427E-4</v>
      </c>
      <c r="C58" s="10" t="s">
        <v>2</v>
      </c>
      <c r="D58" s="10"/>
    </row>
    <row r="59" spans="1:11" x14ac:dyDescent="0.5">
      <c r="I59" s="4"/>
    </row>
  </sheetData>
  <mergeCells count="2">
    <mergeCell ref="C56:E56"/>
    <mergeCell ref="C58:D58"/>
  </mergeCells>
  <conditionalFormatting sqref="B52:K52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B52:L53 L42:L51">
    <cfRule type="colorScale" priority="3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B52:L53 L43:L51">
    <cfRule type="colorScale" priority="2">
      <colorScale>
        <cfvo type="percent" val="0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2025-08-09T09:17:37Z</dcterms:modified>
</cp:coreProperties>
</file>