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28.07\Законы\Эксперимент\Тонкая\"/>
    </mc:Choice>
  </mc:AlternateContent>
  <xr:revisionPtr revIDLastSave="0" documentId="13_ncr:1_{128C8BA7-7797-4B49-BC18-42CE0C3E5CAE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Лист 1" sheetId="2" r:id="rId1"/>
  </sheets>
  <definedNames>
    <definedName name="_xlchart.v1.0" hidden="1">'Лист 1'!$B$3:$B$11</definedName>
    <definedName name="_xlchart.v1.1" hidden="1">'Лист 1'!$C$3:$C$11</definedName>
    <definedName name="_xlchart.v1.10" hidden="1">'Лист 1'!$L$3:$L$11</definedName>
    <definedName name="_xlchart.v1.11" hidden="1">'Лист 1'!$M$3:$M$11</definedName>
    <definedName name="_xlchart.v1.12" hidden="1">'Лист 1'!$N$3:$N$11</definedName>
    <definedName name="_xlchart.v1.13" hidden="1">'Лист 1'!$O$3:$O$11</definedName>
    <definedName name="_xlchart.v1.14" hidden="1">'Лист 1'!$P$3:$P$11</definedName>
    <definedName name="_xlchart.v1.15" hidden="1">'Лист 1'!$Q$3:$Q$11</definedName>
    <definedName name="_xlchart.v1.16" hidden="1">'Лист 1'!$R$3:$R$11</definedName>
    <definedName name="_xlchart.v1.17" hidden="1">'Лист 1'!$S$3:$S$11</definedName>
    <definedName name="_xlchart.v1.2" hidden="1">'Лист 1'!$D$3:$D$11</definedName>
    <definedName name="_xlchart.v1.3" hidden="1">'Лист 1'!$E$3:$E$11</definedName>
    <definedName name="_xlchart.v1.4" hidden="1">'Лист 1'!$F$3:$F$11</definedName>
    <definedName name="_xlchart.v1.5" hidden="1">'Лист 1'!$G$3:$G$11</definedName>
    <definedName name="_xlchart.v1.6" hidden="1">'Лист 1'!$H$3:$H$11</definedName>
    <definedName name="_xlchart.v1.7" hidden="1">'Лист 1'!$I$3:$I$11</definedName>
    <definedName name="_xlchart.v1.8" hidden="1">'Лист 1'!$J$3:$J$11</definedName>
    <definedName name="_xlchart.v1.9" hidden="1">'Лист 1'!$K$3:$K$11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S4" i="2"/>
  <c r="S5" i="2"/>
  <c r="S6" i="2"/>
  <c r="S7" i="2"/>
  <c r="S8" i="2"/>
  <c r="S9" i="2"/>
  <c r="S10" i="2"/>
  <c r="S11" i="2"/>
  <c r="S3" i="2"/>
  <c r="J4" i="2"/>
  <c r="I4" i="2"/>
  <c r="P4" i="2" s="1"/>
  <c r="K5" i="2"/>
  <c r="K4" i="2"/>
  <c r="K6" i="2"/>
  <c r="K7" i="2"/>
  <c r="K8" i="2"/>
  <c r="K9" i="2"/>
  <c r="K10" i="2"/>
  <c r="K11" i="2"/>
  <c r="J5" i="2"/>
  <c r="J6" i="2"/>
  <c r="J7" i="2"/>
  <c r="J8" i="2"/>
  <c r="J9" i="2"/>
  <c r="J10" i="2"/>
  <c r="J11" i="2"/>
  <c r="I5" i="2"/>
  <c r="P5" i="2" s="1"/>
  <c r="I6" i="2"/>
  <c r="P6" i="2" s="1"/>
  <c r="I7" i="2"/>
  <c r="P7" i="2" s="1"/>
  <c r="I8" i="2"/>
  <c r="P8" i="2" s="1"/>
  <c r="I9" i="2"/>
  <c r="P9" i="2" s="1"/>
  <c r="I10" i="2"/>
  <c r="P10" i="2" s="1"/>
  <c r="I11" i="2"/>
  <c r="I3" i="2"/>
  <c r="P3" i="2" s="1"/>
  <c r="Q11" i="2"/>
  <c r="D3" i="2"/>
  <c r="K3" i="2"/>
  <c r="E4" i="2"/>
  <c r="G4" i="2" s="1"/>
  <c r="E5" i="2"/>
  <c r="G5" i="2" s="1"/>
  <c r="E6" i="2"/>
  <c r="E7" i="2"/>
  <c r="E8" i="2"/>
  <c r="E9" i="2"/>
  <c r="E10" i="2"/>
  <c r="E11" i="2"/>
  <c r="E3" i="2"/>
  <c r="D4" i="2"/>
  <c r="D5" i="2"/>
  <c r="D6" i="2"/>
  <c r="D7" i="2"/>
  <c r="D8" i="2"/>
  <c r="D9" i="2"/>
  <c r="H9" i="2" s="1"/>
  <c r="D10" i="2"/>
  <c r="H10" i="2" s="1"/>
  <c r="D11" i="2"/>
  <c r="H11" i="2" s="1"/>
  <c r="R11" i="2"/>
  <c r="J3" i="2"/>
  <c r="H6" i="2"/>
  <c r="H7" i="2"/>
  <c r="H8" i="2"/>
  <c r="R5" i="2" l="1"/>
  <c r="P11" i="2"/>
  <c r="F4" i="2"/>
  <c r="F8" i="2"/>
  <c r="G7" i="2"/>
  <c r="G6" i="2"/>
  <c r="R6" i="2"/>
  <c r="F3" i="2"/>
  <c r="F5" i="2"/>
  <c r="L3" i="2"/>
  <c r="R10" i="2"/>
  <c r="R9" i="2"/>
  <c r="R8" i="2"/>
  <c r="R7" i="2"/>
  <c r="Q10" i="2"/>
  <c r="Q8" i="2"/>
  <c r="Q9" i="2"/>
  <c r="Q7" i="2"/>
  <c r="Q6" i="2"/>
  <c r="Q5" i="2"/>
  <c r="R4" i="2"/>
  <c r="L2" i="2"/>
  <c r="L5" i="2"/>
  <c r="L4" i="2"/>
  <c r="Q4" i="2"/>
  <c r="R3" i="2"/>
  <c r="G3" i="2"/>
  <c r="F7" i="2"/>
  <c r="F6" i="2"/>
  <c r="F11" i="2"/>
  <c r="F10" i="2"/>
  <c r="F9" i="2"/>
  <c r="G10" i="2"/>
  <c r="H4" i="2"/>
  <c r="G9" i="2"/>
  <c r="G11" i="2"/>
  <c r="H5" i="2"/>
  <c r="G8" i="2"/>
  <c r="H3" i="2"/>
  <c r="L10" i="2"/>
  <c r="L9" i="2"/>
  <c r="L7" i="2"/>
  <c r="L8" i="2"/>
  <c r="L6" i="2"/>
  <c r="N11" i="2"/>
  <c r="N8" i="2"/>
  <c r="O7" i="2"/>
  <c r="O5" i="2"/>
  <c r="O10" i="2"/>
  <c r="L11" i="2" l="1"/>
  <c r="M10" i="2"/>
  <c r="O11" i="2"/>
  <c r="M11" i="2"/>
  <c r="O8" i="2"/>
  <c r="M4" i="2"/>
  <c r="N3" i="2"/>
  <c r="N10" i="2"/>
  <c r="M5" i="2"/>
  <c r="N4" i="2"/>
  <c r="O2" i="2"/>
  <c r="N2" i="2"/>
  <c r="N9" i="2"/>
  <c r="M6" i="2"/>
  <c r="O4" i="2"/>
  <c r="N5" i="2"/>
  <c r="M2" i="2"/>
  <c r="M8" i="2"/>
  <c r="N6" i="2"/>
  <c r="O3" i="2"/>
  <c r="M9" i="2"/>
  <c r="O9" i="2"/>
  <c r="N7" i="2"/>
  <c r="M3" i="2"/>
  <c r="O6" i="2"/>
  <c r="M7" i="2"/>
</calcChain>
</file>

<file path=xl/sharedStrings.xml><?xml version="1.0" encoding="utf-8"?>
<sst xmlns="http://schemas.openxmlformats.org/spreadsheetml/2006/main" count="34" uniqueCount="34">
  <si>
    <t>y</t>
  </si>
  <si>
    <t>x</t>
  </si>
  <si>
    <t>z</t>
  </si>
  <si>
    <t>θ (град)</t>
  </si>
  <si>
    <t>φ (град)</t>
  </si>
  <si>
    <t>A1/B1</t>
  </si>
  <si>
    <t>A2</t>
  </si>
  <si>
    <t>A3</t>
  </si>
  <si>
    <t>A4</t>
  </si>
  <si>
    <t>A5</t>
  </si>
  <si>
    <t>A6</t>
  </si>
  <si>
    <t>B2</t>
  </si>
  <si>
    <t>B3</t>
  </si>
  <si>
    <t>B6</t>
  </si>
  <si>
    <t>X-нач</t>
  </si>
  <si>
    <t>Y-нач</t>
  </si>
  <si>
    <t>Y-кон</t>
  </si>
  <si>
    <t>X-кон</t>
  </si>
  <si>
    <t>Источник энергии</t>
  </si>
  <si>
    <t>Зона</t>
  </si>
  <si>
    <t>X-коорд</t>
  </si>
  <si>
    <t>сфера</t>
  </si>
  <si>
    <t>Y-коорд</t>
  </si>
  <si>
    <t>Z-коорд</t>
  </si>
  <si>
    <t>координаты зон треугольников</t>
  </si>
  <si>
    <t xml:space="preserve">Угол θ </t>
  </si>
  <si>
    <t xml:space="preserve">Угол φ </t>
  </si>
  <si>
    <t>Угол φ                                   (фаза волной функции)</t>
  </si>
  <si>
    <t>Угол θ                                                 (тип перехода)</t>
  </si>
  <si>
    <t>Энергетический уровень</t>
  </si>
  <si>
    <t>Растояние от центра</t>
  </si>
  <si>
    <t>1. Малый угол (&lt;30°) - Сильная связь (высокая вероятность перехода)</t>
  </si>
  <si>
    <t>2. Угол ≈90° - Слабый переход (туннельный эффект)</t>
  </si>
  <si>
    <t>3. Большой угол (&gt;150°) - Запрещенная 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</si>
</sst>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Волна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4123680751099892E-2"/>
          <c:y val="0.18381257259063713"/>
          <c:w val="0.77111692313133839"/>
          <c:h val="0.628090660820228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'Лист 1'!$F$3:$F$11</c:f>
              <c:numCache>
                <c:formatCode>#,##0.00</c:formatCode>
                <c:ptCount val="9"/>
                <c:pt idx="0">
                  <c:v>2.3906155241213165</c:v>
                </c:pt>
                <c:pt idx="1">
                  <c:v>4.7783184514725834</c:v>
                </c:pt>
                <c:pt idx="2">
                  <c:v>7.1601997338342631</c:v>
                </c:pt>
                <c:pt idx="3">
                  <c:v>9.5333574157644829</c:v>
                </c:pt>
                <c:pt idx="4">
                  <c:v>11.894900170184728</c:v>
                </c:pt>
                <c:pt idx="5">
                  <c:v>14.241950821016514</c:v>
                </c:pt>
                <c:pt idx="6">
                  <c:v>16.571649848577238</c:v>
                </c:pt>
                <c:pt idx="7">
                  <c:v>18.881158873464447</c:v>
                </c:pt>
                <c:pt idx="8">
                  <c:v>21.167664114683898</c:v>
                </c:pt>
              </c:numCache>
            </c:numRef>
          </c:cat>
          <c:val>
            <c:numRef>
              <c:f>'Лист 1'!$G$3:$G$11</c:f>
              <c:numCache>
                <c:formatCode>#,##0.00</c:formatCode>
                <c:ptCount val="9"/>
                <c:pt idx="0">
                  <c:v>4.1728349191942488E-2</c:v>
                </c:pt>
                <c:pt idx="1">
                  <c:v>0.16686255720203902</c:v>
                </c:pt>
                <c:pt idx="2">
                  <c:v>0.37525016727327642</c:v>
                </c:pt>
                <c:pt idx="3">
                  <c:v>0.66663729120243342</c:v>
                </c:pt>
                <c:pt idx="4">
                  <c:v>1.0406689186637477</c:v>
                </c:pt>
                <c:pt idx="5">
                  <c:v>1.4968893497343139</c:v>
                </c:pt>
                <c:pt idx="6">
                  <c:v>2.0347427500942414</c:v>
                </c:pt>
                <c:pt idx="7">
                  <c:v>2.653573828225158</c:v>
                </c:pt>
                <c:pt idx="8">
                  <c:v>3.3526286337819804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65-4FDF-9DA4-540D379AA6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'Лист 1'!$H$3:$H$11</c:f>
              <c:numCache>
                <c:formatCode>#,##0.00</c:formatCode>
                <c:ptCount val="9"/>
                <c:pt idx="0">
                  <c:v>136.97913423642561</c:v>
                </c:pt>
                <c:pt idx="1">
                  <c:v>136.91654330161612</c:v>
                </c:pt>
                <c:pt idx="2">
                  <c:v>136.81224626137663</c:v>
                </c:pt>
                <c:pt idx="3">
                  <c:v>136.66627488559593</c:v>
                </c:pt>
                <c:pt idx="4">
                  <c:v>136.47867363856915</c:v>
                </c:pt>
                <c:pt idx="5">
                  <c:v>136.24949966545344</c:v>
                </c:pt>
                <c:pt idx="6">
                  <c:v>135.9788227748611</c:v>
                </c:pt>
                <c:pt idx="7">
                  <c:v>135.66672541759513</c:v>
                </c:pt>
                <c:pt idx="8">
                  <c:v>135.31330266153387</c:v>
                </c:pt>
              </c:numCache>
            </c:numRef>
          </c:cat>
          <c:val>
            <c:numRef>
              <c:f>'Лист 1'!$I$3:$I$11</c:f>
              <c:numCache>
                <c:formatCode>#,##0.00</c:formatCode>
                <c:ptCount val="9"/>
                <c:pt idx="0">
                  <c:v>0</c:v>
                </c:pt>
                <c:pt idx="1">
                  <c:v>48.436814511278513</c:v>
                </c:pt>
                <c:pt idx="2">
                  <c:v>-59.322740159234016</c:v>
                </c:pt>
                <c:pt idx="3">
                  <c:v>-137</c:v>
                </c:pt>
                <c:pt idx="4">
                  <c:v>-59.322740159234101</c:v>
                </c:pt>
                <c:pt idx="5">
                  <c:v>48.43681451127852</c:v>
                </c:pt>
                <c:pt idx="6">
                  <c:v>4.1961334580620227E-15</c:v>
                </c:pt>
                <c:pt idx="7">
                  <c:v>-104.94808870729999</c:v>
                </c:pt>
                <c:pt idx="8">
                  <c:v>-3.0845318536410317E-30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65-4FDF-9DA4-540D379AA64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'Лист 1'!$J$3:$J$11</c:f>
              <c:numCache>
                <c:formatCode>#,##0.00</c:formatCode>
                <c:ptCount val="9"/>
                <c:pt idx="0">
                  <c:v>0</c:v>
                </c:pt>
                <c:pt idx="1">
                  <c:v>83.895023690323839</c:v>
                </c:pt>
                <c:pt idx="2">
                  <c:v>102.75</c:v>
                </c:pt>
                <c:pt idx="3">
                  <c:v>1.6784533832248094E-14</c:v>
                </c:pt>
                <c:pt idx="4">
                  <c:v>-102.74999999999997</c:v>
                </c:pt>
                <c:pt idx="5">
                  <c:v>-83.895023690323839</c:v>
                </c:pt>
                <c:pt idx="6">
                  <c:v>68.499999999999986</c:v>
                </c:pt>
                <c:pt idx="7">
                  <c:v>1.2857698872536137E-14</c:v>
                </c:pt>
                <c:pt idx="8">
                  <c:v>-1.6784533832248094E-14</c:v>
                </c:pt>
              </c:numCache>
            </c:numRef>
          </c:cat>
          <c:val>
            <c:numRef>
              <c:f>'Лист 1'!$K$3:$K$11</c:f>
              <c:numCache>
                <c:formatCode>#,##0.00</c:formatCode>
                <c:ptCount val="9"/>
                <c:pt idx="0">
                  <c:v>137</c:v>
                </c:pt>
                <c:pt idx="1">
                  <c:v>96.873629022557012</c:v>
                </c:pt>
                <c:pt idx="2">
                  <c:v>68.500000000000014</c:v>
                </c:pt>
                <c:pt idx="3">
                  <c:v>8.3922669161240471E-15</c:v>
                </c:pt>
                <c:pt idx="4">
                  <c:v>-68.499999999999972</c:v>
                </c:pt>
                <c:pt idx="5">
                  <c:v>-96.873629022556997</c:v>
                </c:pt>
                <c:pt idx="6">
                  <c:v>118.6454803184681</c:v>
                </c:pt>
                <c:pt idx="7">
                  <c:v>88.061902527055892</c:v>
                </c:pt>
                <c:pt idx="8">
                  <c:v>-137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65-4FDF-9DA4-540D379AA64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'Лист 1'!$L$3:$L$11</c:f>
            </c:multiLvlStrRef>
          </c:cat>
          <c:val>
            <c:numRef>
              <c:f>'Лист 1'!$M$3:$M$11</c:f>
            </c:numRef>
          </c:val>
          <c:smooth val="1"/>
          <c:extLst>
            <c:ext xmlns:c16="http://schemas.microsoft.com/office/drawing/2014/chart" uri="{C3380CC4-5D6E-409C-BE32-E72D297353CC}">
              <c16:uniqueId val="{00000003-3965-4FDF-9DA4-540D379AA64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'Лист 1'!$N$3:$N$11</c:f>
            </c:multiLvlStrRef>
          </c:cat>
          <c:val>
            <c:numRef>
              <c:f>'Лист 1'!$O$3:$O$11</c:f>
            </c:numRef>
          </c:val>
          <c:smooth val="1"/>
          <c:extLst>
            <c:ext xmlns:c16="http://schemas.microsoft.com/office/drawing/2014/chart" uri="{C3380CC4-5D6E-409C-BE32-E72D297353CC}">
              <c16:uniqueId val="{00000004-3965-4FDF-9DA4-540D379AA64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'Лист 1'!$P$3:$P$11</c:f>
              <c:numCache>
                <c:formatCode>#,##0.00</c:formatCode>
                <c:ptCount val="9"/>
                <c:pt idx="0">
                  <c:v>90</c:v>
                </c:pt>
                <c:pt idx="1">
                  <c:v>72.170456151930608</c:v>
                </c:pt>
                <c:pt idx="2">
                  <c:v>64.341093726744731</c:v>
                </c:pt>
                <c:pt idx="3">
                  <c:v>64.341093726744703</c:v>
                </c:pt>
                <c:pt idx="4">
                  <c:v>72.170456151930651</c:v>
                </c:pt>
                <c:pt idx="5">
                  <c:v>107.82954384806938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cat>
          <c:val>
            <c:numRef>
              <c:f>'Лист 1'!$Q$3:$Q$11</c:f>
              <c:numCache>
                <c:formatCode>#,##0.00</c:formatCode>
                <c:ptCount val="9"/>
                <c:pt idx="0">
                  <c:v>1.5707963267948966</c:v>
                </c:pt>
                <c:pt idx="1">
                  <c:v>1.1302856637901981</c:v>
                </c:pt>
                <c:pt idx="2">
                  <c:v>3.1415926535897927</c:v>
                </c:pt>
                <c:pt idx="3">
                  <c:v>-2.4980915447965089</c:v>
                </c:pt>
                <c:pt idx="4">
                  <c:v>-2.1862760354652844</c:v>
                </c:pt>
                <c:pt idx="5">
                  <c:v>0.95531661812450896</c:v>
                </c:pt>
                <c:pt idx="6">
                  <c:v>1.2553422369135794</c:v>
                </c:pt>
                <c:pt idx="7">
                  <c:v>-3.1415926535897931</c:v>
                </c:pt>
                <c:pt idx="8">
                  <c:v>3.1415926535897931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965-4FDF-9DA4-540D379AA64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'Лист 1'!$R$3:$R$11</c:f>
              <c:numCache>
                <c:formatCode>#,##0.00</c:formatCode>
                <c:ptCount val="9"/>
                <c:pt idx="0">
                  <c:v>137</c:v>
                </c:pt>
                <c:pt idx="1">
                  <c:v>137</c:v>
                </c:pt>
                <c:pt idx="2">
                  <c:v>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0</c:v>
                </c:pt>
              </c:numCache>
            </c:numRef>
          </c:cat>
          <c:val>
            <c:numRef>
              <c:f>'Лист 1'!$S$3:$S$11</c:f>
              <c:numCache>
                <c:formatCode>#,##0.00</c:formatCode>
                <c:ptCount val="9"/>
                <c:pt idx="0">
                  <c:v>0.44444444444444442</c:v>
                </c:pt>
                <c:pt idx="1">
                  <c:v>0.39108780273743154</c:v>
                </c:pt>
                <c:pt idx="2">
                  <c:v>0.37064920950503405</c:v>
                </c:pt>
                <c:pt idx="3">
                  <c:v>0.37064920950503399</c:v>
                </c:pt>
                <c:pt idx="4">
                  <c:v>0.39108780273743166</c:v>
                </c:pt>
                <c:pt idx="5">
                  <c:v>0.50951456365579273</c:v>
                </c:pt>
                <c:pt idx="6">
                  <c:v>0.44444444444444442</c:v>
                </c:pt>
                <c:pt idx="7">
                  <c:v>0.44444444444444442</c:v>
                </c:pt>
                <c:pt idx="8">
                  <c:v>0.44444444444444442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965-4FDF-9DA4-540D379A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88751"/>
        <c:axId val="136691631"/>
      </c:lineChart>
      <c:catAx>
        <c:axId val="13668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691631"/>
        <c:crosses val="autoZero"/>
        <c:auto val="1"/>
        <c:lblAlgn val="ctr"/>
        <c:lblOffset val="100"/>
        <c:noMultiLvlLbl val="1"/>
      </c:catAx>
      <c:valAx>
        <c:axId val="1366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68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'Лист 1'!$P$3:$P$11</c:f>
              <c:numCache>
                <c:formatCode>#,##0.00</c:formatCode>
                <c:ptCount val="9"/>
                <c:pt idx="0">
                  <c:v>90</c:v>
                </c:pt>
                <c:pt idx="1">
                  <c:v>72.170456151930608</c:v>
                </c:pt>
                <c:pt idx="2">
                  <c:v>64.341093726744731</c:v>
                </c:pt>
                <c:pt idx="3">
                  <c:v>64.341093726744703</c:v>
                </c:pt>
                <c:pt idx="4">
                  <c:v>72.170456151930651</c:v>
                </c:pt>
                <c:pt idx="5">
                  <c:v>107.82954384806938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xVal>
          <c:yVal>
            <c:numRef>
              <c:f>'Лист 1'!$Q$3:$Q$11</c:f>
              <c:numCache>
                <c:formatCode>#,##0.00</c:formatCode>
                <c:ptCount val="9"/>
                <c:pt idx="0">
                  <c:v>1.5707963267948966</c:v>
                </c:pt>
                <c:pt idx="1">
                  <c:v>1.1302856637901981</c:v>
                </c:pt>
                <c:pt idx="2">
                  <c:v>3.1415926535897927</c:v>
                </c:pt>
                <c:pt idx="3">
                  <c:v>-2.4980915447965089</c:v>
                </c:pt>
                <c:pt idx="4">
                  <c:v>-2.1862760354652844</c:v>
                </c:pt>
                <c:pt idx="5">
                  <c:v>0.95531661812450896</c:v>
                </c:pt>
                <c:pt idx="6">
                  <c:v>1.2553422369135794</c:v>
                </c:pt>
                <c:pt idx="7">
                  <c:v>-3.1415926535897931</c:v>
                </c:pt>
                <c:pt idx="8">
                  <c:v>3.1415926535897931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1-4915-928F-5A32F42884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'Лист 1'!$P$3:$P$11</c:f>
              <c:numCache>
                <c:formatCode>#,##0.00</c:formatCode>
                <c:ptCount val="9"/>
                <c:pt idx="0">
                  <c:v>90</c:v>
                </c:pt>
                <c:pt idx="1">
                  <c:v>72.170456151930608</c:v>
                </c:pt>
                <c:pt idx="2">
                  <c:v>64.341093726744731</c:v>
                </c:pt>
                <c:pt idx="3">
                  <c:v>64.341093726744703</c:v>
                </c:pt>
                <c:pt idx="4">
                  <c:v>72.170456151930651</c:v>
                </c:pt>
                <c:pt idx="5">
                  <c:v>107.82954384806938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xVal>
          <c:yVal>
            <c:numRef>
              <c:f>'Лист 1'!$R$3:$R$11</c:f>
              <c:numCache>
                <c:formatCode>#,##0.00</c:formatCode>
                <c:ptCount val="9"/>
                <c:pt idx="0">
                  <c:v>137</c:v>
                </c:pt>
                <c:pt idx="1">
                  <c:v>137</c:v>
                </c:pt>
                <c:pt idx="2">
                  <c:v>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21-4915-928F-5A32F428847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'Лист 1'!$P$3:$P$11</c:f>
              <c:numCache>
                <c:formatCode>#,##0.00</c:formatCode>
                <c:ptCount val="9"/>
                <c:pt idx="0">
                  <c:v>90</c:v>
                </c:pt>
                <c:pt idx="1">
                  <c:v>72.170456151930608</c:v>
                </c:pt>
                <c:pt idx="2">
                  <c:v>64.341093726744731</c:v>
                </c:pt>
                <c:pt idx="3">
                  <c:v>64.341093726744703</c:v>
                </c:pt>
                <c:pt idx="4">
                  <c:v>72.170456151930651</c:v>
                </c:pt>
                <c:pt idx="5">
                  <c:v>107.82954384806938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xVal>
          <c:yVal>
            <c:numRef>
              <c:f>'Лист 1'!$S$3:$S$11</c:f>
              <c:numCache>
                <c:formatCode>#,##0.00</c:formatCode>
                <c:ptCount val="9"/>
                <c:pt idx="0">
                  <c:v>0.44444444444444442</c:v>
                </c:pt>
                <c:pt idx="1">
                  <c:v>0.39108780273743154</c:v>
                </c:pt>
                <c:pt idx="2">
                  <c:v>0.37064920950503405</c:v>
                </c:pt>
                <c:pt idx="3">
                  <c:v>0.37064920950503399</c:v>
                </c:pt>
                <c:pt idx="4">
                  <c:v>0.39108780273743166</c:v>
                </c:pt>
                <c:pt idx="5">
                  <c:v>0.50951456365579273</c:v>
                </c:pt>
                <c:pt idx="6">
                  <c:v>0.44444444444444442</c:v>
                </c:pt>
                <c:pt idx="7">
                  <c:v>0.44444444444444442</c:v>
                </c:pt>
                <c:pt idx="8">
                  <c:v>0.44444444444444442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21-4915-928F-5A32F428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64976"/>
        <c:axId val="929691856"/>
      </c:scatterChart>
      <c:valAx>
        <c:axId val="929664976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9691856"/>
        <c:crosses val="autoZero"/>
        <c:crossBetween val="midCat"/>
      </c:valAx>
      <c:valAx>
        <c:axId val="9296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966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413727034120735"/>
          <c:y val="0.30311388159813357"/>
          <c:w val="0.85862729658792647"/>
          <c:h val="0.6714577865266842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'Лист 1'!$Q$3:$Q$11</c:f>
              <c:numCache>
                <c:formatCode>#,##0.00</c:formatCode>
                <c:ptCount val="9"/>
                <c:pt idx="0">
                  <c:v>1.5707963267948966</c:v>
                </c:pt>
                <c:pt idx="1">
                  <c:v>1.1302856637901981</c:v>
                </c:pt>
                <c:pt idx="2">
                  <c:v>3.1415926535897927</c:v>
                </c:pt>
                <c:pt idx="3">
                  <c:v>-2.4980915447965089</c:v>
                </c:pt>
                <c:pt idx="4">
                  <c:v>-2.1862760354652844</c:v>
                </c:pt>
                <c:pt idx="5">
                  <c:v>0.95531661812450896</c:v>
                </c:pt>
                <c:pt idx="6">
                  <c:v>1.2553422369135794</c:v>
                </c:pt>
                <c:pt idx="7">
                  <c:v>-3.1415926535897931</c:v>
                </c:pt>
                <c:pt idx="8">
                  <c:v>3.1415926535897931</c:v>
                </c:pt>
              </c:numCache>
            </c:numRef>
          </c:xVal>
          <c:yVal>
            <c:numRef>
              <c:f>'Лист 1'!$R$3:$R$11</c:f>
              <c:numCache>
                <c:formatCode>#,##0.00</c:formatCode>
                <c:ptCount val="9"/>
                <c:pt idx="0">
                  <c:v>137</c:v>
                </c:pt>
                <c:pt idx="1">
                  <c:v>137</c:v>
                </c:pt>
                <c:pt idx="2">
                  <c:v>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4-4B43-B4C9-F59F009B75E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'Лист 1'!$Q$3:$Q$11</c:f>
              <c:numCache>
                <c:formatCode>#,##0.00</c:formatCode>
                <c:ptCount val="9"/>
                <c:pt idx="0">
                  <c:v>1.5707963267948966</c:v>
                </c:pt>
                <c:pt idx="1">
                  <c:v>1.1302856637901981</c:v>
                </c:pt>
                <c:pt idx="2">
                  <c:v>3.1415926535897927</c:v>
                </c:pt>
                <c:pt idx="3">
                  <c:v>-2.4980915447965089</c:v>
                </c:pt>
                <c:pt idx="4">
                  <c:v>-2.1862760354652844</c:v>
                </c:pt>
                <c:pt idx="5">
                  <c:v>0.95531661812450896</c:v>
                </c:pt>
                <c:pt idx="6">
                  <c:v>1.2553422369135794</c:v>
                </c:pt>
                <c:pt idx="7">
                  <c:v>-3.1415926535897931</c:v>
                </c:pt>
                <c:pt idx="8">
                  <c:v>3.1415926535897931</c:v>
                </c:pt>
              </c:numCache>
            </c:numRef>
          </c:xVal>
          <c:yVal>
            <c:numRef>
              <c:f>'Лист 1'!$S$3:$S$11</c:f>
              <c:numCache>
                <c:formatCode>#,##0.00</c:formatCode>
                <c:ptCount val="9"/>
                <c:pt idx="0">
                  <c:v>0.44444444444444442</c:v>
                </c:pt>
                <c:pt idx="1">
                  <c:v>0.39108780273743154</c:v>
                </c:pt>
                <c:pt idx="2">
                  <c:v>0.37064920950503405</c:v>
                </c:pt>
                <c:pt idx="3">
                  <c:v>0.37064920950503399</c:v>
                </c:pt>
                <c:pt idx="4">
                  <c:v>0.39108780273743166</c:v>
                </c:pt>
                <c:pt idx="5">
                  <c:v>0.50951456365579273</c:v>
                </c:pt>
                <c:pt idx="6">
                  <c:v>0.44444444444444442</c:v>
                </c:pt>
                <c:pt idx="7">
                  <c:v>0.44444444444444442</c:v>
                </c:pt>
                <c:pt idx="8">
                  <c:v>0.44444444444444442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B4-4B43-B4C9-F59F009B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897104"/>
        <c:axId val="1319897584"/>
      </c:scatterChart>
      <c:valAx>
        <c:axId val="1319897104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9897584"/>
        <c:crosses val="autoZero"/>
        <c:crossBetween val="midCat"/>
      </c:valAx>
      <c:valAx>
        <c:axId val="13198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989710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Энергия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388888888888886E-2"/>
          <c:y val="0.17171296296296298"/>
          <c:w val="0.86549300087489067"/>
          <c:h val="0.6714577865266842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'Лист 1'!$B$3:$B$11</c:f>
              <c:numCache>
                <c:formatCode>#,##0.00</c:formatCode>
                <c:ptCount val="9"/>
                <c:pt idx="0">
                  <c:v>0</c:v>
                </c:pt>
                <c:pt idx="1">
                  <c:v>45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135</c:v>
                </c:pt>
                <c:pt idx="6">
                  <c:v>30</c:v>
                </c:pt>
                <c:pt idx="7">
                  <c:v>50</c:v>
                </c:pt>
                <c:pt idx="8">
                  <c:v>180</c:v>
                </c:pt>
              </c:numCache>
            </c:numRef>
          </c:xVal>
          <c:yVal>
            <c:numRef>
              <c:f>'Лист 1'!$C$3:$C$11</c:f>
              <c:numCache>
                <c:formatCode>#,##0.00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90</c:v>
                </c:pt>
                <c:pt idx="7">
                  <c:v>180</c:v>
                </c:pt>
                <c:pt idx="8">
                  <c:v>270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86-4872-8E67-7A62804AFCC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'Лист 1'!$D$3:$D$11</c:f>
              <c:numCache>
                <c:formatCode>#,##0.00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'Лист 1'!$E$3:$E$11</c:f>
              <c:numCache>
                <c:formatCode>#,##0.00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86-4872-8E67-7A62804AFCC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'Лист 1'!$F$3:$F$11</c:f>
              <c:numCache>
                <c:formatCode>#,##0.00</c:formatCode>
                <c:ptCount val="9"/>
                <c:pt idx="0">
                  <c:v>2.3906155241213165</c:v>
                </c:pt>
                <c:pt idx="1">
                  <c:v>4.7783184514725834</c:v>
                </c:pt>
                <c:pt idx="2">
                  <c:v>7.1601997338342631</c:v>
                </c:pt>
                <c:pt idx="3">
                  <c:v>9.5333574157644829</c:v>
                </c:pt>
                <c:pt idx="4">
                  <c:v>11.894900170184728</c:v>
                </c:pt>
                <c:pt idx="5">
                  <c:v>14.241950821016514</c:v>
                </c:pt>
                <c:pt idx="6">
                  <c:v>16.571649848577238</c:v>
                </c:pt>
                <c:pt idx="7">
                  <c:v>18.881158873464447</c:v>
                </c:pt>
                <c:pt idx="8">
                  <c:v>21.167664114683898</c:v>
                </c:pt>
              </c:numCache>
            </c:numRef>
          </c:xVal>
          <c:yVal>
            <c:numRef>
              <c:f>'Лист 1'!$G$3:$G$11</c:f>
              <c:numCache>
                <c:formatCode>#,##0.00</c:formatCode>
                <c:ptCount val="9"/>
                <c:pt idx="0">
                  <c:v>4.1728349191942488E-2</c:v>
                </c:pt>
                <c:pt idx="1">
                  <c:v>0.16686255720203902</c:v>
                </c:pt>
                <c:pt idx="2">
                  <c:v>0.37525016727327642</c:v>
                </c:pt>
                <c:pt idx="3">
                  <c:v>0.66663729120243342</c:v>
                </c:pt>
                <c:pt idx="4">
                  <c:v>1.0406689186637477</c:v>
                </c:pt>
                <c:pt idx="5">
                  <c:v>1.4968893497343139</c:v>
                </c:pt>
                <c:pt idx="6">
                  <c:v>2.0347427500942414</c:v>
                </c:pt>
                <c:pt idx="7">
                  <c:v>2.653573828225158</c:v>
                </c:pt>
                <c:pt idx="8">
                  <c:v>3.3526286337819804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86-4872-8E67-7A62804AFCC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'Лист 1'!$H$3:$H$11</c:f>
              <c:numCache>
                <c:formatCode>#,##0.00</c:formatCode>
                <c:ptCount val="9"/>
                <c:pt idx="0">
                  <c:v>136.97913423642561</c:v>
                </c:pt>
                <c:pt idx="1">
                  <c:v>136.91654330161612</c:v>
                </c:pt>
                <c:pt idx="2">
                  <c:v>136.81224626137663</c:v>
                </c:pt>
                <c:pt idx="3">
                  <c:v>136.66627488559593</c:v>
                </c:pt>
                <c:pt idx="4">
                  <c:v>136.47867363856915</c:v>
                </c:pt>
                <c:pt idx="5">
                  <c:v>136.24949966545344</c:v>
                </c:pt>
                <c:pt idx="6">
                  <c:v>135.9788227748611</c:v>
                </c:pt>
                <c:pt idx="7">
                  <c:v>135.66672541759513</c:v>
                </c:pt>
                <c:pt idx="8">
                  <c:v>135.31330266153387</c:v>
                </c:pt>
              </c:numCache>
            </c:numRef>
          </c:xVal>
          <c:yVal>
            <c:numRef>
              <c:f>'Лист 1'!$I$3:$I$11</c:f>
              <c:numCache>
                <c:formatCode>#,##0.00</c:formatCode>
                <c:ptCount val="9"/>
                <c:pt idx="0">
                  <c:v>0</c:v>
                </c:pt>
                <c:pt idx="1">
                  <c:v>48.436814511278513</c:v>
                </c:pt>
                <c:pt idx="2">
                  <c:v>-59.322740159234016</c:v>
                </c:pt>
                <c:pt idx="3">
                  <c:v>-137</c:v>
                </c:pt>
                <c:pt idx="4">
                  <c:v>-59.322740159234101</c:v>
                </c:pt>
                <c:pt idx="5">
                  <c:v>48.43681451127852</c:v>
                </c:pt>
                <c:pt idx="6">
                  <c:v>4.1961334580620227E-15</c:v>
                </c:pt>
                <c:pt idx="7">
                  <c:v>-104.94808870729999</c:v>
                </c:pt>
                <c:pt idx="8">
                  <c:v>-3.0845318536410317E-30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86-4872-8E67-7A62804AFCC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'Лист 1'!$J$3:$J$11</c:f>
              <c:numCache>
                <c:formatCode>#,##0.00</c:formatCode>
                <c:ptCount val="9"/>
                <c:pt idx="0">
                  <c:v>0</c:v>
                </c:pt>
                <c:pt idx="1">
                  <c:v>83.895023690323839</c:v>
                </c:pt>
                <c:pt idx="2">
                  <c:v>102.75</c:v>
                </c:pt>
                <c:pt idx="3">
                  <c:v>1.6784533832248094E-14</c:v>
                </c:pt>
                <c:pt idx="4">
                  <c:v>-102.74999999999997</c:v>
                </c:pt>
                <c:pt idx="5">
                  <c:v>-83.895023690323839</c:v>
                </c:pt>
                <c:pt idx="6">
                  <c:v>68.499999999999986</c:v>
                </c:pt>
                <c:pt idx="7">
                  <c:v>1.2857698872536137E-14</c:v>
                </c:pt>
                <c:pt idx="8">
                  <c:v>-1.6784533832248094E-14</c:v>
                </c:pt>
              </c:numCache>
            </c:numRef>
          </c:xVal>
          <c:yVal>
            <c:numRef>
              <c:f>'Лист 1'!$K$3:$K$11</c:f>
              <c:numCache>
                <c:formatCode>#,##0.00</c:formatCode>
                <c:ptCount val="9"/>
                <c:pt idx="0">
                  <c:v>137</c:v>
                </c:pt>
                <c:pt idx="1">
                  <c:v>96.873629022557012</c:v>
                </c:pt>
                <c:pt idx="2">
                  <c:v>68.500000000000014</c:v>
                </c:pt>
                <c:pt idx="3">
                  <c:v>8.3922669161240471E-15</c:v>
                </c:pt>
                <c:pt idx="4">
                  <c:v>-68.499999999999972</c:v>
                </c:pt>
                <c:pt idx="5">
                  <c:v>-96.873629022556997</c:v>
                </c:pt>
                <c:pt idx="6">
                  <c:v>118.6454803184681</c:v>
                </c:pt>
                <c:pt idx="7">
                  <c:v>88.061902527055892</c:v>
                </c:pt>
                <c:pt idx="8">
                  <c:v>-137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86-4872-8E67-7A62804AFCC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'Лист 1'!$L$3:$L$11</c:f>
            </c:numRef>
          </c:xVal>
          <c:yVal>
            <c:numRef>
              <c:f>'Лист 1'!$M$3:$M$11</c:f>
            </c:numRef>
          </c:yVal>
          <c:smooth val="1"/>
          <c:extLst>
            <c:ext xmlns:c16="http://schemas.microsoft.com/office/drawing/2014/chart" uri="{C3380CC4-5D6E-409C-BE32-E72D297353CC}">
              <c16:uniqueId val="{00000005-7886-4872-8E67-7A62804AFCC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'Лист 1'!$N$3:$N$11</c:f>
            </c:numRef>
          </c:xVal>
          <c:yVal>
            <c:numRef>
              <c:f>'Лист 1'!$O$3:$O$11</c:f>
            </c:numRef>
          </c:yVal>
          <c:smooth val="1"/>
          <c:extLst>
            <c:ext xmlns:c16="http://schemas.microsoft.com/office/drawing/2014/chart" uri="{C3380CC4-5D6E-409C-BE32-E72D297353CC}">
              <c16:uniqueId val="{00000006-7886-4872-8E67-7A62804AFCC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'Лист 1'!$P$3:$P$11</c:f>
              <c:numCache>
                <c:formatCode>#,##0.00</c:formatCode>
                <c:ptCount val="9"/>
                <c:pt idx="0">
                  <c:v>90</c:v>
                </c:pt>
                <c:pt idx="1">
                  <c:v>72.170456151930608</c:v>
                </c:pt>
                <c:pt idx="2">
                  <c:v>64.341093726744731</c:v>
                </c:pt>
                <c:pt idx="3">
                  <c:v>64.341093726744703</c:v>
                </c:pt>
                <c:pt idx="4">
                  <c:v>72.170456151930651</c:v>
                </c:pt>
                <c:pt idx="5">
                  <c:v>107.82954384806938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xVal>
          <c:yVal>
            <c:numRef>
              <c:f>'Лист 1'!$Q$3:$Q$11</c:f>
              <c:numCache>
                <c:formatCode>#,##0.00</c:formatCode>
                <c:ptCount val="9"/>
                <c:pt idx="0">
                  <c:v>1.5707963267948966</c:v>
                </c:pt>
                <c:pt idx="1">
                  <c:v>1.1302856637901981</c:v>
                </c:pt>
                <c:pt idx="2">
                  <c:v>3.1415926535897927</c:v>
                </c:pt>
                <c:pt idx="3">
                  <c:v>-2.4980915447965089</c:v>
                </c:pt>
                <c:pt idx="4">
                  <c:v>-2.1862760354652844</c:v>
                </c:pt>
                <c:pt idx="5">
                  <c:v>0.95531661812450896</c:v>
                </c:pt>
                <c:pt idx="6">
                  <c:v>1.2553422369135794</c:v>
                </c:pt>
                <c:pt idx="7">
                  <c:v>-3.1415926535897931</c:v>
                </c:pt>
                <c:pt idx="8">
                  <c:v>3.1415926535897931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86-4872-8E67-7A62804AFCCC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'Лист 1'!$R$3:$R$11</c:f>
              <c:numCache>
                <c:formatCode>#,##0.00</c:formatCode>
                <c:ptCount val="9"/>
                <c:pt idx="0">
                  <c:v>137</c:v>
                </c:pt>
                <c:pt idx="1">
                  <c:v>137</c:v>
                </c:pt>
                <c:pt idx="2">
                  <c:v>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0</c:v>
                </c:pt>
              </c:numCache>
            </c:numRef>
          </c:xVal>
          <c:yVal>
            <c:numRef>
              <c:f>'Лист 1'!$S$3:$S$11</c:f>
              <c:numCache>
                <c:formatCode>#,##0.00</c:formatCode>
                <c:ptCount val="9"/>
                <c:pt idx="0">
                  <c:v>0.44444444444444442</c:v>
                </c:pt>
                <c:pt idx="1">
                  <c:v>0.39108780273743154</c:v>
                </c:pt>
                <c:pt idx="2">
                  <c:v>0.37064920950503405</c:v>
                </c:pt>
                <c:pt idx="3">
                  <c:v>0.37064920950503399</c:v>
                </c:pt>
                <c:pt idx="4">
                  <c:v>0.39108780273743166</c:v>
                </c:pt>
                <c:pt idx="5">
                  <c:v>0.50951456365579273</c:v>
                </c:pt>
                <c:pt idx="6">
                  <c:v>0.44444444444444442</c:v>
                </c:pt>
                <c:pt idx="7">
                  <c:v>0.44444444444444442</c:v>
                </c:pt>
                <c:pt idx="8">
                  <c:v>0.44444444444444442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886-4872-8E67-7A62804A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392847"/>
        <c:axId val="925393327"/>
      </c:scatterChart>
      <c:valAx>
        <c:axId val="9253928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393327"/>
        <c:crosses val="autoZero"/>
        <c:crossBetween val="midCat"/>
      </c:valAx>
      <c:valAx>
        <c:axId val="9253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39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500742</xdr:colOff>
      <xdr:row>11</xdr:row>
      <xdr:rowOff>81643</xdr:rowOff>
    </xdr:from>
    <xdr:to>
      <xdr:col>17</xdr:col>
      <xdr:colOff>576941</xdr:colOff>
      <xdr:row>29</xdr:row>
      <xdr:rowOff>16329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2CD573-DF19-71D0-B03F-F6C9FD20A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756558</xdr:colOff>
      <xdr:row>29</xdr:row>
      <xdr:rowOff>48986</xdr:rowOff>
    </xdr:from>
    <xdr:to>
      <xdr:col>23</xdr:col>
      <xdr:colOff>457201</xdr:colOff>
      <xdr:row>44</xdr:row>
      <xdr:rowOff>97972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C4718C-9EF7-AEFC-DDB1-10EFEF686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130629</xdr:colOff>
      <xdr:row>30</xdr:row>
      <xdr:rowOff>0</xdr:rowOff>
    </xdr:from>
    <xdr:to>
      <xdr:col>17</xdr:col>
      <xdr:colOff>571500</xdr:colOff>
      <xdr:row>45</xdr:row>
      <xdr:rowOff>48985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9666B63-B952-2307-3EA9-38D145CAD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718457</xdr:colOff>
      <xdr:row>13</xdr:row>
      <xdr:rowOff>114300</xdr:rowOff>
    </xdr:from>
    <xdr:to>
      <xdr:col>23</xdr:col>
      <xdr:colOff>419100</xdr:colOff>
      <xdr:row>28</xdr:row>
      <xdr:rowOff>81643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2C6AA96-5C59-4A45-B713-1AC557182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6F90-F781-4E62-8EB1-8F78C1789AED}">
  <dimension ref="A1:T23"/>
  <sheetViews>
    <sheetView tabSelected="1" topLeftCell="A28" zoomScale="70" zoomScaleNormal="70" workbookViewId="0">
      <selection activeCell="H46" sqref="H46"/>
    </sheetView>
  </sheetViews>
  <sheetFormatPr defaultRowHeight="14.1" x14ac:dyDescent="0.5"/>
  <cols>
    <col min="1" max="4" width="8.83984375" style="4"/>
    <col min="5" max="5" width="11.7890625" style="4" customWidth="1"/>
    <col min="6" max="8" width="8.83984375" style="4" customWidth="1"/>
    <col min="9" max="9" width="12.15625" style="4" bestFit="1" customWidth="1"/>
    <col min="10" max="10" width="8.83984375" style="4"/>
    <col min="11" max="11" width="11.578125" style="4" bestFit="1" customWidth="1"/>
    <col min="12" max="15" width="0" style="4" hidden="1" customWidth="1"/>
    <col min="16" max="16" width="14.41796875" style="4" customWidth="1"/>
    <col min="17" max="17" width="22.20703125" style="4" customWidth="1"/>
    <col min="18" max="18" width="17" style="4" customWidth="1"/>
    <col min="19" max="19" width="14.7890625" style="4" customWidth="1"/>
    <col min="20" max="16384" width="8.83984375" style="4"/>
  </cols>
  <sheetData>
    <row r="1" spans="1:20" ht="30.6" customHeight="1" x14ac:dyDescent="0.5">
      <c r="A1" s="2" t="s">
        <v>19</v>
      </c>
      <c r="B1" s="11" t="s">
        <v>3</v>
      </c>
      <c r="C1" s="11" t="s">
        <v>4</v>
      </c>
      <c r="D1" s="13" t="s">
        <v>25</v>
      </c>
      <c r="E1" s="13" t="s">
        <v>26</v>
      </c>
      <c r="F1" s="1" t="s">
        <v>1</v>
      </c>
      <c r="G1" s="1" t="s">
        <v>0</v>
      </c>
      <c r="H1" s="1" t="s">
        <v>2</v>
      </c>
      <c r="I1" s="1" t="s">
        <v>20</v>
      </c>
      <c r="J1" s="1" t="s">
        <v>22</v>
      </c>
      <c r="K1" s="1" t="s">
        <v>23</v>
      </c>
      <c r="L1" s="1" t="s">
        <v>14</v>
      </c>
      <c r="M1" s="1" t="s">
        <v>15</v>
      </c>
      <c r="N1" s="1" t="s">
        <v>17</v>
      </c>
      <c r="O1" s="1" t="s">
        <v>16</v>
      </c>
      <c r="P1" s="13" t="s">
        <v>28</v>
      </c>
      <c r="Q1" s="13" t="s">
        <v>27</v>
      </c>
      <c r="R1" s="15" t="s">
        <v>30</v>
      </c>
      <c r="S1" s="15" t="s">
        <v>29</v>
      </c>
      <c r="T1" s="3"/>
    </row>
    <row r="2" spans="1:20" ht="28.2" x14ac:dyDescent="0.5">
      <c r="A2" s="5" t="s">
        <v>18</v>
      </c>
      <c r="B2" s="12"/>
      <c r="C2" s="12"/>
      <c r="D2" s="14"/>
      <c r="E2" s="14"/>
      <c r="F2" s="17" t="s">
        <v>21</v>
      </c>
      <c r="G2" s="17"/>
      <c r="H2" s="17"/>
      <c r="I2" s="17" t="s">
        <v>24</v>
      </c>
      <c r="J2" s="17"/>
      <c r="K2" s="17"/>
      <c r="L2" s="2" t="e">
        <f>VLOOKUP("I3",$I$4:$K$4,2)</f>
        <v>#N/A</v>
      </c>
      <c r="M2" s="2" t="e">
        <f>VLOOKUP("A1",$H$9:$J$17,3)</f>
        <v>#N/A</v>
      </c>
      <c r="N2" s="2" t="e">
        <f>VLOOKUP("A2",$H$9:$J$17,2)</f>
        <v>#N/A</v>
      </c>
      <c r="O2" s="2" t="e">
        <f>VLOOKUP("A2",$H$9:$J$17,3)</f>
        <v>#N/A</v>
      </c>
      <c r="P2" s="14"/>
      <c r="Q2" s="14"/>
      <c r="R2" s="16"/>
      <c r="S2" s="16"/>
    </row>
    <row r="3" spans="1:20" x14ac:dyDescent="0.5">
      <c r="A3" s="2" t="s">
        <v>5</v>
      </c>
      <c r="B3" s="6">
        <v>0</v>
      </c>
      <c r="C3" s="6">
        <v>0</v>
      </c>
      <c r="D3" s="6">
        <f t="shared" ref="D3:D11" si="0">ROW(B2)-1</f>
        <v>1</v>
      </c>
      <c r="E3" s="6">
        <f>ROW(C2)-1</f>
        <v>1</v>
      </c>
      <c r="F3" s="6">
        <f>137 * SIN(RADIANS(D3)) * COS(RADIANS(E3))</f>
        <v>2.3906155241213165</v>
      </c>
      <c r="G3" s="6">
        <f>137 * SIN(RADIANS(D3)) * SIN(RADIANS(E3))</f>
        <v>4.1728349191942488E-2</v>
      </c>
      <c r="H3" s="6">
        <f>137 * COS(RADIANS(D3))</f>
        <v>136.97913423642561</v>
      </c>
      <c r="I3" s="6">
        <f>137*SIN(RADIANS(B3))*COS(RADIANS(C3))</f>
        <v>0</v>
      </c>
      <c r="J3" s="6">
        <f>137*SIN(RADIANS(B3))*SIN(RADIANS(C3))</f>
        <v>0</v>
      </c>
      <c r="K3" s="6">
        <f>137*COS(RADIANS(B3))</f>
        <v>137</v>
      </c>
      <c r="L3" s="6" t="e">
        <f t="shared" ref="L3:L5" si="1">VLOOKUP("I3",$I$4:$K$4,2)</f>
        <v>#N/A</v>
      </c>
      <c r="M3" s="6" t="e">
        <f t="shared" ref="M3:M11" si="2">VLOOKUP("A1",$H$9:$J$17,3)</f>
        <v>#N/A</v>
      </c>
      <c r="N3" s="6" t="e">
        <f t="shared" ref="N3:N11" si="3">VLOOKUP("A2",$H$9:$J$17,2)</f>
        <v>#N/A</v>
      </c>
      <c r="O3" s="6" t="e">
        <f t="shared" ref="O3:O11" si="4">VLOOKUP("A2",$H$9:$J$17,3)</f>
        <v>#N/A</v>
      </c>
      <c r="P3" s="6">
        <f>90 - ATAN(SUMPRODUCT(I3:J3, I4:J4) / SQRT( (137*137)^2 - (SUMPRODUCT(I3:J3, I4:J4))^2 )) * 180 / PI()</f>
        <v>90</v>
      </c>
      <c r="Q3" s="6">
        <f>ATAN2(I3,J4)</f>
        <v>1.5707963267948966</v>
      </c>
      <c r="R3" s="6">
        <f t="shared" ref="R3:R11" si="5">SQRT(I4^2+J4^2+K4^2)</f>
        <v>137</v>
      </c>
      <c r="S3" s="6">
        <f>1/(1+(180-P3)/180)^2</f>
        <v>0.44444444444444442</v>
      </c>
    </row>
    <row r="4" spans="1:20" x14ac:dyDescent="0.5">
      <c r="A4" s="2" t="s">
        <v>6</v>
      </c>
      <c r="B4" s="6">
        <v>45</v>
      </c>
      <c r="C4" s="6">
        <v>60</v>
      </c>
      <c r="D4" s="6">
        <f t="shared" si="0"/>
        <v>2</v>
      </c>
      <c r="E4" s="6">
        <f t="shared" ref="E4:E11" si="6">ROW(C3)-1</f>
        <v>2</v>
      </c>
      <c r="F4" s="6">
        <f t="shared" ref="F4:F11" si="7">137 * SIN(RADIANS(D4)) * COS(RADIANS(E4))</f>
        <v>4.7783184514725834</v>
      </c>
      <c r="G4" s="6">
        <f t="shared" ref="G4:G11" si="8">137 * SIN(RADIANS(D4)) * SIN(RADIANS(E4))</f>
        <v>0.16686255720203902</v>
      </c>
      <c r="H4" s="6">
        <f t="shared" ref="H4:H11" si="9">137 * COS(RADIANS(D4))</f>
        <v>136.91654330161612</v>
      </c>
      <c r="I4" s="6">
        <f>137*SIN(RADIANS(B4))*COS(RADIANS(C4))</f>
        <v>48.436814511278513</v>
      </c>
      <c r="J4" s="6">
        <f>137*SIN(RADIANS(B4))*SIN(RADIANS(C4))</f>
        <v>83.895023690323839</v>
      </c>
      <c r="K4" s="6">
        <f t="shared" ref="K4:K11" si="10">137*COS(RADIANS(B4))</f>
        <v>96.873629022557012</v>
      </c>
      <c r="L4" s="6" t="e">
        <f t="shared" si="1"/>
        <v>#N/A</v>
      </c>
      <c r="M4" s="6" t="e">
        <f t="shared" si="2"/>
        <v>#N/A</v>
      </c>
      <c r="N4" s="6" t="e">
        <f t="shared" si="3"/>
        <v>#N/A</v>
      </c>
      <c r="O4" s="6" t="e">
        <f t="shared" si="4"/>
        <v>#N/A</v>
      </c>
      <c r="P4" s="6">
        <f t="shared" ref="P4:P11" si="11">90 - ATAN(SUMPRODUCT(I4:J4, I5:J5) / SQRT( (137*137)^2 - (SUMPRODUCT(I4:J4, I5:J5))^2 )) * 180 / PI()</f>
        <v>72.170456151930608</v>
      </c>
      <c r="Q4" s="6">
        <f t="shared" ref="Q4:Q10" si="12">ATAN2(I4,J5)</f>
        <v>1.1302856637901981</v>
      </c>
      <c r="R4" s="6">
        <f t="shared" si="5"/>
        <v>137</v>
      </c>
      <c r="S4" s="6">
        <f t="shared" ref="S4:S11" si="13">1/(1+(180-P4)/180)^2</f>
        <v>0.39108780273743154</v>
      </c>
    </row>
    <row r="5" spans="1:20" x14ac:dyDescent="0.5">
      <c r="A5" s="2" t="s">
        <v>7</v>
      </c>
      <c r="B5" s="6">
        <v>60</v>
      </c>
      <c r="C5" s="6">
        <v>120</v>
      </c>
      <c r="D5" s="6">
        <f t="shared" si="0"/>
        <v>3</v>
      </c>
      <c r="E5" s="6">
        <f t="shared" si="6"/>
        <v>3</v>
      </c>
      <c r="F5" s="6">
        <f t="shared" si="7"/>
        <v>7.1601997338342631</v>
      </c>
      <c r="G5" s="6">
        <f t="shared" si="8"/>
        <v>0.37525016727327642</v>
      </c>
      <c r="H5" s="6">
        <f t="shared" si="9"/>
        <v>136.81224626137663</v>
      </c>
      <c r="I5" s="6">
        <f t="shared" ref="I5:I11" si="14">137*SIN(RADIANS(B5))*COS(RADIANS(C5))</f>
        <v>-59.322740159234016</v>
      </c>
      <c r="J5" s="6">
        <f t="shared" ref="J5:J11" si="15">137*SIN(RADIANS(B5))*SIN(RADIANS(C5))</f>
        <v>102.75</v>
      </c>
      <c r="K5" s="6">
        <f>137*COS(RADIANS(B5))</f>
        <v>68.500000000000014</v>
      </c>
      <c r="L5" s="6" t="e">
        <f t="shared" si="1"/>
        <v>#N/A</v>
      </c>
      <c r="M5" s="6" t="e">
        <f t="shared" si="2"/>
        <v>#N/A</v>
      </c>
      <c r="N5" s="6" t="e">
        <f t="shared" si="3"/>
        <v>#N/A</v>
      </c>
      <c r="O5" s="6" t="e">
        <f t="shared" si="4"/>
        <v>#N/A</v>
      </c>
      <c r="P5" s="6">
        <f t="shared" si="11"/>
        <v>64.341093726744731</v>
      </c>
      <c r="Q5" s="6">
        <f t="shared" si="12"/>
        <v>3.1415926535897927</v>
      </c>
      <c r="R5" s="6">
        <f t="shared" si="5"/>
        <v>137</v>
      </c>
      <c r="S5" s="6">
        <f t="shared" si="13"/>
        <v>0.37064920950503405</v>
      </c>
    </row>
    <row r="6" spans="1:20" x14ac:dyDescent="0.5">
      <c r="A6" s="2" t="s">
        <v>8</v>
      </c>
      <c r="B6" s="6">
        <v>90</v>
      </c>
      <c r="C6" s="6">
        <v>180</v>
      </c>
      <c r="D6" s="6">
        <f t="shared" si="0"/>
        <v>4</v>
      </c>
      <c r="E6" s="6">
        <f t="shared" si="6"/>
        <v>4</v>
      </c>
      <c r="F6" s="6">
        <f t="shared" si="7"/>
        <v>9.5333574157644829</v>
      </c>
      <c r="G6" s="6">
        <f t="shared" si="8"/>
        <v>0.66663729120243342</v>
      </c>
      <c r="H6" s="6">
        <f t="shared" si="9"/>
        <v>136.66627488559593</v>
      </c>
      <c r="I6" s="6">
        <f t="shared" si="14"/>
        <v>-137</v>
      </c>
      <c r="J6" s="6">
        <f t="shared" si="15"/>
        <v>1.6784533832248094E-14</v>
      </c>
      <c r="K6" s="6">
        <f t="shared" si="10"/>
        <v>8.3922669161240471E-15</v>
      </c>
      <c r="L6" s="6" t="e">
        <f t="shared" ref="L6:L10" si="16">VLOOKUP("A1",$H$9:$J$17,2)</f>
        <v>#N/A</v>
      </c>
      <c r="M6" s="6" t="e">
        <f t="shared" si="2"/>
        <v>#N/A</v>
      </c>
      <c r="N6" s="6" t="e">
        <f t="shared" si="3"/>
        <v>#N/A</v>
      </c>
      <c r="O6" s="6" t="e">
        <f t="shared" si="4"/>
        <v>#N/A</v>
      </c>
      <c r="P6" s="6">
        <f t="shared" si="11"/>
        <v>64.341093726744703</v>
      </c>
      <c r="Q6" s="6">
        <f t="shared" si="12"/>
        <v>-2.4980915447965089</v>
      </c>
      <c r="R6" s="6">
        <f t="shared" si="5"/>
        <v>137</v>
      </c>
      <c r="S6" s="6">
        <f t="shared" si="13"/>
        <v>0.37064920950503399</v>
      </c>
    </row>
    <row r="7" spans="1:20" x14ac:dyDescent="0.5">
      <c r="A7" s="2" t="s">
        <v>9</v>
      </c>
      <c r="B7" s="6">
        <v>120</v>
      </c>
      <c r="C7" s="6">
        <v>240</v>
      </c>
      <c r="D7" s="6">
        <f t="shared" si="0"/>
        <v>5</v>
      </c>
      <c r="E7" s="6">
        <f t="shared" si="6"/>
        <v>5</v>
      </c>
      <c r="F7" s="6">
        <f t="shared" si="7"/>
        <v>11.894900170184728</v>
      </c>
      <c r="G7" s="6">
        <f t="shared" si="8"/>
        <v>1.0406689186637477</v>
      </c>
      <c r="H7" s="6">
        <f t="shared" si="9"/>
        <v>136.47867363856915</v>
      </c>
      <c r="I7" s="6">
        <f t="shared" si="14"/>
        <v>-59.322740159234101</v>
      </c>
      <c r="J7" s="6">
        <f t="shared" si="15"/>
        <v>-102.74999999999997</v>
      </c>
      <c r="K7" s="6">
        <f t="shared" si="10"/>
        <v>-68.499999999999972</v>
      </c>
      <c r="L7" s="6" t="e">
        <f t="shared" si="16"/>
        <v>#N/A</v>
      </c>
      <c r="M7" s="6" t="e">
        <f t="shared" si="2"/>
        <v>#N/A</v>
      </c>
      <c r="N7" s="6" t="e">
        <f t="shared" si="3"/>
        <v>#N/A</v>
      </c>
      <c r="O7" s="6" t="e">
        <f t="shared" si="4"/>
        <v>#N/A</v>
      </c>
      <c r="P7" s="6">
        <f t="shared" si="11"/>
        <v>72.170456151930651</v>
      </c>
      <c r="Q7" s="6">
        <f t="shared" si="12"/>
        <v>-2.1862760354652844</v>
      </c>
      <c r="R7" s="6">
        <f>SQRT(I8^2+J8^2+K8^2)</f>
        <v>137</v>
      </c>
      <c r="S7" s="6">
        <f t="shared" si="13"/>
        <v>0.39108780273743166</v>
      </c>
    </row>
    <row r="8" spans="1:20" x14ac:dyDescent="0.5">
      <c r="A8" s="2" t="s">
        <v>10</v>
      </c>
      <c r="B8" s="6">
        <v>135</v>
      </c>
      <c r="C8" s="6">
        <v>300</v>
      </c>
      <c r="D8" s="6">
        <f t="shared" si="0"/>
        <v>6</v>
      </c>
      <c r="E8" s="6">
        <f t="shared" si="6"/>
        <v>6</v>
      </c>
      <c r="F8" s="6">
        <f t="shared" si="7"/>
        <v>14.241950821016514</v>
      </c>
      <c r="G8" s="6">
        <f t="shared" si="8"/>
        <v>1.4968893497343139</v>
      </c>
      <c r="H8" s="6">
        <f t="shared" si="9"/>
        <v>136.24949966545344</v>
      </c>
      <c r="I8" s="6">
        <f t="shared" si="14"/>
        <v>48.43681451127852</v>
      </c>
      <c r="J8" s="6">
        <f t="shared" si="15"/>
        <v>-83.895023690323839</v>
      </c>
      <c r="K8" s="6">
        <f t="shared" si="10"/>
        <v>-96.873629022556997</v>
      </c>
      <c r="L8" s="6" t="e">
        <f t="shared" si="16"/>
        <v>#N/A</v>
      </c>
      <c r="M8" s="6" t="e">
        <f t="shared" si="2"/>
        <v>#N/A</v>
      </c>
      <c r="N8" s="6" t="e">
        <f t="shared" si="3"/>
        <v>#N/A</v>
      </c>
      <c r="O8" s="6" t="e">
        <f t="shared" si="4"/>
        <v>#N/A</v>
      </c>
      <c r="P8" s="6">
        <f t="shared" si="11"/>
        <v>107.82954384806938</v>
      </c>
      <c r="Q8" s="6">
        <f t="shared" si="12"/>
        <v>0.95531661812450896</v>
      </c>
      <c r="R8" s="6">
        <f t="shared" si="5"/>
        <v>137</v>
      </c>
      <c r="S8" s="6">
        <f t="shared" si="13"/>
        <v>0.50951456365579273</v>
      </c>
    </row>
    <row r="9" spans="1:20" x14ac:dyDescent="0.5">
      <c r="A9" s="2" t="s">
        <v>11</v>
      </c>
      <c r="B9" s="6">
        <v>30</v>
      </c>
      <c r="C9" s="6">
        <v>90</v>
      </c>
      <c r="D9" s="6">
        <f t="shared" si="0"/>
        <v>7</v>
      </c>
      <c r="E9" s="6">
        <f t="shared" si="6"/>
        <v>7</v>
      </c>
      <c r="F9" s="6">
        <f t="shared" si="7"/>
        <v>16.571649848577238</v>
      </c>
      <c r="G9" s="6">
        <f t="shared" si="8"/>
        <v>2.0347427500942414</v>
      </c>
      <c r="H9" s="6">
        <f t="shared" si="9"/>
        <v>135.9788227748611</v>
      </c>
      <c r="I9" s="6">
        <f t="shared" si="14"/>
        <v>4.1961334580620227E-15</v>
      </c>
      <c r="J9" s="6">
        <f t="shared" si="15"/>
        <v>68.499999999999986</v>
      </c>
      <c r="K9" s="6">
        <f t="shared" si="10"/>
        <v>118.6454803184681</v>
      </c>
      <c r="L9" s="6" t="e">
        <f t="shared" si="16"/>
        <v>#N/A</v>
      </c>
      <c r="M9" s="6" t="e">
        <f t="shared" si="2"/>
        <v>#N/A</v>
      </c>
      <c r="N9" s="6" t="e">
        <f t="shared" si="3"/>
        <v>#N/A</v>
      </c>
      <c r="O9" s="6" t="e">
        <f t="shared" si="4"/>
        <v>#N/A</v>
      </c>
      <c r="P9" s="6">
        <f t="shared" si="11"/>
        <v>90</v>
      </c>
      <c r="Q9" s="6">
        <f t="shared" si="12"/>
        <v>1.2553422369135794</v>
      </c>
      <c r="R9" s="6">
        <f t="shared" si="5"/>
        <v>137</v>
      </c>
      <c r="S9" s="6">
        <f t="shared" si="13"/>
        <v>0.44444444444444442</v>
      </c>
    </row>
    <row r="10" spans="1:20" x14ac:dyDescent="0.5">
      <c r="A10" s="2" t="s">
        <v>12</v>
      </c>
      <c r="B10" s="6">
        <v>50</v>
      </c>
      <c r="C10" s="6">
        <v>180</v>
      </c>
      <c r="D10" s="6">
        <f t="shared" si="0"/>
        <v>8</v>
      </c>
      <c r="E10" s="6">
        <f t="shared" si="6"/>
        <v>8</v>
      </c>
      <c r="F10" s="6">
        <f t="shared" si="7"/>
        <v>18.881158873464447</v>
      </c>
      <c r="G10" s="6">
        <f t="shared" si="8"/>
        <v>2.653573828225158</v>
      </c>
      <c r="H10" s="6">
        <f t="shared" si="9"/>
        <v>135.66672541759513</v>
      </c>
      <c r="I10" s="6">
        <f t="shared" si="14"/>
        <v>-104.94808870729999</v>
      </c>
      <c r="J10" s="6">
        <f t="shared" si="15"/>
        <v>1.2857698872536137E-14</v>
      </c>
      <c r="K10" s="6">
        <f t="shared" si="10"/>
        <v>88.061902527055892</v>
      </c>
      <c r="L10" s="6" t="e">
        <f t="shared" si="16"/>
        <v>#N/A</v>
      </c>
      <c r="M10" s="6" t="e">
        <f t="shared" si="2"/>
        <v>#N/A</v>
      </c>
      <c r="N10" s="6" t="e">
        <f t="shared" si="3"/>
        <v>#N/A</v>
      </c>
      <c r="O10" s="6" t="e">
        <f t="shared" si="4"/>
        <v>#N/A</v>
      </c>
      <c r="P10" s="6">
        <f t="shared" si="11"/>
        <v>90</v>
      </c>
      <c r="Q10" s="6">
        <f t="shared" si="12"/>
        <v>-3.1415926535897931</v>
      </c>
      <c r="R10" s="6">
        <f t="shared" si="5"/>
        <v>137</v>
      </c>
      <c r="S10" s="6">
        <f t="shared" si="13"/>
        <v>0.44444444444444442</v>
      </c>
    </row>
    <row r="11" spans="1:20" x14ac:dyDescent="0.5">
      <c r="A11" s="2" t="s">
        <v>13</v>
      </c>
      <c r="B11" s="6">
        <v>180</v>
      </c>
      <c r="C11" s="6">
        <v>270</v>
      </c>
      <c r="D11" s="6">
        <f t="shared" si="0"/>
        <v>9</v>
      </c>
      <c r="E11" s="6">
        <f t="shared" si="6"/>
        <v>9</v>
      </c>
      <c r="F11" s="6">
        <f t="shared" si="7"/>
        <v>21.167664114683898</v>
      </c>
      <c r="G11" s="6">
        <f t="shared" si="8"/>
        <v>3.3526286337819804</v>
      </c>
      <c r="H11" s="6">
        <f t="shared" si="9"/>
        <v>135.31330266153387</v>
      </c>
      <c r="I11" s="6">
        <f t="shared" si="14"/>
        <v>-3.0845318536410317E-30</v>
      </c>
      <c r="J11" s="6">
        <f t="shared" si="15"/>
        <v>-1.6784533832248094E-14</v>
      </c>
      <c r="K11" s="6">
        <f t="shared" si="10"/>
        <v>-137</v>
      </c>
      <c r="L11" s="6" t="e">
        <f>VLOOKUP("A1",$F$3:$H$11,2)</f>
        <v>#N/A</v>
      </c>
      <c r="M11" s="6" t="e">
        <f t="shared" si="2"/>
        <v>#N/A</v>
      </c>
      <c r="N11" s="6" t="e">
        <f t="shared" si="3"/>
        <v>#N/A</v>
      </c>
      <c r="O11" s="6" t="e">
        <f t="shared" si="4"/>
        <v>#N/A</v>
      </c>
      <c r="P11" s="6">
        <f t="shared" si="11"/>
        <v>90</v>
      </c>
      <c r="Q11" s="6">
        <f>ATAN2(I11,J12)</f>
        <v>3.1415926535897931</v>
      </c>
      <c r="R11" s="6">
        <f t="shared" si="5"/>
        <v>0</v>
      </c>
      <c r="S11" s="6">
        <f t="shared" si="13"/>
        <v>0.44444444444444442</v>
      </c>
    </row>
    <row r="12" spans="1:20" x14ac:dyDescent="0.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4" spans="1:20" ht="15.3" customHeight="1" x14ac:dyDescent="0.5">
      <c r="B14" s="10" t="s">
        <v>31</v>
      </c>
      <c r="C14" s="10"/>
      <c r="D14" s="10"/>
      <c r="E14" s="10"/>
      <c r="F14" s="10"/>
      <c r="G14" s="10"/>
      <c r="H14" s="10"/>
    </row>
    <row r="15" spans="1:20" ht="15.9" customHeight="1" x14ac:dyDescent="0.5">
      <c r="B15" s="10" t="s">
        <v>32</v>
      </c>
      <c r="C15" s="10"/>
      <c r="D15" s="10"/>
      <c r="E15" s="10"/>
      <c r="F15" s="10"/>
      <c r="G15" s="10"/>
      <c r="H15" s="10"/>
    </row>
    <row r="16" spans="1:20" ht="16.2" customHeight="1" x14ac:dyDescent="0.5">
      <c r="B16" s="10" t="s">
        <v>33</v>
      </c>
      <c r="C16" s="10"/>
      <c r="D16" s="10"/>
      <c r="E16" s="10"/>
      <c r="F16" s="10"/>
      <c r="G16" s="10"/>
      <c r="H16" s="10"/>
    </row>
    <row r="18" spans="10:10" x14ac:dyDescent="0.5">
      <c r="J18" s="8"/>
    </row>
    <row r="23" spans="10:10" ht="15.3" x14ac:dyDescent="0.5">
      <c r="J23" s="9"/>
    </row>
  </sheetData>
  <mergeCells count="13">
    <mergeCell ref="P1:P2"/>
    <mergeCell ref="Q1:Q2"/>
    <mergeCell ref="R1:R2"/>
    <mergeCell ref="S1:S2"/>
    <mergeCell ref="F2:H2"/>
    <mergeCell ref="I2:K2"/>
    <mergeCell ref="B14:H14"/>
    <mergeCell ref="B15:H15"/>
    <mergeCell ref="B16:H16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2025-07-30T13:40:16Z</dcterms:modified>
</cp:coreProperties>
</file>