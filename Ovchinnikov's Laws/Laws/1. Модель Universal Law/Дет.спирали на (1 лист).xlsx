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"/>
    </mc:Choice>
  </mc:AlternateContent>
  <xr:revisionPtr revIDLastSave="0" documentId="8_{FB949724-2634-4202-8704-BCD7015E17E2}" xr6:coauthVersionLast="47" xr6:coauthVersionMax="47" xr10:uidLastSave="{00000000-0000-0000-0000-000000000000}"/>
  <bookViews>
    <workbookView xWindow="-96" yWindow="-96" windowWidth="17472" windowHeight="10992" tabRatio="605" xr2:uid="{00000000-000D-0000-FFFF-FFFF00000000}"/>
  </bookViews>
  <sheets>
    <sheet name="Лист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4" l="1"/>
  <c r="E24" i="4"/>
  <c r="E25" i="4"/>
  <c r="E26" i="4"/>
  <c r="E27" i="4"/>
  <c r="E28" i="4"/>
  <c r="E29" i="4"/>
  <c r="E30" i="4"/>
  <c r="D24" i="4"/>
  <c r="D23" i="4"/>
  <c r="D30" i="4"/>
  <c r="D29" i="4"/>
  <c r="D28" i="4"/>
  <c r="D27" i="4"/>
  <c r="D26" i="4"/>
  <c r="C30" i="4"/>
  <c r="C29" i="4"/>
  <c r="C28" i="4"/>
  <c r="C27" i="4"/>
  <c r="C26" i="4"/>
  <c r="C25" i="4"/>
  <c r="C24" i="4"/>
  <c r="C23" i="4"/>
</calcChain>
</file>

<file path=xl/sharedStrings.xml><?xml version="1.0" encoding="utf-8"?>
<sst xmlns="http://schemas.openxmlformats.org/spreadsheetml/2006/main" count="7" uniqueCount="5">
  <si>
    <t>θ</t>
  </si>
  <si>
    <t>L</t>
  </si>
  <si>
    <t>θ (определенная в ExcеI при построении,1 состояние)</t>
  </si>
  <si>
    <t xml:space="preserve">Проверка ATAN2     ((0,5/2)*SIN(45*ПИ()/180); (A3/2)*COS(45*ПИ()/180)) * 360/ПИ()            </t>
  </si>
  <si>
    <t xml:space="preserve">Проверка ATAN2     ((0,5/2)*SIN(45*ПИ()/180); (A3/2)*COS(45*ПИ()/180)) * 180/ПИ()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</si>
</sst>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1"/>
      <color rgb="FFFA7D00"/>
      <name val="Calibri"/>
      <family val="2"/>
      <charset val="204"/>
      <scheme val="minor"/>
    </font>
    <font>
      <b/>
      <sz val="11"/>
      <color rgb="FFFA7D00"/>
      <name val="Aptos Narrow"/>
      <family val="2"/>
    </font>
    <font>
      <sz val="11"/>
      <name val="Calibri"/>
      <family val="2"/>
      <scheme val="minor"/>
    </font>
    <font>
      <b/>
      <sz val="12"/>
      <name val="Arial"/>
      <family val="2"/>
      <charset val="204"/>
    </font>
    <font>
      <b/>
      <sz val="12"/>
      <name val="Aptos"/>
      <family val="2"/>
    </font>
    <font>
      <b/>
      <sz val="12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</borders>
  <cellStyleXfs count="3">
    <xf numFmtId="0" fontId="0" fillId="0" borderId="0"/>
    <xf numFmtId="0" fontId="6" fillId="2" borderId="1" applyNumberFormat="0" applyAlignment="0" applyProtection="0"/>
    <xf numFmtId="0" fontId="6" fillId="2" borderId="1" applyAlignment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2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6" fillId="2" borderId="1" xfId="1"/>
    <xf numFmtId="0" fontId="6" fillId="2" borderId="1" xfId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3" borderId="7" xfId="0" applyFill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2" borderId="1" xfId="1" applyFont="1" applyAlignment="1">
      <alignment horizontal="center"/>
    </xf>
    <xf numFmtId="0" fontId="0" fillId="0" borderId="8" xfId="0" applyBorder="1"/>
    <xf numFmtId="0" fontId="0" fillId="3" borderId="8" xfId="0" applyFill="1" applyBorder="1"/>
    <xf numFmtId="2" fontId="6" fillId="2" borderId="1" xfId="1" applyNumberFormat="1" applyAlignment="1">
      <alignment horizontal="center" vertical="center"/>
    </xf>
    <xf numFmtId="2" fontId="6" fillId="2" borderId="1" xfId="1" applyNumberFormat="1" applyAlignment="1">
      <alignment horizontal="center" vertical="top"/>
    </xf>
    <xf numFmtId="2" fontId="6" fillId="2" borderId="1" xfId="1" applyNumberFormat="1" applyAlignment="1">
      <alignment horizontal="center" vertical="center" wrapText="1"/>
    </xf>
    <xf numFmtId="4" fontId="6" fillId="2" borderId="1" xfId="1" applyNumberFormat="1" applyAlignment="1">
      <alignment horizontal="center" vertical="top"/>
    </xf>
    <xf numFmtId="0" fontId="4" fillId="0" borderId="0" xfId="0" applyFont="1"/>
    <xf numFmtId="0" fontId="0" fillId="0" borderId="0" xfId="0" applyBorder="1"/>
  </cellXfs>
  <cellStyles count="3">
    <cellStyle name="Вычисление" xfId="1" builtinId="22"/>
    <cellStyle name="Обычный" xfId="0" builtinId="0"/>
    <cellStyle name="Стиль 1" xfId="2" xr:uid="{534DBCDB-ED9A-4E0A-A989-410305A8926C}"/>
  </cellStyles>
  <dxfs count="0"/>
  <tableStyles count="0" defaultTableStyle="TableStyleMedium2" defaultPivotStyle="PivotStyleLight16"/>
  <colors>
    <mruColors>
      <color rgb="FFFC34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'Лист 1'!$J$3:$J$8</c:f>
              <c:numCache>
                <c:formatCode>General</c:formatCode>
                <c:ptCount val="6"/>
                <c:pt idx="0">
                  <c:v>17</c:v>
                </c:pt>
                <c:pt idx="1">
                  <c:v>149</c:v>
                </c:pt>
                <c:pt idx="2">
                  <c:v>340</c:v>
                </c:pt>
                <c:pt idx="3">
                  <c:v>170</c:v>
                </c:pt>
                <c:pt idx="4">
                  <c:v>164</c:v>
                </c:pt>
                <c:pt idx="5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26-43FA-875A-5570D79FF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844383"/>
        <c:axId val="1777844863"/>
      </c:scatterChart>
      <c:valAx>
        <c:axId val="177784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7844863"/>
        <c:crosses val="autoZero"/>
        <c:crossBetween val="midCat"/>
      </c:valAx>
      <c:valAx>
        <c:axId val="17778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784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'Лист 1'!$L$2:$O$2</c:f>
              <c:numCache>
                <c:formatCode>General</c:formatCode>
                <c:ptCount val="4"/>
                <c:pt idx="0">
                  <c:v>3</c:v>
                </c:pt>
                <c:pt idx="1">
                  <c:v>340.5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4-4BF9-905C-1C7974D856C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'Лист 1'!$L$3:$O$3</c:f>
              <c:numCache>
                <c:formatCode>General</c:formatCode>
                <c:ptCount val="4"/>
                <c:pt idx="0">
                  <c:v>3.42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4-4BF9-905C-1C7974D856C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'Лист 1'!$L$4:$O$4</c:f>
              <c:numCache>
                <c:formatCode>General</c:formatCode>
                <c:ptCount val="4"/>
                <c:pt idx="0">
                  <c:v>3.48</c:v>
                </c:pt>
                <c:pt idx="1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24-4BF9-905C-1C7974D856C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'Лист 1'!$L$5:$O$5</c:f>
              <c:numCache>
                <c:formatCode>General</c:formatCode>
                <c:ptCount val="4"/>
                <c:pt idx="0">
                  <c:v>3.5</c:v>
                </c:pt>
                <c:pt idx="1">
                  <c:v>340.5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24-4BF9-905C-1C7974D856C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'Лист 1'!$L$6:$O$6</c:f>
              <c:numCache>
                <c:formatCode>General</c:formatCode>
                <c:ptCount val="4"/>
                <c:pt idx="0">
                  <c:v>3.7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24-4BF9-905C-1C7974D856C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'Лист 1'!$L$7:$O$7</c:f>
              <c:numCache>
                <c:formatCode>General</c:formatCode>
                <c:ptCount val="4"/>
                <c:pt idx="0">
                  <c:v>3.94</c:v>
                </c:pt>
                <c:pt idx="1">
                  <c:v>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24-4BF9-905C-1C7974D856C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'Лист 1'!$L$8:$O$8</c:f>
              <c:numCache>
                <c:formatCode>General</c:formatCode>
                <c:ptCount val="4"/>
                <c:pt idx="0">
                  <c:v>4</c:v>
                </c:pt>
                <c:pt idx="1">
                  <c:v>147</c:v>
                </c:pt>
                <c:pt idx="2">
                  <c:v>212.5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24-4BF9-905C-1C7974D856C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'Лист 1'!$L$9:$O$9</c:f>
              <c:numCache>
                <c:formatCode>General</c:formatCode>
                <c:ptCount val="4"/>
                <c:pt idx="0">
                  <c:v>4.1399999999999997</c:v>
                </c:pt>
                <c:pt idx="1">
                  <c:v>149</c:v>
                </c:pt>
                <c:pt idx="2">
                  <c:v>199</c:v>
                </c:pt>
                <c:pt idx="3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24-4BF9-905C-1C7974D856C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'Лист 1'!$L$10:$O$10</c:f>
              <c:numCache>
                <c:formatCode>General</c:formatCode>
                <c:ptCount val="4"/>
                <c:pt idx="0">
                  <c:v>4.21</c:v>
                </c:pt>
                <c:pt idx="1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24-4BF9-905C-1C7974D856C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'Лист 1'!$L$11:$O$11</c:f>
              <c:numCache>
                <c:formatCode>General</c:formatCode>
                <c:ptCount val="4"/>
                <c:pt idx="0">
                  <c:v>5.25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424-4BF9-905C-1C7974D856C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'Лист 1'!$L$12:$O$12</c:f>
              <c:numCache>
                <c:formatCode>General</c:formatCode>
                <c:ptCount val="4"/>
                <c:pt idx="0">
                  <c:v>5.28</c:v>
                </c:pt>
                <c:pt idx="1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24-4BF9-905C-1C7974D856C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'Лист 1'!$L$13:$O$13</c:f>
              <c:numCache>
                <c:formatCode>General</c:formatCode>
                <c:ptCount val="4"/>
                <c:pt idx="0">
                  <c:v>5.32</c:v>
                </c:pt>
                <c:pt idx="1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24-4BF9-905C-1C7974D856C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1'!$L$14:$O$14</c:f>
              <c:numCache>
                <c:formatCode>General</c:formatCode>
                <c:ptCount val="4"/>
                <c:pt idx="0">
                  <c:v>5.41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24-4BF9-905C-1C7974D856C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1'!$L$15:$O$15</c:f>
              <c:numCache>
                <c:formatCode>General</c:formatCode>
                <c:ptCount val="4"/>
                <c:pt idx="0">
                  <c:v>5.52</c:v>
                </c:pt>
                <c:pt idx="1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424-4BF9-905C-1C7974D856C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1'!$L$16:$O$16</c:f>
              <c:numCache>
                <c:formatCode>General</c:formatCode>
                <c:ptCount val="4"/>
                <c:pt idx="0">
                  <c:v>5.57</c:v>
                </c:pt>
                <c:pt idx="1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24-4BF9-905C-1C7974D856C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1'!$L$17:$O$17</c:f>
              <c:numCache>
                <c:formatCode>General</c:formatCode>
                <c:ptCount val="4"/>
                <c:pt idx="0">
                  <c:v>6.8</c:v>
                </c:pt>
                <c:pt idx="1">
                  <c:v>171</c:v>
                </c:pt>
                <c:pt idx="2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424-4BF9-905C-1C7974D856C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1'!$L$18:$O$18</c:f>
              <c:numCache>
                <c:formatCode>General</c:formatCode>
                <c:ptCount val="4"/>
                <c:pt idx="0">
                  <c:v>7.08</c:v>
                </c:pt>
                <c:pt idx="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424-4BF9-905C-1C7974D856C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1'!$L$19:$O$19</c:f>
              <c:numCache>
                <c:formatCode>General</c:formatCode>
                <c:ptCount val="4"/>
                <c:pt idx="0">
                  <c:v>7.12</c:v>
                </c:pt>
                <c:pt idx="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424-4BF9-905C-1C7974D856C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val>
            <c:numRef>
              <c:f>'Лист 1'!$L$20:$O$20</c:f>
              <c:numCache>
                <c:formatCode>General</c:formatCode>
                <c:ptCount val="4"/>
                <c:pt idx="0">
                  <c:v>7.21</c:v>
                </c:pt>
                <c:pt idx="1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424-4BF9-905C-1C7974D85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402015"/>
        <c:axId val="765402495"/>
      </c:lineChart>
      <c:catAx>
        <c:axId val="76540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02495"/>
        <c:crosses val="autoZero"/>
        <c:auto val="1"/>
        <c:lblAlgn val="ctr"/>
        <c:lblOffset val="100"/>
        <c:noMultiLvlLbl val="0"/>
      </c:catAx>
      <c:valAx>
        <c:axId val="7654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0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'Лист 1'!$B$23:$B$30</c:f>
              <c:numCache>
                <c:formatCode>0.00</c:formatCode>
                <c:ptCount val="8"/>
                <c:pt idx="0">
                  <c:v>113</c:v>
                </c:pt>
                <c:pt idx="1">
                  <c:v>131</c:v>
                </c:pt>
                <c:pt idx="2">
                  <c:v>149</c:v>
                </c:pt>
                <c:pt idx="3">
                  <c:v>160</c:v>
                </c:pt>
                <c:pt idx="4">
                  <c:v>166</c:v>
                </c:pt>
                <c:pt idx="5">
                  <c:v>169</c:v>
                </c:pt>
                <c:pt idx="6">
                  <c:v>172</c:v>
                </c:pt>
                <c:pt idx="7">
                  <c:v>6</c:v>
                </c:pt>
              </c:numCache>
            </c:numRef>
          </c:xVal>
          <c:yVal>
            <c:numRef>
              <c:f>'Лист 1'!$C$23:$C$30</c:f>
              <c:numCache>
                <c:formatCode>0.00</c:formatCode>
                <c:ptCount val="8"/>
                <c:pt idx="0">
                  <c:v>158.22894589068255</c:v>
                </c:pt>
                <c:pt idx="1">
                  <c:v>159.75065668920439</c:v>
                </c:pt>
                <c:pt idx="2">
                  <c:v>163.73979529168807</c:v>
                </c:pt>
                <c:pt idx="3">
                  <c:v>166.22714533713602</c:v>
                </c:pt>
                <c:pt idx="4">
                  <c:v>167.95681972191332</c:v>
                </c:pt>
                <c:pt idx="5">
                  <c:v>169.41983758925747</c:v>
                </c:pt>
                <c:pt idx="6">
                  <c:v>170.47271661854765</c:v>
                </c:pt>
                <c:pt idx="7">
                  <c:v>174.70840591817571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FF-444D-9F42-EF69B025EC3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'Лист 1'!$D$23:$D$30</c:f>
              <c:numCache>
                <c:formatCode>0.00</c:formatCode>
                <c:ptCount val="8"/>
                <c:pt idx="0">
                  <c:v>179.49296101245594</c:v>
                </c:pt>
                <c:pt idx="1">
                  <c:v>179.56262976115403</c:v>
                </c:pt>
                <c:pt idx="2">
                  <c:v>211</c:v>
                </c:pt>
                <c:pt idx="3">
                  <c:v>179.64190254372204</c:v>
                </c:pt>
                <c:pt idx="4">
                  <c:v>179.65484574552232</c:v>
                </c:pt>
                <c:pt idx="5">
                  <c:v>179.66097270804582</c:v>
                </c:pt>
                <c:pt idx="6">
                  <c:v>179.66688594115712</c:v>
                </c:pt>
                <c:pt idx="7">
                  <c:v>170.47271661854765</c:v>
                </c:pt>
              </c:numCache>
            </c:numRef>
          </c:xVal>
          <c:yVal>
            <c:numRef>
              <c:f>'Лист 1'!$E$23:$E$30</c:f>
              <c:numCache>
                <c:formatCode>0.00</c:formatCode>
                <c:ptCount val="8"/>
                <c:pt idx="0">
                  <c:v>89.818947195522796</c:v>
                </c:pt>
                <c:pt idx="1">
                  <c:v>179.64134361880417</c:v>
                </c:pt>
                <c:pt idx="2">
                  <c:v>179.6500813908755</c:v>
                </c:pt>
                <c:pt idx="3">
                  <c:v>179.65531738754044</c:v>
                </c:pt>
                <c:pt idx="4">
                  <c:v>179.65886702098757</c:v>
                </c:pt>
                <c:pt idx="5">
                  <c:v>179.66181284327124</c:v>
                </c:pt>
                <c:pt idx="6">
                  <c:v>179.66390155355839</c:v>
                </c:pt>
                <c:pt idx="7">
                  <c:v>179.67204999218563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FF-444D-9F42-EF69B025E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811632"/>
        <c:axId val="676815472"/>
      </c:scatterChart>
      <c:valAx>
        <c:axId val="67681163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815472"/>
        <c:crosses val="autoZero"/>
        <c:crossBetween val="midCat"/>
      </c:valAx>
      <c:valAx>
        <c:axId val="67681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81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17318</xdr:colOff>
      <xdr:row>31</xdr:row>
      <xdr:rowOff>58882</xdr:rowOff>
    </xdr:from>
    <xdr:to>
      <xdr:col>13</xdr:col>
      <xdr:colOff>17318</xdr:colOff>
      <xdr:row>31</xdr:row>
      <xdr:rowOff>76200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2C331E32-7A40-4F40-AE6A-52DBE261B39D}"/>
            </a:ext>
          </a:extLst>
        </xdr:cNvPr>
        <xdr:cNvCxnSpPr/>
      </xdr:nvCxnSpPr>
      <xdr:spPr>
        <a:xfrm flipV="1">
          <a:off x="7698278" y="5728162"/>
          <a:ext cx="0" cy="173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64076</xdr:colOff>
      <xdr:row>0</xdr:row>
      <xdr:rowOff>131617</xdr:rowOff>
    </xdr:from>
    <xdr:to>
      <xdr:col>7</xdr:col>
      <xdr:colOff>464128</xdr:colOff>
      <xdr:row>15</xdr:row>
      <xdr:rowOff>65809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90F91CD-3D8F-4427-B5A7-3A40B7A0A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358140</xdr:colOff>
      <xdr:row>1</xdr:row>
      <xdr:rowOff>121920</xdr:rowOff>
    </xdr:from>
    <xdr:to>
      <xdr:col>22</xdr:col>
      <xdr:colOff>449580</xdr:colOff>
      <xdr:row>16</xdr:row>
      <xdr:rowOff>45720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81338E3-712F-4CCA-922E-8BB521F5D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90054</xdr:rowOff>
    </xdr:from>
    <xdr:to>
      <xdr:col>10</xdr:col>
      <xdr:colOff>166255</xdr:colOff>
      <xdr:row>20</xdr:row>
      <xdr:rowOff>304799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1A9F9A09-9E10-E0A4-ED68-4645878B1D7D}"/>
            </a:ext>
          </a:extLst>
        </xdr:cNvPr>
        <xdr:cNvSpPr/>
      </xdr:nvSpPr>
      <xdr:spPr>
        <a:xfrm>
          <a:off x="0" y="90054"/>
          <a:ext cx="7786255" cy="394854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353291</xdr:colOff>
      <xdr:row>0</xdr:row>
      <xdr:rowOff>55418</xdr:rowOff>
    </xdr:from>
    <xdr:to>
      <xdr:col>23</xdr:col>
      <xdr:colOff>193964</xdr:colOff>
      <xdr:row>20</xdr:row>
      <xdr:rowOff>304800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BD2B68D9-69A1-5473-F090-DB89735B95FB}"/>
            </a:ext>
          </a:extLst>
        </xdr:cNvPr>
        <xdr:cNvSpPr/>
      </xdr:nvSpPr>
      <xdr:spPr>
        <a:xfrm>
          <a:off x="7973291" y="55418"/>
          <a:ext cx="8125691" cy="398318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62345</xdr:colOff>
      <xdr:row>20</xdr:row>
      <xdr:rowOff>644236</xdr:rowOff>
    </xdr:from>
    <xdr:to>
      <xdr:col>14</xdr:col>
      <xdr:colOff>41564</xdr:colOff>
      <xdr:row>35</xdr:row>
      <xdr:rowOff>90055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43A07C07-FAE6-7DAD-4ACC-3C6A8772BD5A}"/>
            </a:ext>
          </a:extLst>
        </xdr:cNvPr>
        <xdr:cNvSpPr/>
      </xdr:nvSpPr>
      <xdr:spPr>
        <a:xfrm>
          <a:off x="62345" y="4378036"/>
          <a:ext cx="10148455" cy="400396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24246</xdr:colOff>
      <xdr:row>20</xdr:row>
      <xdr:rowOff>935181</xdr:rowOff>
    </xdr:from>
    <xdr:to>
      <xdr:col>13</xdr:col>
      <xdr:colOff>135083</xdr:colOff>
      <xdr:row>30</xdr:row>
      <xdr:rowOff>76199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B6538E6-43CF-CC85-46CA-2E694CBFE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F2DA-D91C-416E-B200-CE7DBE46415C}">
  <dimension ref="A2:X47"/>
  <sheetViews>
    <sheetView tabSelected="1" topLeftCell="A10" zoomScale="55" zoomScaleNormal="55" workbookViewId="0">
      <selection activeCell="Q22" sqref="Q22"/>
    </sheetView>
  </sheetViews>
  <sheetFormatPr defaultRowHeight="14.4" x14ac:dyDescent="0.55000000000000004"/>
  <cols>
    <col min="1" max="1" width="14.3671875" customWidth="1"/>
    <col min="2" max="2" width="14.47265625" customWidth="1"/>
    <col min="3" max="5" width="15.9453125" customWidth="1"/>
  </cols>
  <sheetData>
    <row r="2" spans="8:19" x14ac:dyDescent="0.55000000000000004">
      <c r="I2" s="27" t="s">
        <v>1</v>
      </c>
      <c r="J2" s="37" t="s">
        <v>0</v>
      </c>
      <c r="L2" s="27">
        <v>3</v>
      </c>
      <c r="M2" s="27">
        <v>340.5</v>
      </c>
      <c r="N2" s="27"/>
      <c r="O2" s="27"/>
    </row>
    <row r="3" spans="8:19" x14ac:dyDescent="0.55000000000000004">
      <c r="I3" s="27">
        <v>3.7</v>
      </c>
      <c r="J3" s="27">
        <v>17</v>
      </c>
      <c r="L3" s="27">
        <v>3.42</v>
      </c>
      <c r="M3" s="27">
        <v>17</v>
      </c>
      <c r="N3" s="27"/>
      <c r="O3" s="27"/>
    </row>
    <row r="4" spans="8:19" x14ac:dyDescent="0.55000000000000004">
      <c r="I4" s="27">
        <v>4.1399999999999997</v>
      </c>
      <c r="J4" s="27">
        <v>149</v>
      </c>
      <c r="L4" s="27">
        <v>3.48</v>
      </c>
      <c r="M4" s="27">
        <v>329</v>
      </c>
      <c r="N4" s="27"/>
      <c r="O4" s="27"/>
    </row>
    <row r="5" spans="8:19" x14ac:dyDescent="0.55000000000000004">
      <c r="I5" s="27">
        <v>4.2</v>
      </c>
      <c r="J5" s="27">
        <v>340</v>
      </c>
      <c r="L5" s="27">
        <v>3.5</v>
      </c>
      <c r="M5" s="27">
        <v>340.5</v>
      </c>
      <c r="N5" s="27"/>
      <c r="O5" s="27"/>
    </row>
    <row r="6" spans="8:19" x14ac:dyDescent="0.55000000000000004">
      <c r="H6" s="39"/>
      <c r="I6" s="27">
        <v>5.41</v>
      </c>
      <c r="J6" s="27">
        <v>170</v>
      </c>
      <c r="K6" s="6"/>
      <c r="L6" s="27">
        <v>3.7</v>
      </c>
      <c r="M6" s="27">
        <v>17</v>
      </c>
      <c r="N6" s="27"/>
      <c r="O6" s="27"/>
    </row>
    <row r="7" spans="8:19" x14ac:dyDescent="0.55000000000000004">
      <c r="H7" s="38"/>
      <c r="I7" s="27">
        <v>5.56</v>
      </c>
      <c r="J7" s="27">
        <v>164</v>
      </c>
      <c r="L7" s="27">
        <v>3.94</v>
      </c>
      <c r="M7" s="27">
        <v>337</v>
      </c>
      <c r="N7" s="27"/>
      <c r="O7" s="27"/>
    </row>
    <row r="8" spans="8:19" x14ac:dyDescent="0.55000000000000004">
      <c r="I8" s="27">
        <v>7.2</v>
      </c>
      <c r="J8" s="27">
        <v>172</v>
      </c>
      <c r="L8" s="27">
        <v>4</v>
      </c>
      <c r="M8" s="27">
        <v>147</v>
      </c>
      <c r="N8" s="27">
        <v>212.5</v>
      </c>
      <c r="O8" s="27"/>
    </row>
    <row r="9" spans="8:19" x14ac:dyDescent="0.55000000000000004">
      <c r="H9" s="36"/>
      <c r="L9" s="27">
        <v>4.1399999999999997</v>
      </c>
      <c r="M9" s="27">
        <v>149</v>
      </c>
      <c r="N9" s="27">
        <v>199</v>
      </c>
      <c r="O9" s="27">
        <v>211</v>
      </c>
    </row>
    <row r="10" spans="8:19" ht="15.3" x14ac:dyDescent="0.55000000000000004">
      <c r="H10" s="35"/>
      <c r="K10" s="2"/>
      <c r="L10" s="27">
        <v>4.21</v>
      </c>
      <c r="M10" s="27">
        <v>340</v>
      </c>
      <c r="N10" s="27"/>
      <c r="O10" s="27"/>
    </row>
    <row r="11" spans="8:19" ht="15.3" x14ac:dyDescent="0.55000000000000004">
      <c r="H11" s="35"/>
      <c r="K11" s="2"/>
      <c r="L11" s="27">
        <v>5.25</v>
      </c>
      <c r="M11" s="27">
        <v>17</v>
      </c>
      <c r="N11" s="27"/>
      <c r="O11" s="27"/>
    </row>
    <row r="12" spans="8:19" ht="15.3" x14ac:dyDescent="0.55000000000000004">
      <c r="H12" s="2"/>
      <c r="K12" s="2"/>
      <c r="L12" s="27">
        <v>5.28</v>
      </c>
      <c r="M12" s="27">
        <v>162</v>
      </c>
      <c r="N12" s="27"/>
      <c r="O12" s="27"/>
    </row>
    <row r="13" spans="8:19" ht="15.3" x14ac:dyDescent="0.55000000000000004">
      <c r="H13" s="2"/>
      <c r="K13" s="2"/>
      <c r="L13" s="27">
        <v>5.32</v>
      </c>
      <c r="M13" s="27">
        <v>162</v>
      </c>
      <c r="N13" s="26"/>
      <c r="O13" s="26"/>
    </row>
    <row r="14" spans="8:19" x14ac:dyDescent="0.55000000000000004">
      <c r="H14" s="1"/>
      <c r="I14" s="1"/>
      <c r="J14" s="1"/>
      <c r="K14" s="1"/>
      <c r="L14" s="27">
        <v>5.41</v>
      </c>
      <c r="M14" s="27">
        <v>17</v>
      </c>
      <c r="N14" s="26"/>
      <c r="O14" s="26"/>
    </row>
    <row r="15" spans="8:19" x14ac:dyDescent="0.55000000000000004">
      <c r="L15" s="27">
        <v>5.52</v>
      </c>
      <c r="M15" s="27">
        <v>170</v>
      </c>
      <c r="N15" s="26"/>
      <c r="O15" s="26"/>
    </row>
    <row r="16" spans="8:19" ht="15.3" x14ac:dyDescent="0.55000000000000004">
      <c r="L16" s="27">
        <v>5.57</v>
      </c>
      <c r="M16" s="27">
        <v>164</v>
      </c>
      <c r="N16" s="26"/>
      <c r="O16" s="26"/>
      <c r="P16" s="2"/>
      <c r="Q16" s="1"/>
      <c r="R16" s="1"/>
      <c r="S16" s="1"/>
    </row>
    <row r="17" spans="1:19" ht="15.3" x14ac:dyDescent="0.55000000000000004">
      <c r="A17" s="5"/>
      <c r="B17" s="5"/>
      <c r="C17" s="34"/>
      <c r="D17" s="34"/>
      <c r="E17" s="34"/>
      <c r="F17" s="33"/>
      <c r="G17" s="32"/>
      <c r="H17" s="32"/>
      <c r="I17" s="32"/>
      <c r="L17" s="27">
        <v>6.8</v>
      </c>
      <c r="M17" s="27">
        <v>171</v>
      </c>
      <c r="N17" s="26">
        <v>189</v>
      </c>
      <c r="O17" s="26"/>
      <c r="P17" s="31"/>
      <c r="Q17" s="4"/>
      <c r="R17" s="4"/>
      <c r="S17" s="1"/>
    </row>
    <row r="18" spans="1:19" ht="15.3" x14ac:dyDescent="0.55000000000000004">
      <c r="A18" s="23"/>
      <c r="B18" s="30"/>
      <c r="C18" s="30"/>
      <c r="D18" s="30"/>
      <c r="E18" s="30"/>
      <c r="F18" s="30"/>
      <c r="G18" s="30"/>
      <c r="H18" s="30"/>
      <c r="I18" s="30"/>
      <c r="L18" s="27">
        <v>7.08</v>
      </c>
      <c r="M18" s="27">
        <v>198</v>
      </c>
      <c r="N18" s="26"/>
      <c r="O18" s="26"/>
      <c r="P18" s="29"/>
      <c r="Q18" s="24"/>
      <c r="R18" s="24"/>
      <c r="S18" s="24"/>
    </row>
    <row r="19" spans="1:19" ht="15.3" x14ac:dyDescent="0.55000000000000004">
      <c r="A19" s="23"/>
      <c r="B19" s="21"/>
      <c r="C19" s="21"/>
      <c r="D19" s="21"/>
      <c r="E19" s="21"/>
      <c r="F19" s="21"/>
      <c r="G19" s="21"/>
      <c r="H19" s="21"/>
      <c r="I19" s="21"/>
      <c r="L19" s="27">
        <v>7.12</v>
      </c>
      <c r="M19" s="27">
        <v>198</v>
      </c>
      <c r="N19" s="26"/>
      <c r="O19" s="26"/>
      <c r="P19" s="28"/>
      <c r="Q19" s="24"/>
      <c r="R19" s="24"/>
      <c r="S19" s="24"/>
    </row>
    <row r="20" spans="1:19" ht="15.6" x14ac:dyDescent="0.6">
      <c r="A20" s="23"/>
      <c r="B20" s="21"/>
      <c r="C20" s="25"/>
      <c r="D20" s="25"/>
      <c r="E20" s="25"/>
      <c r="F20" s="25"/>
      <c r="G20" s="21"/>
      <c r="H20" s="25"/>
      <c r="I20" s="21"/>
      <c r="L20" s="27">
        <v>7.21</v>
      </c>
      <c r="M20" s="27">
        <v>172</v>
      </c>
      <c r="N20" s="26"/>
      <c r="O20" s="26"/>
      <c r="P20" s="21"/>
      <c r="Q20" s="24"/>
      <c r="R20" s="24"/>
      <c r="S20" s="24"/>
    </row>
    <row r="21" spans="1:19" ht="76.8" customHeight="1" x14ac:dyDescent="0.6">
      <c r="F21" s="21"/>
      <c r="G21" s="25"/>
      <c r="H21" s="21"/>
      <c r="I21" s="25"/>
      <c r="P21" s="21"/>
      <c r="Q21" s="24"/>
      <c r="R21" s="24"/>
      <c r="S21" s="24"/>
    </row>
    <row r="22" spans="1:19" ht="86.4" x14ac:dyDescent="0.6">
      <c r="A22" s="40" t="s">
        <v>1</v>
      </c>
      <c r="B22" s="42" t="s">
        <v>2</v>
      </c>
      <c r="C22" s="42" t="s">
        <v>3</v>
      </c>
      <c r="D22" s="42" t="s">
        <v>2</v>
      </c>
      <c r="E22" s="42" t="s">
        <v>4</v>
      </c>
      <c r="F22" s="25"/>
      <c r="G22" s="21"/>
      <c r="H22" s="25"/>
      <c r="I22" s="21"/>
      <c r="P22" s="21"/>
      <c r="Q22" s="24"/>
      <c r="R22" s="24"/>
      <c r="S22" s="24"/>
    </row>
    <row r="23" spans="1:19" ht="15.6" x14ac:dyDescent="0.6">
      <c r="A23" s="41">
        <v>2.6</v>
      </c>
      <c r="B23" s="40">
        <v>113</v>
      </c>
      <c r="C23" s="40">
        <f>ATAN2((0.5/2)*SIN(45*PI()/180), (A23/2)*COS(45*PI()/180)) * 360/PI()</f>
        <v>158.22894589068255</v>
      </c>
      <c r="D23" s="40">
        <f>ATAN2((0.5/2)*SIN(45*PI()/180), (B23/2)*COS(45*PI()/180)) * 360/PI()</f>
        <v>179.49296101245594</v>
      </c>
      <c r="E23" s="40">
        <f>ATAN2((0.5/2)*SIN(45*PI()/180), (C23/2)*COS(45*PI()/180)) * 180/PI()</f>
        <v>89.818947195522796</v>
      </c>
      <c r="F23" s="21"/>
      <c r="G23" s="25"/>
      <c r="H23" s="21"/>
      <c r="I23" s="25"/>
      <c r="J23" s="21"/>
      <c r="K23" s="25"/>
      <c r="P23" s="21"/>
      <c r="Q23" s="24"/>
      <c r="R23" s="24"/>
      <c r="S23" s="24"/>
    </row>
    <row r="24" spans="1:19" ht="15.6" x14ac:dyDescent="0.6">
      <c r="A24" s="43">
        <v>2.8</v>
      </c>
      <c r="B24" s="40">
        <v>131</v>
      </c>
      <c r="C24" s="40">
        <f t="shared" ref="C24:D30" si="0">ATAN2((0.5/2)*SIN(45*PI()/180), (A24/2)*COS(45*PI()/180)) * 360/PI()</f>
        <v>159.75065668920439</v>
      </c>
      <c r="D24" s="40">
        <f t="shared" si="0"/>
        <v>179.56262976115403</v>
      </c>
      <c r="E24" s="40">
        <f t="shared" ref="E24:E29" si="1">ATAN2((0.5/2)*SIN(45*PI()/180), (C24/2)*COS(45*PI()/180)) * 360/PI()</f>
        <v>179.64134361880417</v>
      </c>
      <c r="F24" s="21"/>
      <c r="G24" s="21"/>
      <c r="H24" s="25"/>
      <c r="I24" s="21"/>
      <c r="J24" s="25"/>
      <c r="K24" s="21"/>
      <c r="P24" s="21"/>
      <c r="Q24" s="24"/>
      <c r="R24" s="24"/>
      <c r="S24" s="24"/>
    </row>
    <row r="25" spans="1:19" ht="15.6" x14ac:dyDescent="0.6">
      <c r="A25" s="43">
        <v>3.5</v>
      </c>
      <c r="B25" s="40">
        <v>149</v>
      </c>
      <c r="C25" s="40">
        <f t="shared" si="0"/>
        <v>163.73979529168807</v>
      </c>
      <c r="D25" s="40">
        <v>211</v>
      </c>
      <c r="E25" s="40">
        <f t="shared" si="1"/>
        <v>179.6500813908755</v>
      </c>
      <c r="F25" s="21"/>
      <c r="G25" s="21"/>
      <c r="H25" s="21"/>
      <c r="I25" s="22"/>
      <c r="J25" s="21"/>
      <c r="K25" s="21"/>
      <c r="P25" s="20"/>
      <c r="Q25" s="19"/>
      <c r="R25" s="19"/>
      <c r="S25" s="18"/>
    </row>
    <row r="26" spans="1:19" ht="15.3" x14ac:dyDescent="0.55000000000000004">
      <c r="A26" s="43">
        <v>4.1399999999999997</v>
      </c>
      <c r="B26" s="40">
        <v>160</v>
      </c>
      <c r="C26" s="40">
        <f t="shared" si="0"/>
        <v>166.22714533713602</v>
      </c>
      <c r="D26" s="40">
        <f t="shared" si="0"/>
        <v>179.64190254372204</v>
      </c>
      <c r="E26" s="40">
        <f t="shared" si="1"/>
        <v>179.65531738754044</v>
      </c>
      <c r="F26" s="17"/>
      <c r="G26" s="15"/>
      <c r="H26" s="16"/>
      <c r="I26" s="14"/>
      <c r="J26" s="15"/>
      <c r="K26" s="14"/>
      <c r="P26" s="13"/>
      <c r="Q26" s="4"/>
      <c r="R26" s="4"/>
      <c r="S26" s="1"/>
    </row>
    <row r="27" spans="1:19" ht="15.3" x14ac:dyDescent="0.55000000000000004">
      <c r="A27" s="43">
        <v>4.74</v>
      </c>
      <c r="B27" s="40">
        <v>166</v>
      </c>
      <c r="C27" s="40">
        <f t="shared" si="0"/>
        <v>167.95681972191332</v>
      </c>
      <c r="D27" s="40">
        <f t="shared" si="0"/>
        <v>179.65484574552232</v>
      </c>
      <c r="E27" s="40">
        <f t="shared" si="1"/>
        <v>179.65886702098757</v>
      </c>
      <c r="F27" s="12"/>
      <c r="G27" s="12"/>
      <c r="H27" s="10"/>
      <c r="I27" s="10"/>
      <c r="J27" s="11"/>
      <c r="K27" s="10"/>
      <c r="P27" s="9"/>
      <c r="Q27" s="8"/>
      <c r="R27" s="8"/>
      <c r="S27" s="7"/>
    </row>
    <row r="28" spans="1:19" x14ac:dyDescent="0.55000000000000004">
      <c r="A28" s="43">
        <v>5.4</v>
      </c>
      <c r="B28" s="40">
        <v>169</v>
      </c>
      <c r="C28" s="40">
        <f t="shared" si="0"/>
        <v>169.41983758925747</v>
      </c>
      <c r="D28" s="40">
        <f t="shared" si="0"/>
        <v>179.66097270804582</v>
      </c>
      <c r="E28" s="40">
        <f t="shared" si="1"/>
        <v>179.66181284327124</v>
      </c>
      <c r="F28" s="5"/>
      <c r="G28" s="6"/>
      <c r="H28" s="5"/>
      <c r="I28" s="6"/>
      <c r="N28" s="6"/>
      <c r="O28" s="6"/>
      <c r="P28" s="5"/>
      <c r="Q28" s="4"/>
      <c r="R28" s="4"/>
      <c r="S28" s="1"/>
    </row>
    <row r="29" spans="1:19" x14ac:dyDescent="0.55000000000000004">
      <c r="A29" s="43">
        <v>6</v>
      </c>
      <c r="B29" s="40">
        <v>172</v>
      </c>
      <c r="C29" s="40">
        <f t="shared" si="0"/>
        <v>170.47271661854765</v>
      </c>
      <c r="D29" s="40">
        <f t="shared" si="0"/>
        <v>179.66688594115712</v>
      </c>
      <c r="E29" s="40">
        <f t="shared" si="1"/>
        <v>179.66390155355839</v>
      </c>
      <c r="I29" s="3"/>
      <c r="O29" s="3"/>
      <c r="Q29" s="1"/>
      <c r="R29" s="1"/>
      <c r="S29" s="1"/>
    </row>
    <row r="30" spans="1:19" x14ac:dyDescent="0.55000000000000004">
      <c r="A30" s="43">
        <v>10.82</v>
      </c>
      <c r="B30" s="40">
        <v>6</v>
      </c>
      <c r="C30" s="40">
        <f t="shared" si="0"/>
        <v>174.70840591817571</v>
      </c>
      <c r="D30" s="40">
        <f t="shared" si="0"/>
        <v>170.47271661854765</v>
      </c>
      <c r="E30" s="40">
        <f t="shared" ref="E30" si="2">ATAN2((0.5/2)*SIN(45*PI()/180), (C30/2)*COS(45*PI()/180)) * 360/PI()</f>
        <v>179.67204999218563</v>
      </c>
      <c r="Q30" s="1"/>
      <c r="R30" s="1"/>
      <c r="S30" s="1"/>
    </row>
    <row r="31" spans="1:19" x14ac:dyDescent="0.55000000000000004">
      <c r="C31" s="3"/>
      <c r="D31" s="45"/>
      <c r="E31" s="45"/>
      <c r="Q31" s="1"/>
      <c r="R31" s="1"/>
      <c r="S31" s="1"/>
    </row>
    <row r="32" spans="1:19" ht="15.3" x14ac:dyDescent="0.55000000000000004">
      <c r="B32" s="2"/>
      <c r="C32" s="2"/>
      <c r="D32" s="2"/>
      <c r="E32" s="2"/>
      <c r="F32" s="2"/>
      <c r="G32" s="2"/>
      <c r="H32" s="2"/>
      <c r="I32" s="2"/>
      <c r="N32" s="2"/>
      <c r="O32" s="2"/>
      <c r="P32" s="2"/>
      <c r="Q32" s="1"/>
      <c r="R32" s="1"/>
      <c r="S32" s="1"/>
    </row>
    <row r="33" spans="2:24" ht="15.3" x14ac:dyDescent="0.55000000000000004">
      <c r="B33" s="2"/>
      <c r="C33" s="2"/>
      <c r="D33" s="2"/>
      <c r="E33" s="2"/>
      <c r="F33" s="2"/>
      <c r="G33" s="2"/>
      <c r="H33" s="2"/>
      <c r="I33" s="2"/>
      <c r="N33" s="2"/>
      <c r="O33" s="2"/>
      <c r="P33" s="2"/>
      <c r="Q33" s="1"/>
      <c r="R33" s="1"/>
      <c r="S33" s="1"/>
    </row>
    <row r="34" spans="2:24" ht="15.3" x14ac:dyDescent="0.55000000000000004">
      <c r="B34" s="2"/>
      <c r="C34" s="2"/>
      <c r="D34" s="2"/>
      <c r="E34" s="2"/>
      <c r="F34" s="2"/>
      <c r="G34" s="2"/>
      <c r="H34" s="2"/>
      <c r="I34" s="2"/>
      <c r="N34" s="2"/>
      <c r="O34" s="2"/>
      <c r="P34" s="2"/>
      <c r="Q34" s="1"/>
      <c r="R34" s="1"/>
      <c r="S34" s="1"/>
      <c r="X34" s="44"/>
    </row>
    <row r="35" spans="2:24" ht="15.3" x14ac:dyDescent="0.55000000000000004">
      <c r="B35" s="2"/>
      <c r="C35" s="2"/>
      <c r="D35" s="2"/>
      <c r="E35" s="2"/>
      <c r="F35" s="2"/>
      <c r="G35" s="2"/>
      <c r="H35" s="2"/>
      <c r="I35" s="2"/>
      <c r="N35" s="2"/>
      <c r="O35" s="2"/>
      <c r="P35" s="2"/>
      <c r="Q35" s="1"/>
      <c r="R35" s="1"/>
      <c r="S35" s="1"/>
    </row>
    <row r="36" spans="2:24" x14ac:dyDescent="0.55000000000000004">
      <c r="B36" s="1"/>
      <c r="C36" s="1"/>
      <c r="D36" s="1"/>
      <c r="E36" s="1"/>
      <c r="F36" s="1"/>
      <c r="G36" s="1"/>
      <c r="H36" s="1"/>
      <c r="I36" s="1"/>
      <c r="N36" s="1"/>
      <c r="O36" s="1"/>
      <c r="P36" s="1"/>
      <c r="Q36" s="1"/>
      <c r="R36" s="1"/>
      <c r="S36" s="1"/>
    </row>
    <row r="37" spans="2:24" x14ac:dyDescent="0.5500000000000000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24" x14ac:dyDescent="0.5500000000000000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24" x14ac:dyDescent="0.5500000000000000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24" x14ac:dyDescent="0.5500000000000000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24" x14ac:dyDescent="0.5500000000000000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24" x14ac:dyDescent="0.5500000000000000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24" x14ac:dyDescent="0.5500000000000000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24" x14ac:dyDescent="0.5500000000000000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24" x14ac:dyDescent="0.5500000000000000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24" x14ac:dyDescent="0.5500000000000000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24" x14ac:dyDescent="0.5500000000000000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2025-07-21T08:44:36Z</dcterms:modified>
</cp:coreProperties>
</file>