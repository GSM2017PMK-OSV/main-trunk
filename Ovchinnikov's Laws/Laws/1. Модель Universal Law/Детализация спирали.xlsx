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28.07\Законы\Эксперимент\Спираль\Дет. спирали (по листам)\"/>
    </mc:Choice>
  </mc:AlternateContent>
  <xr:revisionPtr revIDLastSave="0" documentId="13_ncr:1_{5E4FA347-A9FB-4403-BDEE-6CA27F1C5506}" xr6:coauthVersionLast="47" xr6:coauthVersionMax="47" xr10:uidLastSave="{00000000-0000-0000-0000-000000000000}"/>
  <bookViews>
    <workbookView xWindow="-96" yWindow="-96" windowWidth="17472" windowHeight="10992" tabRatio="605" activeTab="2" xr2:uid="{00000000-000D-0000-FFFF-FFFF00000000}"/>
  </bookViews>
  <sheets>
    <sheet name="Лист1" sheetId="5" r:id="rId1"/>
    <sheet name="Лист 2" sheetId="4" r:id="rId2"/>
    <sheet name="Лист 3" sheetId="3" r:id="rId3"/>
    <sheet name="Анализ" sheetId="10" r:id="rId4"/>
  </sheets>
  <definedNames>
    <definedName name="_xlnm.Print_Area" localSheetId="2">'Лист 3'!$A$1:$AU$92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" i="3" l="1"/>
  <c r="F37" i="10"/>
  <c r="F38" i="10"/>
  <c r="F39" i="10"/>
  <c r="F40" i="10"/>
  <c r="F41" i="10"/>
  <c r="F42" i="10"/>
  <c r="F43" i="10"/>
  <c r="F44" i="10"/>
  <c r="F45" i="10"/>
  <c r="F46" i="10"/>
  <c r="F47" i="10"/>
  <c r="F36" i="10"/>
  <c r="T38" i="3"/>
  <c r="T36" i="3"/>
  <c r="AE36" i="3" s="1"/>
  <c r="T37" i="3"/>
  <c r="AE37" i="3"/>
  <c r="T39" i="3"/>
  <c r="T40" i="3"/>
  <c r="AE40" i="3" s="1"/>
  <c r="T41" i="3"/>
  <c r="AE41" i="3" s="1"/>
  <c r="T42" i="3"/>
  <c r="AE42" i="3" s="1"/>
  <c r="T43" i="3"/>
  <c r="T44" i="3"/>
  <c r="T45" i="3"/>
  <c r="T46" i="3"/>
  <c r="T47" i="3"/>
  <c r="T48" i="3"/>
  <c r="T49" i="3"/>
  <c r="T50" i="3"/>
  <c r="AE50" i="3" s="1"/>
  <c r="T51" i="3"/>
  <c r="AE51" i="3" s="1"/>
  <c r="T52" i="3"/>
  <c r="AE52" i="3" s="1"/>
  <c r="T53" i="3"/>
  <c r="AE53" i="3" s="1"/>
  <c r="T54" i="3"/>
  <c r="AE54" i="3" s="1"/>
  <c r="T55" i="3"/>
  <c r="AE55" i="3" s="1"/>
  <c r="T56" i="3"/>
  <c r="AE56" i="3" s="1"/>
  <c r="T57" i="3"/>
  <c r="AE57" i="3" s="1"/>
  <c r="T58" i="3"/>
  <c r="AE58" i="3" s="1"/>
  <c r="T59" i="3"/>
  <c r="T60" i="3"/>
  <c r="T61" i="3"/>
  <c r="T62" i="3"/>
  <c r="T63" i="3"/>
  <c r="T64" i="3"/>
  <c r="T65" i="3"/>
  <c r="T66" i="3"/>
  <c r="T67" i="3"/>
  <c r="T68" i="3"/>
  <c r="AE43" i="3"/>
  <c r="AE44" i="3"/>
  <c r="AE45" i="3"/>
  <c r="AE46" i="3"/>
  <c r="AE47" i="3"/>
  <c r="AE48" i="3"/>
  <c r="AE65" i="3"/>
  <c r="AE66" i="3"/>
  <c r="AE67" i="3"/>
  <c r="X50" i="3"/>
  <c r="AE39" i="3"/>
  <c r="AE59" i="3"/>
  <c r="AE60" i="3"/>
  <c r="AE61" i="3"/>
  <c r="AE62" i="3"/>
  <c r="AE63" i="3"/>
  <c r="AE64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36" i="3"/>
  <c r="AE49" i="3" l="1"/>
  <c r="AE38" i="3"/>
  <c r="X37" i="3"/>
  <c r="AF37" i="3"/>
  <c r="X38" i="3"/>
  <c r="AG40" i="3"/>
  <c r="AD41" i="3"/>
  <c r="AG43" i="3"/>
  <c r="AD44" i="3"/>
  <c r="AD45" i="3"/>
  <c r="AD46" i="3"/>
  <c r="X48" i="3"/>
  <c r="AF52" i="3"/>
  <c r="AF53" i="3"/>
  <c r="AF54" i="3"/>
  <c r="Y57" i="3"/>
  <c r="AF57" i="3"/>
  <c r="Y60" i="3"/>
  <c r="AH60" i="3"/>
  <c r="AG60" i="3" s="1"/>
  <c r="AF64" i="3"/>
  <c r="AD65" i="3"/>
  <c r="Y67" i="3"/>
  <c r="AG68" i="3"/>
  <c r="AD36" i="3"/>
  <c r="AG37" i="3"/>
  <c r="AG38" i="3"/>
  <c r="AG39" i="3"/>
  <c r="AG49" i="3"/>
  <c r="AG50" i="3"/>
  <c r="AG51" i="3"/>
  <c r="AG52" i="3"/>
  <c r="AG53" i="3"/>
  <c r="AG54" i="3"/>
  <c r="AG55" i="3"/>
  <c r="AG56" i="3"/>
  <c r="AG57" i="3"/>
  <c r="AF49" i="3"/>
  <c r="AF50" i="3"/>
  <c r="AF51" i="3"/>
  <c r="AD37" i="3"/>
  <c r="AD38" i="3"/>
  <c r="AD39" i="3"/>
  <c r="AD40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B67" i="3"/>
  <c r="AC67" i="3" s="1"/>
  <c r="Z67" i="3"/>
  <c r="Z68" i="3"/>
  <c r="W67" i="3"/>
  <c r="W68" i="3"/>
  <c r="V67" i="3"/>
  <c r="S67" i="3"/>
  <c r="Z36" i="3"/>
  <c r="Y39" i="3"/>
  <c r="H41" i="10"/>
  <c r="H42" i="10"/>
  <c r="F17" i="10"/>
  <c r="G36" i="10"/>
  <c r="V36" i="3"/>
  <c r="V37" i="3"/>
  <c r="W37" i="3"/>
  <c r="V38" i="3"/>
  <c r="V39" i="3"/>
  <c r="V40" i="3"/>
  <c r="V41" i="3"/>
  <c r="W41" i="3"/>
  <c r="V42" i="3"/>
  <c r="W42" i="3"/>
  <c r="V43" i="3"/>
  <c r="W43" i="3"/>
  <c r="V44" i="3"/>
  <c r="V45" i="3"/>
  <c r="V46" i="3"/>
  <c r="W46" i="3"/>
  <c r="V47" i="3"/>
  <c r="W47" i="3"/>
  <c r="V48" i="3"/>
  <c r="W48" i="3"/>
  <c r="V49" i="3"/>
  <c r="W49" i="3"/>
  <c r="V50" i="3"/>
  <c r="W50" i="3"/>
  <c r="V51" i="3"/>
  <c r="W51" i="3"/>
  <c r="V52" i="3"/>
  <c r="W52" i="3"/>
  <c r="V53" i="3"/>
  <c r="W53" i="3"/>
  <c r="V54" i="3"/>
  <c r="W54" i="3"/>
  <c r="V55" i="3"/>
  <c r="W55" i="3"/>
  <c r="V56" i="3"/>
  <c r="W56" i="3"/>
  <c r="V57" i="3"/>
  <c r="W57" i="3"/>
  <c r="V58" i="3"/>
  <c r="W58" i="3"/>
  <c r="V59" i="3"/>
  <c r="W59" i="3"/>
  <c r="V60" i="3"/>
  <c r="W60" i="3"/>
  <c r="V61" i="3"/>
  <c r="W61" i="3"/>
  <c r="V62" i="3"/>
  <c r="W62" i="3"/>
  <c r="V63" i="3"/>
  <c r="W63" i="3"/>
  <c r="V64" i="3"/>
  <c r="W64" i="3"/>
  <c r="V65" i="3"/>
  <c r="W65" i="3"/>
  <c r="V66" i="3"/>
  <c r="W66" i="3"/>
  <c r="V68" i="3"/>
  <c r="H14" i="10"/>
  <c r="G14" i="10"/>
  <c r="F14" i="10"/>
  <c r="H44" i="10"/>
  <c r="G44" i="10"/>
  <c r="G42" i="10"/>
  <c r="G41" i="10"/>
  <c r="H47" i="10"/>
  <c r="G47" i="10"/>
  <c r="H46" i="10"/>
  <c r="G46" i="10"/>
  <c r="H45" i="10"/>
  <c r="G45" i="10"/>
  <c r="H43" i="10"/>
  <c r="G43" i="10"/>
  <c r="G40" i="10"/>
  <c r="G39" i="10"/>
  <c r="G38" i="10"/>
  <c r="H37" i="10"/>
  <c r="G37" i="10"/>
  <c r="G8" i="10"/>
  <c r="G9" i="10"/>
  <c r="H9" i="10"/>
  <c r="G10" i="10"/>
  <c r="G11" i="10"/>
  <c r="G12" i="10"/>
  <c r="G13" i="10"/>
  <c r="H13" i="10"/>
  <c r="G15" i="10"/>
  <c r="H15" i="10"/>
  <c r="G16" i="10"/>
  <c r="H16" i="10"/>
  <c r="G17" i="10"/>
  <c r="H17" i="10"/>
  <c r="F16" i="10"/>
  <c r="F15" i="10"/>
  <c r="F13" i="10"/>
  <c r="F12" i="10"/>
  <c r="F11" i="10"/>
  <c r="F10" i="10"/>
  <c r="F9" i="10"/>
  <c r="F8" i="10"/>
  <c r="AB38" i="3"/>
  <c r="AC38" i="3" s="1"/>
  <c r="AA38" i="3"/>
  <c r="S38" i="3"/>
  <c r="Z38" i="3" s="1"/>
  <c r="AA39" i="3"/>
  <c r="S39" i="3"/>
  <c r="Z39" i="3" s="1"/>
  <c r="AA40" i="3"/>
  <c r="S40" i="3"/>
  <c r="Z40" i="3" s="1"/>
  <c r="S45" i="3"/>
  <c r="Z45" i="3" s="1"/>
  <c r="AA45" i="3"/>
  <c r="AA44" i="3"/>
  <c r="S44" i="3"/>
  <c r="Z44" i="3" s="1"/>
  <c r="AA36" i="3"/>
  <c r="S36" i="3"/>
  <c r="S51" i="3"/>
  <c r="Z51" i="3" s="1"/>
  <c r="AA51" i="3"/>
  <c r="Y37" i="3"/>
  <c r="Y41" i="3"/>
  <c r="AA37" i="3"/>
  <c r="S37" i="3"/>
  <c r="Z37" i="3" s="1"/>
  <c r="B27" i="3"/>
  <c r="B29" i="3"/>
  <c r="B30" i="3"/>
  <c r="B31" i="3"/>
  <c r="B32" i="3"/>
  <c r="B28" i="3"/>
  <c r="AA60" i="3"/>
  <c r="S60" i="3"/>
  <c r="Z60" i="3" s="1"/>
  <c r="Y56" i="3"/>
  <c r="AA56" i="3"/>
  <c r="S56" i="3"/>
  <c r="Z56" i="3" s="1"/>
  <c r="S48" i="3"/>
  <c r="Z48" i="3" s="1"/>
  <c r="AA48" i="3"/>
  <c r="AA46" i="3"/>
  <c r="S46" i="3"/>
  <c r="Z46" i="3" s="1"/>
  <c r="S63" i="3"/>
  <c r="Z63" i="3" s="1"/>
  <c r="AA63" i="3"/>
  <c r="AB63" i="3"/>
  <c r="AC63" i="3" s="1"/>
  <c r="Y61" i="3"/>
  <c r="AA61" i="3"/>
  <c r="S61" i="3"/>
  <c r="Z61" i="3" s="1"/>
  <c r="AA42" i="3"/>
  <c r="AA43" i="3"/>
  <c r="AA47" i="3"/>
  <c r="AA49" i="3"/>
  <c r="AA50" i="3"/>
  <c r="AA52" i="3"/>
  <c r="AA53" i="3"/>
  <c r="AA54" i="3"/>
  <c r="AA55" i="3"/>
  <c r="AA57" i="3"/>
  <c r="AA58" i="3"/>
  <c r="AA59" i="3"/>
  <c r="AA62" i="3"/>
  <c r="AA64" i="3"/>
  <c r="AA65" i="3"/>
  <c r="AA66" i="3"/>
  <c r="AA68" i="3"/>
  <c r="AA41" i="3"/>
  <c r="E23" i="4"/>
  <c r="E24" i="4"/>
  <c r="E25" i="4"/>
  <c r="E26" i="4"/>
  <c r="E27" i="4"/>
  <c r="E28" i="4"/>
  <c r="E29" i="4"/>
  <c r="E30" i="4"/>
  <c r="S55" i="3"/>
  <c r="Z55" i="3" s="1"/>
  <c r="Y55" i="3"/>
  <c r="S66" i="3"/>
  <c r="Z66" i="3" s="1"/>
  <c r="AB65" i="3"/>
  <c r="AC65" i="3" s="1"/>
  <c r="S65" i="3"/>
  <c r="Z65" i="3" s="1"/>
  <c r="X63" i="3"/>
  <c r="S64" i="3"/>
  <c r="Z64" i="3" s="1"/>
  <c r="D24" i="4"/>
  <c r="D23" i="4"/>
  <c r="D30" i="4"/>
  <c r="D29" i="4"/>
  <c r="D28" i="4"/>
  <c r="D27" i="4"/>
  <c r="D26" i="4"/>
  <c r="C30" i="4"/>
  <c r="C29" i="4"/>
  <c r="C28" i="4"/>
  <c r="C27" i="4"/>
  <c r="C26" i="4"/>
  <c r="C25" i="4"/>
  <c r="C24" i="4"/>
  <c r="C23" i="4"/>
  <c r="S68" i="3"/>
  <c r="Y62" i="3"/>
  <c r="S62" i="3"/>
  <c r="Z62" i="3" s="1"/>
  <c r="Y59" i="3"/>
  <c r="S59" i="3"/>
  <c r="Z59" i="3" s="1"/>
  <c r="Y58" i="3"/>
  <c r="S58" i="3"/>
  <c r="Z58" i="3" s="1"/>
  <c r="S57" i="3"/>
  <c r="Z57" i="3" s="1"/>
  <c r="S54" i="3"/>
  <c r="Z54" i="3" s="1"/>
  <c r="AB53" i="3"/>
  <c r="AC53" i="3" s="1"/>
  <c r="S53" i="3"/>
  <c r="Z53" i="3" s="1"/>
  <c r="S52" i="3"/>
  <c r="Z52" i="3" s="1"/>
  <c r="AB50" i="3"/>
  <c r="AC50" i="3" s="1"/>
  <c r="S50" i="3"/>
  <c r="Z50" i="3" s="1"/>
  <c r="S49" i="3"/>
  <c r="Z49" i="3" s="1"/>
  <c r="S47" i="3"/>
  <c r="Z47" i="3" s="1"/>
  <c r="S43" i="3"/>
  <c r="Z43" i="3" s="1"/>
  <c r="Y42" i="3"/>
  <c r="S42" i="3"/>
  <c r="Z42" i="3" s="1"/>
  <c r="S41" i="3"/>
  <c r="Z41" i="3" s="1"/>
  <c r="AF47" i="3" l="1"/>
  <c r="AH66" i="3"/>
  <c r="AG66" i="3" s="1"/>
  <c r="AF46" i="3"/>
  <c r="AH63" i="3"/>
  <c r="AG63" i="3" s="1"/>
  <c r="AF66" i="3"/>
  <c r="X44" i="3"/>
  <c r="AF63" i="3"/>
  <c r="AB44" i="3"/>
  <c r="AC44" i="3" s="1"/>
  <c r="AB46" i="3"/>
  <c r="AC46" i="3" s="1"/>
  <c r="AF61" i="3"/>
  <c r="AF39" i="3"/>
  <c r="Y45" i="3"/>
  <c r="AB68" i="3"/>
  <c r="AC68" i="3" s="1"/>
  <c r="AF60" i="3"/>
  <c r="AF38" i="3"/>
  <c r="AG48" i="3"/>
  <c r="X56" i="3"/>
  <c r="AD48" i="3"/>
  <c r="AF59" i="3"/>
  <c r="AG47" i="3"/>
  <c r="AH58" i="3"/>
  <c r="AG58" i="3" s="1"/>
  <c r="AD47" i="3"/>
  <c r="AF58" i="3"/>
  <c r="AG59" i="3"/>
  <c r="AG46" i="3"/>
  <c r="AF48" i="3"/>
  <c r="AH67" i="3"/>
  <c r="AG67" i="3" s="1"/>
  <c r="AH64" i="3"/>
  <c r="AF67" i="3"/>
  <c r="AF45" i="3"/>
  <c r="AF44" i="3"/>
  <c r="AF65" i="3"/>
  <c r="AF43" i="3"/>
  <c r="AF42" i="3"/>
  <c r="AB66" i="3"/>
  <c r="AC66" i="3" s="1"/>
  <c r="AH65" i="3"/>
  <c r="AG65" i="3" s="1"/>
  <c r="AF62" i="3"/>
  <c r="AF40" i="3"/>
  <c r="AD68" i="3"/>
  <c r="AG45" i="3"/>
  <c r="AD67" i="3"/>
  <c r="Y54" i="3"/>
  <c r="Y40" i="3"/>
  <c r="AD66" i="3"/>
  <c r="AF55" i="3"/>
  <c r="AD43" i="3"/>
  <c r="AG42" i="3"/>
  <c r="X67" i="3"/>
  <c r="AD64" i="3"/>
  <c r="AD42" i="3"/>
  <c r="AG64" i="3"/>
  <c r="AG41" i="3"/>
  <c r="AF68" i="3"/>
  <c r="Y43" i="3"/>
  <c r="AH62" i="3"/>
  <c r="AG62" i="3" s="1"/>
  <c r="AH61" i="3"/>
  <c r="AG61" i="3" s="1"/>
  <c r="AF41" i="3"/>
  <c r="AH59" i="3"/>
  <c r="AF56" i="3"/>
  <c r="AG44" i="3"/>
  <c r="AD63" i="3"/>
  <c r="AF36" i="3"/>
  <c r="AG36" i="3"/>
  <c r="Y36" i="3"/>
  <c r="X45" i="3"/>
  <c r="AB56" i="3"/>
  <c r="AC56" i="3" s="1"/>
  <c r="AB54" i="3"/>
  <c r="AC54" i="3" s="1"/>
  <c r="AB45" i="3"/>
  <c r="AC45" i="3" s="1"/>
  <c r="AC36" i="3"/>
  <c r="X46" i="3"/>
  <c r="AB43" i="3"/>
  <c r="AC43" i="3" s="1"/>
  <c r="AB64" i="3"/>
  <c r="AC64" i="3" s="1"/>
  <c r="AB42" i="3"/>
  <c r="AC42" i="3" s="1"/>
  <c r="AB41" i="3"/>
  <c r="AC41" i="3" s="1"/>
  <c r="AB62" i="3"/>
  <c r="AC62" i="3" s="1"/>
  <c r="AB40" i="3"/>
  <c r="AC40" i="3" s="1"/>
  <c r="AB61" i="3"/>
  <c r="AC61" i="3" s="1"/>
  <c r="AB39" i="3"/>
  <c r="AC39" i="3" s="1"/>
  <c r="X62" i="3"/>
  <c r="AB60" i="3"/>
  <c r="AC60" i="3" s="1"/>
  <c r="AB59" i="3"/>
  <c r="AC59" i="3" s="1"/>
  <c r="AB37" i="3"/>
  <c r="AC37" i="3" s="1"/>
  <c r="AB57" i="3"/>
  <c r="AC57" i="3" s="1"/>
  <c r="X65" i="3"/>
  <c r="X64" i="3"/>
  <c r="X40" i="3"/>
  <c r="AB51" i="3"/>
  <c r="AC51" i="3" s="1"/>
  <c r="X47" i="3"/>
  <c r="X52" i="3"/>
  <c r="X43" i="3"/>
  <c r="AB49" i="3"/>
  <c r="AC49" i="3" s="1"/>
  <c r="AB58" i="3"/>
  <c r="AC58" i="3" s="1"/>
  <c r="X49" i="3"/>
  <c r="X51" i="3"/>
  <c r="AB52" i="3"/>
  <c r="AC52" i="3" s="1"/>
  <c r="Y44" i="3"/>
  <c r="AB48" i="3"/>
  <c r="AC48" i="3" s="1"/>
  <c r="AB55" i="3"/>
  <c r="AC55" i="3" s="1"/>
  <c r="AB47" i="3"/>
  <c r="AC47" i="3" s="1"/>
  <c r="X66" i="3"/>
  <c r="X61" i="3"/>
  <c r="Y53" i="3"/>
  <c r="X60" i="3"/>
  <c r="Y52" i="3"/>
  <c r="X59" i="3"/>
  <c r="X42" i="3"/>
  <c r="Y51" i="3"/>
  <c r="X58" i="3"/>
  <c r="X41" i="3"/>
  <c r="Y50" i="3"/>
  <c r="X57" i="3"/>
  <c r="Y49" i="3"/>
  <c r="X39" i="3"/>
  <c r="Y48" i="3"/>
  <c r="X55" i="3"/>
  <c r="X36" i="3"/>
  <c r="Y66" i="3"/>
  <c r="X54" i="3"/>
  <c r="Y65" i="3"/>
  <c r="X53" i="3"/>
  <c r="Y47" i="3"/>
  <c r="Y64" i="3"/>
  <c r="Y46" i="3"/>
  <c r="Y63" i="3"/>
  <c r="Y38" i="3"/>
  <c r="X68" i="3"/>
</calcChain>
</file>

<file path=xl/sharedStrings.xml><?xml version="1.0" encoding="utf-8"?>
<sst xmlns="http://schemas.openxmlformats.org/spreadsheetml/2006/main" count="94" uniqueCount="78">
  <si>
    <t>≡</t>
  </si>
  <si>
    <t xml:space="preserve"> </t>
  </si>
  <si>
    <t>θ</t>
  </si>
  <si>
    <t>L</t>
  </si>
  <si>
    <t xml:space="preserve">Это либо ошибка Excel, либо прорыв в топологии."  </t>
  </si>
  <si>
    <t xml:space="preserve">"При L≤3.50 система игнорирует законы геометрии.  </t>
  </si>
  <si>
    <t xml:space="preserve">Вывод:  </t>
  </si>
  <si>
    <r>
      <t>-</t>
    </r>
    <r>
      <rPr>
        <sz val="10"/>
        <color rgb="FF494949"/>
        <rFont val="Roboto Mono"/>
      </rPr>
      <t xml:space="preserve"> L=3.00 </t>
    </r>
    <r>
      <rPr>
        <sz val="10"/>
        <color rgb="FF494949"/>
        <rFont val="Courier New"/>
        <family val="3"/>
        <charset val="204"/>
      </rPr>
      <t>→</t>
    </r>
    <r>
      <rPr>
        <sz val="10"/>
        <color rgb="FF494949"/>
        <rFont val="Roboto Mono"/>
      </rPr>
      <t xml:space="preserve"> θ=340.5°  </t>
    </r>
  </si>
  <si>
    <r>
      <t>-</t>
    </r>
    <r>
      <rPr>
        <sz val="10"/>
        <color rgb="FF494949"/>
        <rFont val="Roboto Mono"/>
      </rPr>
      <t xml:space="preserve"> L=3.50 </t>
    </r>
    <r>
      <rPr>
        <sz val="10"/>
        <color rgb="FF494949"/>
        <rFont val="Courier New"/>
        <family val="3"/>
        <charset val="204"/>
      </rPr>
      <t>→</t>
    </r>
    <r>
      <rPr>
        <sz val="10"/>
        <color rgb="FF494949"/>
        <rFont val="Roboto Mono"/>
      </rPr>
      <t xml:space="preserve"> θ=340.5°  </t>
    </r>
  </si>
  <si>
    <r>
      <t>-</t>
    </r>
    <r>
      <rPr>
        <sz val="10"/>
        <color rgb="FF494949"/>
        <rFont val="Roboto Mono"/>
      </rPr>
      <t xml:space="preserve"> L=4.00 </t>
    </r>
    <r>
      <rPr>
        <sz val="10"/>
        <color rgb="FF494949"/>
        <rFont val="Courier New"/>
        <family val="3"/>
        <charset val="204"/>
      </rPr>
      <t>→</t>
    </r>
    <r>
      <rPr>
        <sz val="10"/>
        <color rgb="FF494949"/>
        <rFont val="Roboto Mono"/>
      </rPr>
      <t xml:space="preserve"> θ=212.5°  </t>
    </r>
  </si>
  <si>
    <r>
      <t>-</t>
    </r>
    <r>
      <rPr>
        <sz val="10"/>
        <color rgb="FF494949"/>
        <rFont val="Roboto Mono"/>
      </rPr>
      <t xml:space="preserve"> L=5.25 </t>
    </r>
    <r>
      <rPr>
        <sz val="10"/>
        <color rgb="FF494949"/>
        <rFont val="Courier New"/>
        <family val="3"/>
        <charset val="204"/>
      </rPr>
      <t>→</t>
    </r>
    <r>
      <rPr>
        <sz val="10"/>
        <color rgb="FF494949"/>
        <rFont val="Roboto Mono"/>
      </rPr>
      <t xml:space="preserve"> θ=17°  </t>
    </r>
  </si>
  <si>
    <t xml:space="preserve">Данные:  </t>
  </si>
  <si>
    <t xml:space="preserve">Открытие: Фиксация угла вращения в Excel при h=0.5, L≤3.50  </t>
  </si>
  <si>
    <t xml:space="preserve">Дата: 2025-07-02  </t>
  </si>
  <si>
    <t xml:space="preserve">ЭКСПЕРИМЕНТ СЕРГЕЯ ОВЧИННИКОВА  </t>
  </si>
  <si>
    <t>λ = L/h</t>
  </si>
  <si>
    <t>Подтверждает зону стабилизации:</t>
  </si>
  <si>
    <t>Среднее: (149+170+172+188+211)/5 = 178 → близко к 180</t>
  </si>
  <si>
    <t>При λ &lt; 7,0 → θ ≡ 340,5</t>
  </si>
  <si>
    <t>При λ &gt; 8,28 углы концентрируются вокруг 180:</t>
  </si>
  <si>
    <t xml:space="preserve">Таблица данных </t>
  </si>
  <si>
    <t>θ (определенная в ExcеI при построении,1 состояние)</t>
  </si>
  <si>
    <t>Проверка ATAN2(-(A3/2)*SIN(1); (0,5/2)*COS(1)))*90</t>
  </si>
  <si>
    <t xml:space="preserve">Проверка ATAN2     ((0,5/2)*SIN(45*ПИ()/180); (A3/2)*COS(45*ПИ()/180)) * 360/ПИ()            </t>
  </si>
  <si>
    <t>θ (расчетная в ExcеI )</t>
  </si>
  <si>
    <t>θ1</t>
  </si>
  <si>
    <t>θ2</t>
  </si>
  <si>
    <t>θ = 170:</t>
  </si>
  <si>
    <t>149  →  170  → 172  → 188 →  211</t>
  </si>
  <si>
    <t>Вывод: Углы в физеских системах квантуються дискретными занчениями (340,5, 149, 211 и т.д)</t>
  </si>
  <si>
    <t>Примечание</t>
  </si>
  <si>
    <t>Физический статус системы</t>
  </si>
  <si>
    <t>ЕСЛИ(2*Q34 &lt; 5;"Сингулярность";ЕСЛИ(И(2*Q34 &gt;= 5; 2*Q34 &lt; 7);"Предбифуркация";ЕСЛИ(И(2*Q34 &gt;= 7; 2*Q34&lt;= 8,28);"Бифуркация"; ЕСЛИ(И(2*Q34&gt; 8,28; 2*Q34 &lt; 20);"Стабилизация"; ЕСЛИ(2*Q34 &gt;= 20;"Распад"; "Н/Д")))))</t>
  </si>
  <si>
    <t>Разброс в зоне стабилизации (±Δθ)</t>
  </si>
  <si>
    <t>ЕСЛИ(И(2*Q34 &gt;= 8,28; 2*Q34 &lt; 20);31 * EXP(-0,15 * (2*Q34 - 8,28));"")</t>
  </si>
  <si>
    <t>столбец 5 Таблицы</t>
  </si>
  <si>
    <t>столбец 6 Таблицы</t>
  </si>
  <si>
    <t>столбец 7 Таблицы</t>
  </si>
  <si>
    <t>Физический смысл: При больших L/h спираль стремится к прямой линии (θ = 180).</t>
  </si>
  <si>
    <t>Угол: θ ≡ 340.5°</t>
  </si>
  <si>
    <t>2. Предбифуркация (5,0 ≤ λ &lt; 7,0)</t>
  </si>
  <si>
    <t>Гипотеза (где λ = L/0,5):</t>
  </si>
  <si>
    <t>Диапазон: λ = 5,48 - 5,8</t>
  </si>
  <si>
    <t>Углы: 270 - 311</t>
  </si>
  <si>
    <t>θ = 340,5 - 70,5 × (7 - λ)/2</t>
  </si>
  <si>
    <t>Начало накопления энергии деформации, плавный дрейф угла.</t>
  </si>
  <si>
    <t>Система "заморожена" в начальном состоянии. Энергии недостаточно для преодоления потенциального барьера.</t>
  </si>
  <si>
    <t>Физика: Катастрофа сборки. Малейшее возмущение выбирает ветвь.</t>
  </si>
  <si>
    <t>3. Бифуркация (λ = 8,28)</t>
  </si>
  <si>
    <t>Критическое значение: λ = 8,28</t>
  </si>
  <si>
    <t>Углы: Два устойчивых состояния - 149 (нижнее) и 211 (верхнее)</t>
  </si>
  <si>
    <t>Диапазон: λ = 8,28 - 20</t>
  </si>
  <si>
    <t>Углы: 170  - 188</t>
  </si>
  <si>
    <t>4. Стабилизация (λ &gt; 8,28), при λ &gt; 8,28 → θ → 180 ± δ(λ)</t>
  </si>
  <si>
    <t>Экспоненциальное стремление к 180 с флуктуациями.</t>
  </si>
  <si>
    <t>Сингулярность при λ &lt; 5, Бифуркация при λ = 8,28; Распад при λ&gt;20</t>
  </si>
  <si>
    <t>θ (определенная в ExcеI при построении )</t>
  </si>
  <si>
    <t xml:space="preserve">Проверка ATAN2     ((0,5/2)*SIN(45*ПИ()/180); (A3/2)*COS(45*ПИ()/180)) * 180/ПИ()            </t>
  </si>
  <si>
    <t xml:space="preserve">L </t>
  </si>
  <si>
    <t>θ3</t>
  </si>
  <si>
    <t>θ1 (определенная в ExcеI при построении )</t>
  </si>
  <si>
    <t>θ2 (определенная в ExcеI при построении )</t>
  </si>
  <si>
    <t>Возможный переход</t>
  </si>
  <si>
    <t>Число оборотов вокруг оси</t>
  </si>
  <si>
    <t>от знач.п.4</t>
  </si>
  <si>
    <t>от знач.п.5</t>
  </si>
  <si>
    <t>от знач.п.3</t>
  </si>
  <si>
    <t>Статистическая значимость</t>
  </si>
  <si>
    <t>Теоретическая значимость связь                                                                   1. с а(-1)</t>
  </si>
  <si>
    <t>эксперемент</t>
  </si>
  <si>
    <t>проверка</t>
  </si>
  <si>
    <t>Погрешность</t>
  </si>
  <si>
    <t>Коэффициент спада</t>
  </si>
  <si>
    <t>a</t>
  </si>
  <si>
    <t>b</t>
  </si>
  <si>
    <t xml:space="preserve">Базовый градиент </t>
  </si>
  <si>
    <t xml:space="preserve">Экспонента </t>
  </si>
  <si>
    <t>ЕСЛИ(2*Q34&lt; 5;340,5;ЕСЛИ(И(2*Q34&gt;= 5; 2*Q34 &lt; 7);340,5 - 70,5 * (7 - 2*Q34)/2;ЕСЛИ(И(2*Q34 &gt;= 7; 2*Q34 &lt; 8);340,5 - 128 * (2*Q34 - 7);ЕСЛИ(И(2*Q34 &gt;= 8; 2*Q34 &lt; 8,28);212,5 - 5,357 * (2*Q34 - 8);ЕСЛИ(2*Q34 = 8,28;211;ЕСЛИ(И(2*Q34 &gt; 8,28; 2*Q34 &lt; 20);180;ЕСЛИ(2*Q34 &gt;= 20;6 + 174 * EXP(-3,5 * (2*Q34 - 20));"Ошибка")))))))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</si>
</sst>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Aptos Narrow"/>
      <family val="2"/>
    </font>
    <font>
      <b/>
      <sz val="12"/>
      <color theme="7" tint="-0.249977111117893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rgb="FFFA7D00"/>
      <name val="Aptos Narrow"/>
      <family val="2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sz val="12"/>
      <name val="Aptos"/>
      <family val="2"/>
    </font>
    <font>
      <b/>
      <sz val="12"/>
      <name val="Aptos Narrow"/>
      <family val="2"/>
    </font>
    <font>
      <sz val="10"/>
      <color rgb="FF494949"/>
      <name val="Roboto Mono"/>
    </font>
    <font>
      <sz val="10"/>
      <color rgb="FF383A42"/>
      <name val="Roboto Mono"/>
    </font>
    <font>
      <sz val="10"/>
      <color rgb="FF494949"/>
      <name val="Courier New"/>
      <family val="3"/>
      <charset val="204"/>
    </font>
    <font>
      <sz val="10"/>
      <color rgb="FF494949"/>
      <name val="Roboto Mono"/>
      <family val="3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1"/>
      <color rgb="FFFA7D00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</borders>
  <cellStyleXfs count="3">
    <xf numFmtId="0" fontId="0" fillId="0" borderId="0"/>
    <xf numFmtId="0" fontId="8" fillId="2" borderId="1" applyNumberFormat="0" applyAlignment="0" applyProtection="0"/>
    <xf numFmtId="0" fontId="8" fillId="2" borderId="1" applyAlignment="0"/>
  </cellStyleXfs>
  <cellXfs count="26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8" fillId="2" borderId="1" xfId="1"/>
    <xf numFmtId="0" fontId="8" fillId="2" borderId="1" xfId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0" fillId="3" borderId="10" xfId="0" applyFont="1" applyFill="1" applyBorder="1"/>
    <xf numFmtId="0" fontId="2" fillId="3" borderId="11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7" xfId="0" applyFill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2" borderId="1" xfId="1" applyFont="1" applyAlignment="1">
      <alignment horizontal="center"/>
    </xf>
    <xf numFmtId="0" fontId="0" fillId="0" borderId="9" xfId="0" applyBorder="1"/>
    <xf numFmtId="0" fontId="0" fillId="3" borderId="9" xfId="0" applyFill="1" applyBorder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14" xfId="0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3" xfId="0" applyBorder="1" applyAlignment="1">
      <alignment horizontal="center"/>
    </xf>
    <xf numFmtId="0" fontId="18" fillId="0" borderId="2" xfId="0" applyFont="1" applyBorder="1"/>
    <xf numFmtId="0" fontId="18" fillId="0" borderId="9" xfId="0" applyFont="1" applyBorder="1"/>
    <xf numFmtId="0" fontId="18" fillId="0" borderId="0" xfId="0" applyFont="1"/>
    <xf numFmtId="0" fontId="18" fillId="0" borderId="16" xfId="0" applyFont="1" applyBorder="1"/>
    <xf numFmtId="0" fontId="19" fillId="0" borderId="9" xfId="0" applyFont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8" fillId="3" borderId="4" xfId="0" applyFont="1" applyFill="1" applyBorder="1"/>
    <xf numFmtId="0" fontId="18" fillId="3" borderId="14" xfId="0" applyFont="1" applyFill="1" applyBorder="1"/>
    <xf numFmtId="0" fontId="18" fillId="3" borderId="8" xfId="0" applyFont="1" applyFill="1" applyBorder="1"/>
    <xf numFmtId="0" fontId="18" fillId="0" borderId="3" xfId="0" applyFont="1" applyBorder="1"/>
    <xf numFmtId="0" fontId="18" fillId="3" borderId="3" xfId="0" applyFont="1" applyFill="1" applyBorder="1"/>
    <xf numFmtId="0" fontId="18" fillId="3" borderId="15" xfId="0" applyFont="1" applyFill="1" applyBorder="1"/>
    <xf numFmtId="0" fontId="20" fillId="3" borderId="4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right"/>
    </xf>
    <xf numFmtId="0" fontId="18" fillId="3" borderId="9" xfId="0" applyFont="1" applyFill="1" applyBorder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right"/>
    </xf>
    <xf numFmtId="0" fontId="20" fillId="3" borderId="7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right"/>
    </xf>
    <xf numFmtId="0" fontId="20" fillId="3" borderId="5" xfId="0" applyFont="1" applyFill="1" applyBorder="1" applyAlignment="1">
      <alignment horizontal="right"/>
    </xf>
    <xf numFmtId="0" fontId="21" fillId="3" borderId="5" xfId="0" applyFont="1" applyFill="1" applyBorder="1" applyAlignment="1">
      <alignment horizontal="right"/>
    </xf>
    <xf numFmtId="0" fontId="20" fillId="3" borderId="14" xfId="0" applyFont="1" applyFill="1" applyBorder="1" applyAlignment="1">
      <alignment horizontal="right"/>
    </xf>
    <xf numFmtId="0" fontId="20" fillId="3" borderId="3" xfId="0" applyFont="1" applyFill="1" applyBorder="1" applyAlignment="1">
      <alignment horizontal="right"/>
    </xf>
    <xf numFmtId="0" fontId="18" fillId="3" borderId="4" xfId="0" applyFont="1" applyFill="1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3" borderId="5" xfId="0" applyFill="1" applyBorder="1"/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4" xfId="0" applyBorder="1"/>
    <xf numFmtId="0" fontId="2" fillId="3" borderId="1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0" fillId="3" borderId="11" xfId="0" applyFill="1" applyBorder="1"/>
    <xf numFmtId="0" fontId="0" fillId="3" borderId="16" xfId="0" applyFill="1" applyBorder="1"/>
    <xf numFmtId="0" fontId="20" fillId="3" borderId="2" xfId="0" applyFont="1" applyFill="1" applyBorder="1" applyAlignment="1">
      <alignment horizontal="left"/>
    </xf>
    <xf numFmtId="0" fontId="0" fillId="3" borderId="6" xfId="0" applyFill="1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0" fillId="0" borderId="0" xfId="0" applyFont="1"/>
    <xf numFmtId="0" fontId="22" fillId="0" borderId="0" xfId="0" applyFont="1"/>
    <xf numFmtId="4" fontId="8" fillId="2" borderId="1" xfId="1" applyNumberFormat="1" applyAlignment="1">
      <alignment horizontal="center" vertical="center" wrapText="1"/>
    </xf>
    <xf numFmtId="2" fontId="8" fillId="2" borderId="1" xfId="1" applyNumberFormat="1" applyAlignment="1">
      <alignment horizontal="center" vertical="center"/>
    </xf>
    <xf numFmtId="2" fontId="8" fillId="2" borderId="1" xfId="1" applyNumberFormat="1" applyAlignment="1">
      <alignment horizontal="center" vertical="top"/>
    </xf>
    <xf numFmtId="4" fontId="23" fillId="2" borderId="1" xfId="1" applyNumberFormat="1" applyFont="1" applyAlignment="1">
      <alignment horizontal="center" vertical="center" wrapText="1"/>
    </xf>
    <xf numFmtId="4" fontId="23" fillId="2" borderId="1" xfId="1" applyNumberFormat="1" applyFont="1" applyAlignment="1">
      <alignment horizontal="center"/>
    </xf>
    <xf numFmtId="49" fontId="8" fillId="2" borderId="1" xfId="1" applyNumberFormat="1" applyAlignment="1">
      <alignment horizontal="center" vertical="center" wrapText="1"/>
    </xf>
    <xf numFmtId="0" fontId="0" fillId="0" borderId="0" xfId="0" applyAlignment="1">
      <alignment vertical="top"/>
    </xf>
    <xf numFmtId="3" fontId="8" fillId="2" borderId="1" xfId="1" applyNumberFormat="1" applyAlignment="1">
      <alignment horizontal="center" vertical="center" wrapText="1"/>
    </xf>
    <xf numFmtId="0" fontId="8" fillId="2" borderId="17" xfId="1" applyBorder="1" applyAlignment="1">
      <alignment horizontal="center" vertical="center" wrapText="1"/>
    </xf>
    <xf numFmtId="0" fontId="8" fillId="3" borderId="0" xfId="1" applyFill="1" applyBorder="1" applyAlignment="1">
      <alignment horizontal="center" vertical="center" wrapText="1"/>
    </xf>
    <xf numFmtId="0" fontId="0" fillId="3" borderId="0" xfId="0" applyFill="1" applyBorder="1"/>
    <xf numFmtId="0" fontId="0" fillId="0" borderId="0" xfId="0" applyAlignment="1">
      <alignment wrapText="1"/>
    </xf>
    <xf numFmtId="0" fontId="0" fillId="3" borderId="0" xfId="0" applyFill="1" applyBorder="1" applyAlignment="1">
      <alignment wrapText="1"/>
    </xf>
    <xf numFmtId="3" fontId="8" fillId="2" borderId="17" xfId="1" applyNumberFormat="1" applyBorder="1" applyAlignment="1">
      <alignment horizontal="center" vertical="center" wrapText="1"/>
    </xf>
    <xf numFmtId="0" fontId="8" fillId="2" borderId="17" xfId="1" applyBorder="1"/>
    <xf numFmtId="3" fontId="8" fillId="3" borderId="0" xfId="1" applyNumberFormat="1" applyFill="1" applyBorder="1" applyAlignment="1">
      <alignment horizontal="center" vertical="center" wrapText="1"/>
    </xf>
    <xf numFmtId="0" fontId="8" fillId="3" borderId="0" xfId="1" applyFill="1" applyBorder="1"/>
    <xf numFmtId="2" fontId="8" fillId="2" borderId="1" xfId="1" applyNumberFormat="1" applyAlignment="1">
      <alignment horizontal="center" vertical="center" wrapText="1"/>
    </xf>
    <xf numFmtId="4" fontId="8" fillId="2" borderId="1" xfId="1" applyNumberFormat="1" applyAlignment="1">
      <alignment horizontal="center" vertical="top"/>
    </xf>
    <xf numFmtId="0" fontId="6" fillId="0" borderId="0" xfId="0" applyFont="1"/>
    <xf numFmtId="0" fontId="0" fillId="0" borderId="0" xfId="0" applyBorder="1"/>
    <xf numFmtId="2" fontId="24" fillId="3" borderId="0" xfId="1" applyNumberFormat="1" applyFont="1" applyFill="1" applyBorder="1" applyAlignment="1">
      <alignment horizontal="center" vertical="top"/>
    </xf>
    <xf numFmtId="2" fontId="24" fillId="3" borderId="0" xfId="1" applyNumberFormat="1" applyFont="1" applyFill="1" applyBorder="1" applyAlignment="1">
      <alignment horizontal="center" vertical="center"/>
    </xf>
    <xf numFmtId="0" fontId="24" fillId="3" borderId="0" xfId="1" applyFont="1" applyFill="1" applyBorder="1" applyAlignment="1">
      <alignment horizontal="center"/>
    </xf>
    <xf numFmtId="0" fontId="24" fillId="3" borderId="0" xfId="1" applyFont="1" applyFill="1" applyBorder="1"/>
    <xf numFmtId="0" fontId="25" fillId="3" borderId="0" xfId="0" applyFont="1" applyFill="1" applyBorder="1"/>
    <xf numFmtId="0" fontId="20" fillId="3" borderId="0" xfId="0" applyFont="1" applyFill="1"/>
    <xf numFmtId="0" fontId="18" fillId="3" borderId="0" xfId="0" applyFont="1" applyFill="1"/>
    <xf numFmtId="2" fontId="26" fillId="2" borderId="1" xfId="1" applyNumberFormat="1" applyFont="1" applyAlignment="1">
      <alignment horizontal="center" vertical="top"/>
    </xf>
    <xf numFmtId="0" fontId="26" fillId="2" borderId="1" xfId="1" applyFont="1" applyAlignment="1">
      <alignment horizontal="center"/>
    </xf>
    <xf numFmtId="0" fontId="20" fillId="3" borderId="0" xfId="0" applyFont="1" applyFill="1" applyAlignment="1">
      <alignment vertical="top"/>
    </xf>
    <xf numFmtId="0" fontId="18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4" fontId="20" fillId="3" borderId="0" xfId="0" applyNumberFormat="1" applyFont="1" applyFill="1"/>
    <xf numFmtId="4" fontId="18" fillId="3" borderId="0" xfId="0" applyNumberFormat="1" applyFont="1" applyFill="1"/>
    <xf numFmtId="4" fontId="0" fillId="3" borderId="0" xfId="0" applyNumberFormat="1" applyFill="1"/>
    <xf numFmtId="4" fontId="0" fillId="0" borderId="0" xfId="0" applyNumberFormat="1"/>
    <xf numFmtId="4" fontId="8" fillId="2" borderId="1" xfId="1" applyNumberFormat="1" applyAlignment="1">
      <alignment horizontal="center"/>
    </xf>
    <xf numFmtId="2" fontId="0" fillId="0" borderId="0" xfId="0" applyNumberFormat="1"/>
    <xf numFmtId="4" fontId="29" fillId="0" borderId="0" xfId="0" applyNumberFormat="1" applyFont="1"/>
    <xf numFmtId="0" fontId="26" fillId="2" borderId="1" xfId="1" applyFont="1"/>
    <xf numFmtId="0" fontId="26" fillId="2" borderId="17" xfId="1" applyFont="1" applyBorder="1"/>
    <xf numFmtId="4" fontId="8" fillId="3" borderId="0" xfId="1" applyNumberFormat="1" applyFill="1" applyBorder="1" applyAlignment="1">
      <alignment horizontal="center" vertical="center" wrapText="1"/>
    </xf>
    <xf numFmtId="4" fontId="23" fillId="2" borderId="18" xfId="1" applyNumberFormat="1" applyFont="1" applyBorder="1" applyAlignment="1">
      <alignment horizontal="center"/>
    </xf>
    <xf numFmtId="4" fontId="26" fillId="2" borderId="1" xfId="1" applyNumberFormat="1" applyFont="1" applyAlignment="1">
      <alignment horizontal="center" vertical="center" wrapText="1"/>
    </xf>
    <xf numFmtId="0" fontId="30" fillId="2" borderId="1" xfId="1" applyFont="1" applyAlignment="1">
      <alignment horizontal="center"/>
    </xf>
    <xf numFmtId="2" fontId="30" fillId="2" borderId="1" xfId="1" applyNumberFormat="1" applyFont="1" applyAlignment="1">
      <alignment horizontal="center" vertical="top"/>
    </xf>
    <xf numFmtId="0" fontId="30" fillId="2" borderId="1" xfId="1" applyFont="1"/>
    <xf numFmtId="0" fontId="30" fillId="2" borderId="17" xfId="1" applyFont="1" applyBorder="1"/>
    <xf numFmtId="3" fontId="26" fillId="2" borderId="1" xfId="1" applyNumberFormat="1" applyFont="1" applyAlignment="1">
      <alignment horizontal="center" vertical="center" wrapText="1"/>
    </xf>
    <xf numFmtId="4" fontId="31" fillId="2" borderId="1" xfId="1" applyNumberFormat="1" applyFont="1" applyAlignment="1">
      <alignment horizontal="center" vertical="center" wrapText="1"/>
    </xf>
    <xf numFmtId="0" fontId="31" fillId="2" borderId="1" xfId="1" applyFont="1" applyAlignment="1">
      <alignment horizontal="center"/>
    </xf>
    <xf numFmtId="0" fontId="31" fillId="2" borderId="1" xfId="1" applyFont="1"/>
    <xf numFmtId="2" fontId="31" fillId="2" borderId="1" xfId="1" applyNumberFormat="1" applyFont="1" applyAlignment="1">
      <alignment horizontal="center" vertical="top"/>
    </xf>
    <xf numFmtId="0" fontId="0" fillId="4" borderId="0" xfId="0" applyFill="1"/>
    <xf numFmtId="2" fontId="31" fillId="4" borderId="1" xfId="1" applyNumberFormat="1" applyFont="1" applyFill="1" applyAlignment="1">
      <alignment horizontal="center" vertical="top"/>
    </xf>
    <xf numFmtId="0" fontId="31" fillId="4" borderId="1" xfId="1" applyFont="1" applyFill="1"/>
    <xf numFmtId="4" fontId="0" fillId="4" borderId="0" xfId="0" applyNumberFormat="1" applyFill="1"/>
    <xf numFmtId="4" fontId="27" fillId="3" borderId="0" xfId="0" applyNumberFormat="1" applyFont="1" applyFill="1"/>
    <xf numFmtId="4" fontId="28" fillId="3" borderId="0" xfId="0" applyNumberFormat="1" applyFont="1" applyFill="1"/>
    <xf numFmtId="4" fontId="29" fillId="3" borderId="0" xfId="0" applyNumberFormat="1" applyFont="1" applyFill="1"/>
    <xf numFmtId="2" fontId="20" fillId="3" borderId="0" xfId="0" applyNumberFormat="1" applyFont="1" applyFill="1"/>
    <xf numFmtId="2" fontId="0" fillId="3" borderId="0" xfId="0" applyNumberFormat="1" applyFill="1"/>
    <xf numFmtId="0" fontId="0" fillId="3" borderId="0" xfId="0" applyFill="1" applyAlignment="1">
      <alignment wrapText="1"/>
    </xf>
    <xf numFmtId="0" fontId="27" fillId="3" borderId="0" xfId="0" applyFont="1" applyFill="1"/>
    <xf numFmtId="0" fontId="8" fillId="2" borderId="1" xfId="1" applyAlignment="1">
      <alignment horizontal="center" vertical="center" wrapText="1"/>
    </xf>
    <xf numFmtId="0" fontId="8" fillId="2" borderId="1" xfId="1" applyAlignment="1">
      <alignment wrapText="1"/>
    </xf>
    <xf numFmtId="164" fontId="8" fillId="2" borderId="1" xfId="1" applyNumberFormat="1" applyAlignment="1">
      <alignment horizontal="center" vertical="center" wrapText="1"/>
    </xf>
    <xf numFmtId="4" fontId="8" fillId="2" borderId="1" xfId="1" applyNumberFormat="1"/>
    <xf numFmtId="2" fontId="8" fillId="2" borderId="1" xfId="1" applyNumberFormat="1" applyAlignment="1">
      <alignment vertical="center"/>
    </xf>
    <xf numFmtId="164" fontId="8" fillId="5" borderId="1" xfId="1" applyNumberFormat="1" applyFill="1" applyAlignment="1">
      <alignment horizontal="center" vertical="center" wrapText="1"/>
    </xf>
    <xf numFmtId="2" fontId="8" fillId="2" borderId="1" xfId="1" applyNumberFormat="1" applyAlignment="1">
      <alignment wrapText="1"/>
    </xf>
    <xf numFmtId="2" fontId="8" fillId="2" borderId="1" xfId="1" applyNumberFormat="1"/>
    <xf numFmtId="1" fontId="8" fillId="2" borderId="1" xfId="1" applyNumberFormat="1" applyAlignment="1">
      <alignment horizontal="center" vertical="center" wrapText="1"/>
    </xf>
    <xf numFmtId="1" fontId="8" fillId="2" borderId="1" xfId="1" applyNumberFormat="1" applyAlignment="1">
      <alignment wrapText="1"/>
    </xf>
    <xf numFmtId="1" fontId="8" fillId="2" borderId="1" xfId="1" applyNumberFormat="1"/>
    <xf numFmtId="2" fontId="8" fillId="2" borderId="1" xfId="1" applyNumberFormat="1" applyAlignment="1">
      <alignment horizontal="center" wrapText="1"/>
    </xf>
    <xf numFmtId="2" fontId="8" fillId="2" borderId="1" xfId="1" applyNumberFormat="1" applyAlignment="1">
      <alignment horizontal="center"/>
    </xf>
    <xf numFmtId="2" fontId="8" fillId="5" borderId="1" xfId="1" applyNumberFormat="1" applyFill="1"/>
    <xf numFmtId="2" fontId="8" fillId="5" borderId="1" xfId="1" applyNumberFormat="1" applyFill="1" applyAlignment="1">
      <alignment wrapText="1"/>
    </xf>
    <xf numFmtId="49" fontId="8" fillId="3" borderId="0" xfId="1" applyNumberFormat="1" applyFill="1" applyBorder="1" applyAlignment="1">
      <alignment horizontal="center" vertical="center" wrapText="1"/>
    </xf>
    <xf numFmtId="3" fontId="26" fillId="3" borderId="0" xfId="1" applyNumberFormat="1" applyFont="1" applyFill="1" applyBorder="1" applyAlignment="1">
      <alignment horizontal="center" vertical="center" wrapText="1"/>
    </xf>
    <xf numFmtId="0" fontId="26" fillId="3" borderId="0" xfId="1" applyFont="1" applyFill="1" applyBorder="1" applyAlignment="1">
      <alignment horizontal="center"/>
    </xf>
    <xf numFmtId="0" fontId="26" fillId="3" borderId="0" xfId="1" applyFont="1" applyFill="1" applyBorder="1"/>
    <xf numFmtId="4" fontId="26" fillId="3" borderId="0" xfId="1" applyNumberFormat="1" applyFont="1" applyFill="1" applyBorder="1" applyAlignment="1">
      <alignment horizontal="center" vertical="center" wrapText="1"/>
    </xf>
    <xf numFmtId="4" fontId="31" fillId="3" borderId="0" xfId="1" applyNumberFormat="1" applyFont="1" applyFill="1" applyBorder="1" applyAlignment="1">
      <alignment horizontal="center" vertical="center" wrapText="1"/>
    </xf>
    <xf numFmtId="0" fontId="31" fillId="3" borderId="0" xfId="1" applyFont="1" applyFill="1" applyBorder="1"/>
    <xf numFmtId="2" fontId="31" fillId="3" borderId="0" xfId="1" applyNumberFormat="1" applyFont="1" applyFill="1" applyBorder="1" applyAlignment="1">
      <alignment horizontal="center" vertical="top"/>
    </xf>
    <xf numFmtId="2" fontId="26" fillId="3" borderId="0" xfId="1" applyNumberFormat="1" applyFont="1" applyFill="1" applyBorder="1" applyAlignment="1">
      <alignment horizontal="center" vertical="top"/>
    </xf>
    <xf numFmtId="2" fontId="30" fillId="3" borderId="0" xfId="1" applyNumberFormat="1" applyFont="1" applyFill="1" applyBorder="1" applyAlignment="1">
      <alignment horizontal="center" vertical="top"/>
    </xf>
    <xf numFmtId="0" fontId="30" fillId="3" borderId="0" xfId="1" applyFont="1" applyFill="1" applyBorder="1"/>
    <xf numFmtId="3" fontId="8" fillId="4" borderId="1" xfId="1" applyNumberFormat="1" applyFill="1" applyAlignment="1">
      <alignment horizontal="center" vertical="center" wrapText="1"/>
    </xf>
    <xf numFmtId="2" fontId="8" fillId="4" borderId="1" xfId="1" applyNumberFormat="1" applyFill="1" applyAlignment="1">
      <alignment horizontal="center" vertical="center"/>
    </xf>
    <xf numFmtId="0" fontId="8" fillId="4" borderId="1" xfId="1" applyFill="1" applyAlignment="1">
      <alignment horizontal="center"/>
    </xf>
    <xf numFmtId="0" fontId="8" fillId="4" borderId="1" xfId="1" applyFill="1"/>
    <xf numFmtId="4" fontId="8" fillId="4" borderId="1" xfId="1" applyNumberFormat="1" applyFill="1" applyAlignment="1">
      <alignment horizontal="center" vertical="center" wrapText="1"/>
    </xf>
    <xf numFmtId="4" fontId="26" fillId="3" borderId="1" xfId="1" applyNumberFormat="1" applyFont="1" applyFill="1" applyAlignment="1">
      <alignment horizontal="center" vertical="top"/>
    </xf>
    <xf numFmtId="4" fontId="26" fillId="3" borderId="1" xfId="1" applyNumberFormat="1" applyFont="1" applyFill="1" applyAlignment="1">
      <alignment horizontal="center" vertical="center"/>
    </xf>
    <xf numFmtId="2" fontId="26" fillId="3" borderId="1" xfId="1" applyNumberFormat="1" applyFont="1" applyFill="1" applyAlignment="1">
      <alignment horizontal="center" vertical="center"/>
    </xf>
    <xf numFmtId="4" fontId="26" fillId="3" borderId="1" xfId="1" applyNumberFormat="1" applyFont="1" applyFill="1"/>
    <xf numFmtId="2" fontId="26" fillId="3" borderId="1" xfId="1" applyNumberFormat="1" applyFont="1" applyFill="1" applyAlignment="1">
      <alignment horizontal="center" vertical="top"/>
    </xf>
    <xf numFmtId="0" fontId="26" fillId="3" borderId="1" xfId="1" applyFont="1" applyFill="1"/>
    <xf numFmtId="4" fontId="8" fillId="6" borderId="1" xfId="1" applyNumberFormat="1" applyFill="1" applyAlignment="1">
      <alignment horizontal="center" vertical="center" wrapText="1"/>
    </xf>
    <xf numFmtId="2" fontId="8" fillId="6" borderId="1" xfId="1" applyNumberFormat="1" applyFill="1" applyAlignment="1">
      <alignment horizontal="center" vertical="center"/>
    </xf>
    <xf numFmtId="0" fontId="8" fillId="6" borderId="1" xfId="1" applyFill="1" applyAlignment="1">
      <alignment horizontal="center"/>
    </xf>
    <xf numFmtId="0" fontId="8" fillId="6" borderId="1" xfId="1" applyFill="1"/>
    <xf numFmtId="2" fontId="8" fillId="6" borderId="1" xfId="1" applyNumberFormat="1" applyFill="1" applyAlignment="1">
      <alignment horizontal="center" vertical="top"/>
    </xf>
    <xf numFmtId="4" fontId="8" fillId="6" borderId="1" xfId="1" applyNumberFormat="1" applyFill="1" applyAlignment="1">
      <alignment horizontal="center" vertical="top"/>
    </xf>
    <xf numFmtId="4" fontId="8" fillId="6" borderId="1" xfId="1" applyNumberFormat="1" applyFill="1" applyAlignment="1">
      <alignment horizontal="center" vertical="center"/>
    </xf>
    <xf numFmtId="4" fontId="8" fillId="6" borderId="1" xfId="1" applyNumberFormat="1" applyFill="1"/>
    <xf numFmtId="2" fontId="8" fillId="7" borderId="1" xfId="1" applyNumberFormat="1" applyFill="1" applyAlignment="1">
      <alignment horizontal="center" vertical="top"/>
    </xf>
    <xf numFmtId="2" fontId="8" fillId="7" borderId="1" xfId="1" applyNumberFormat="1" applyFill="1" applyAlignment="1">
      <alignment horizontal="center" vertical="center"/>
    </xf>
    <xf numFmtId="0" fontId="8" fillId="7" borderId="1" xfId="1" applyFill="1" applyAlignment="1">
      <alignment horizontal="center"/>
    </xf>
    <xf numFmtId="0" fontId="8" fillId="7" borderId="1" xfId="1" applyFill="1"/>
    <xf numFmtId="4" fontId="8" fillId="7" borderId="1" xfId="1" applyNumberFormat="1" applyFill="1" applyAlignment="1">
      <alignment horizontal="center" vertical="top"/>
    </xf>
    <xf numFmtId="4" fontId="8" fillId="7" borderId="1" xfId="1" applyNumberFormat="1" applyFill="1" applyAlignment="1">
      <alignment horizontal="center" vertical="center"/>
    </xf>
    <xf numFmtId="4" fontId="8" fillId="7" borderId="1" xfId="1" applyNumberFormat="1" applyFill="1"/>
    <xf numFmtId="0" fontId="8" fillId="3" borderId="1" xfId="1" applyFill="1" applyAlignment="1">
      <alignment horizontal="center"/>
    </xf>
    <xf numFmtId="0" fontId="8" fillId="8" borderId="1" xfId="1" applyFill="1" applyAlignment="1">
      <alignment horizontal="center"/>
    </xf>
    <xf numFmtId="2" fontId="26" fillId="8" borderId="1" xfId="1" applyNumberFormat="1" applyFont="1" applyFill="1" applyAlignment="1">
      <alignment horizontal="center" vertical="top"/>
    </xf>
    <xf numFmtId="2" fontId="26" fillId="8" borderId="1" xfId="1" applyNumberFormat="1" applyFont="1" applyFill="1" applyAlignment="1">
      <alignment horizontal="center" vertical="center"/>
    </xf>
    <xf numFmtId="0" fontId="26" fillId="8" borderId="1" xfId="1" applyFont="1" applyFill="1"/>
    <xf numFmtId="0" fontId="8" fillId="4" borderId="1" xfId="1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21" xfId="0" applyBorder="1" applyAlignment="1">
      <alignment horizontal="center" wrapText="1"/>
    </xf>
    <xf numFmtId="2" fontId="8" fillId="2" borderId="20" xfId="1" applyNumberFormat="1" applyBorder="1" applyAlignment="1">
      <alignment horizontal="center" vertical="center" wrapText="1"/>
    </xf>
    <xf numFmtId="2" fontId="8" fillId="2" borderId="19" xfId="1" applyNumberFormat="1" applyBorder="1" applyAlignment="1">
      <alignment horizontal="center" vertical="center" wrapText="1"/>
    </xf>
    <xf numFmtId="0" fontId="8" fillId="2" borderId="1" xfId="1" applyAlignment="1">
      <alignment horizontal="center" vertical="center" wrapText="1"/>
    </xf>
    <xf numFmtId="4" fontId="8" fillId="2" borderId="1" xfId="1" applyNumberFormat="1" applyAlignment="1">
      <alignment horizontal="center" vertical="center" wrapText="1"/>
    </xf>
    <xf numFmtId="49" fontId="8" fillId="2" borderId="1" xfId="1" applyNumberFormat="1" applyAlignment="1">
      <alignment horizontal="center" vertical="center" wrapText="1"/>
    </xf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Лист1!$S$32:$S$36</c:f>
              <c:numCache>
                <c:formatCode>General</c:formatCode>
                <c:ptCount val="5"/>
                <c:pt idx="0">
                  <c:v>5.25</c:v>
                </c:pt>
                <c:pt idx="1">
                  <c:v>4</c:v>
                </c:pt>
                <c:pt idx="2">
                  <c:v>3.5</c:v>
                </c:pt>
                <c:pt idx="3">
                  <c:v>3</c:v>
                </c:pt>
              </c:numCache>
            </c:numRef>
          </c:cat>
          <c:val>
            <c:numRef>
              <c:f>Лист1!$T$32:$T$36</c:f>
              <c:numCache>
                <c:formatCode>General</c:formatCode>
                <c:ptCount val="5"/>
                <c:pt idx="0">
                  <c:v>17</c:v>
                </c:pt>
                <c:pt idx="1">
                  <c:v>212.5</c:v>
                </c:pt>
                <c:pt idx="2">
                  <c:v>340.5</c:v>
                </c:pt>
                <c:pt idx="3">
                  <c:v>340.5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A3-4138-975B-29C4A764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502623"/>
        <c:axId val="1991500223"/>
      </c:lineChart>
      <c:catAx>
        <c:axId val="19915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500223"/>
        <c:crosses val="autoZero"/>
        <c:auto val="1"/>
        <c:lblAlgn val="ctr"/>
        <c:lblOffset val="100"/>
        <c:noMultiLvlLbl val="0"/>
      </c:catAx>
      <c:valAx>
        <c:axId val="19915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50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'Лист 2'!$J$3:$J$8</c:f>
              <c:numCache>
                <c:formatCode>General</c:formatCode>
                <c:ptCount val="6"/>
                <c:pt idx="0">
                  <c:v>17</c:v>
                </c:pt>
                <c:pt idx="1">
                  <c:v>149</c:v>
                </c:pt>
                <c:pt idx="2">
                  <c:v>340</c:v>
                </c:pt>
                <c:pt idx="3">
                  <c:v>170</c:v>
                </c:pt>
                <c:pt idx="4">
                  <c:v>164</c:v>
                </c:pt>
                <c:pt idx="5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6-43FA-875A-5570D79FF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844383"/>
        <c:axId val="1777844863"/>
      </c:scatterChart>
      <c:valAx>
        <c:axId val="177784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7844863"/>
        <c:crosses val="autoZero"/>
        <c:crossBetween val="midCat"/>
      </c:valAx>
      <c:valAx>
        <c:axId val="17778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784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'Лист 2'!$L$2:$O$2</c:f>
              <c:numCache>
                <c:formatCode>General</c:formatCode>
                <c:ptCount val="4"/>
                <c:pt idx="0">
                  <c:v>3</c:v>
                </c:pt>
                <c:pt idx="1">
                  <c:v>340.5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4-4BF9-905C-1C7974D856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'Лист 2'!$L$3:$O$3</c:f>
              <c:numCache>
                <c:formatCode>General</c:formatCode>
                <c:ptCount val="4"/>
                <c:pt idx="0">
                  <c:v>3.42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4-4BF9-905C-1C7974D856C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'Лист 2'!$L$4:$O$4</c:f>
              <c:numCache>
                <c:formatCode>General</c:formatCode>
                <c:ptCount val="4"/>
                <c:pt idx="0">
                  <c:v>3.48</c:v>
                </c:pt>
                <c:pt idx="1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24-4BF9-905C-1C7974D856C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'Лист 2'!$L$5:$O$5</c:f>
              <c:numCache>
                <c:formatCode>General</c:formatCode>
                <c:ptCount val="4"/>
                <c:pt idx="0">
                  <c:v>3.5</c:v>
                </c:pt>
                <c:pt idx="1">
                  <c:v>340.5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24-4BF9-905C-1C7974D856C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'Лист 2'!$L$6:$O$6</c:f>
              <c:numCache>
                <c:formatCode>General</c:formatCode>
                <c:ptCount val="4"/>
                <c:pt idx="0">
                  <c:v>3.7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24-4BF9-905C-1C7974D856C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'Лист 2'!$L$7:$O$7</c:f>
              <c:numCache>
                <c:formatCode>General</c:formatCode>
                <c:ptCount val="4"/>
                <c:pt idx="0">
                  <c:v>3.94</c:v>
                </c:pt>
                <c:pt idx="1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24-4BF9-905C-1C7974D856C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2'!$L$8:$O$8</c:f>
              <c:numCache>
                <c:formatCode>General</c:formatCode>
                <c:ptCount val="4"/>
                <c:pt idx="0">
                  <c:v>4</c:v>
                </c:pt>
                <c:pt idx="1">
                  <c:v>147</c:v>
                </c:pt>
                <c:pt idx="2">
                  <c:v>212.5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24-4BF9-905C-1C7974D856C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2'!$L$9:$O$9</c:f>
              <c:numCache>
                <c:formatCode>General</c:formatCode>
                <c:ptCount val="4"/>
                <c:pt idx="0">
                  <c:v>4.1399999999999997</c:v>
                </c:pt>
                <c:pt idx="1">
                  <c:v>149</c:v>
                </c:pt>
                <c:pt idx="2">
                  <c:v>199</c:v>
                </c:pt>
                <c:pt idx="3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24-4BF9-905C-1C7974D856C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2'!$L$10:$O$10</c:f>
              <c:numCache>
                <c:formatCode>General</c:formatCode>
                <c:ptCount val="4"/>
                <c:pt idx="0">
                  <c:v>4.21</c:v>
                </c:pt>
                <c:pt idx="1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24-4BF9-905C-1C7974D856C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2'!$L$11:$O$11</c:f>
              <c:numCache>
                <c:formatCode>General</c:formatCode>
                <c:ptCount val="4"/>
                <c:pt idx="0">
                  <c:v>5.25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24-4BF9-905C-1C7974D856C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2'!$L$12:$O$12</c:f>
              <c:numCache>
                <c:formatCode>General</c:formatCode>
                <c:ptCount val="4"/>
                <c:pt idx="0">
                  <c:v>5.28</c:v>
                </c:pt>
                <c:pt idx="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24-4BF9-905C-1C7974D856C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'Лист 2'!$L$13:$O$13</c:f>
              <c:numCache>
                <c:formatCode>General</c:formatCode>
                <c:ptCount val="4"/>
                <c:pt idx="0">
                  <c:v>5.32</c:v>
                </c:pt>
                <c:pt idx="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24-4BF9-905C-1C7974D856C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2'!$L$14:$O$14</c:f>
              <c:numCache>
                <c:formatCode>General</c:formatCode>
                <c:ptCount val="4"/>
                <c:pt idx="0">
                  <c:v>5.41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24-4BF9-905C-1C7974D856C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2'!$L$15:$O$15</c:f>
              <c:numCache>
                <c:formatCode>General</c:formatCode>
                <c:ptCount val="4"/>
                <c:pt idx="0">
                  <c:v>5.52</c:v>
                </c:pt>
                <c:pt idx="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24-4BF9-905C-1C7974D856C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2'!$L$16:$O$16</c:f>
              <c:numCache>
                <c:formatCode>General</c:formatCode>
                <c:ptCount val="4"/>
                <c:pt idx="0">
                  <c:v>5.57</c:v>
                </c:pt>
                <c:pt idx="1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24-4BF9-905C-1C7974D856C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2'!$L$17:$O$17</c:f>
              <c:numCache>
                <c:formatCode>General</c:formatCode>
                <c:ptCount val="4"/>
                <c:pt idx="0">
                  <c:v>6.8</c:v>
                </c:pt>
                <c:pt idx="1">
                  <c:v>171</c:v>
                </c:pt>
                <c:pt idx="2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24-4BF9-905C-1C7974D856C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2'!$L$18:$O$18</c:f>
              <c:numCache>
                <c:formatCode>General</c:formatCode>
                <c:ptCount val="4"/>
                <c:pt idx="0">
                  <c:v>7.08</c:v>
                </c:pt>
                <c:pt idx="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24-4BF9-905C-1C7974D856C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'Лист 2'!$L$19:$O$19</c:f>
              <c:numCache>
                <c:formatCode>General</c:formatCode>
                <c:ptCount val="4"/>
                <c:pt idx="0">
                  <c:v>7.12</c:v>
                </c:pt>
                <c:pt idx="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24-4BF9-905C-1C7974D856C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val>
            <c:numRef>
              <c:f>'Лист 2'!$L$20:$O$20</c:f>
              <c:numCache>
                <c:formatCode>General</c:formatCode>
                <c:ptCount val="4"/>
                <c:pt idx="0">
                  <c:v>7.21</c:v>
                </c:pt>
                <c:pt idx="1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24-4BF9-905C-1C7974D85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402015"/>
        <c:axId val="765402495"/>
      </c:lineChart>
      <c:catAx>
        <c:axId val="7654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02495"/>
        <c:crosses val="autoZero"/>
        <c:auto val="1"/>
        <c:lblAlgn val="ctr"/>
        <c:lblOffset val="100"/>
        <c:noMultiLvlLbl val="0"/>
      </c:catAx>
      <c:valAx>
        <c:axId val="7654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0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'Лист 2'!$B$23:$B$30</c:f>
              <c:numCache>
                <c:formatCode>0.00</c:formatCode>
                <c:ptCount val="8"/>
                <c:pt idx="0">
                  <c:v>73</c:v>
                </c:pt>
                <c:pt idx="1">
                  <c:v>131</c:v>
                </c:pt>
                <c:pt idx="2">
                  <c:v>149</c:v>
                </c:pt>
                <c:pt idx="3">
                  <c:v>160</c:v>
                </c:pt>
                <c:pt idx="4">
                  <c:v>166</c:v>
                </c:pt>
                <c:pt idx="5">
                  <c:v>169</c:v>
                </c:pt>
                <c:pt idx="6">
                  <c:v>172</c:v>
                </c:pt>
                <c:pt idx="7">
                  <c:v>6</c:v>
                </c:pt>
              </c:numCache>
            </c:numRef>
          </c:xVal>
          <c:yVal>
            <c:numRef>
              <c:f>'Лист 2'!$C$23:$C$30</c:f>
              <c:numCache>
                <c:formatCode>0.00</c:formatCode>
                <c:ptCount val="8"/>
                <c:pt idx="0">
                  <c:v>158.22894589068255</c:v>
                </c:pt>
                <c:pt idx="1">
                  <c:v>159.75065668920439</c:v>
                </c:pt>
                <c:pt idx="2">
                  <c:v>163.73979529168807</c:v>
                </c:pt>
                <c:pt idx="3">
                  <c:v>166.22714533713602</c:v>
                </c:pt>
                <c:pt idx="4">
                  <c:v>167.95681972191332</c:v>
                </c:pt>
                <c:pt idx="5">
                  <c:v>169.41983758925747</c:v>
                </c:pt>
                <c:pt idx="6">
                  <c:v>170.47271661854765</c:v>
                </c:pt>
                <c:pt idx="7">
                  <c:v>174.70840591817571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F-444D-9F42-EF69B025EC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'Лист 2'!$D$23:$D$30</c:f>
              <c:numCache>
                <c:formatCode>0.00</c:formatCode>
                <c:ptCount val="8"/>
                <c:pt idx="0">
                  <c:v>179.21513858131823</c:v>
                </c:pt>
                <c:pt idx="1">
                  <c:v>179.56262976115403</c:v>
                </c:pt>
                <c:pt idx="2">
                  <c:v>211</c:v>
                </c:pt>
                <c:pt idx="3">
                  <c:v>179.64190254372204</c:v>
                </c:pt>
                <c:pt idx="4">
                  <c:v>179.65484574552232</c:v>
                </c:pt>
                <c:pt idx="5">
                  <c:v>179.66097270804582</c:v>
                </c:pt>
                <c:pt idx="6">
                  <c:v>179.66688594115712</c:v>
                </c:pt>
                <c:pt idx="7">
                  <c:v>170.47271661854765</c:v>
                </c:pt>
              </c:numCache>
            </c:numRef>
          </c:xVal>
          <c:yVal>
            <c:numRef>
              <c:f>'Лист 2'!$E$23:$E$30</c:f>
              <c:numCache>
                <c:formatCode>0.00</c:formatCode>
                <c:ptCount val="8"/>
                <c:pt idx="0">
                  <c:v>89.818947195522796</c:v>
                </c:pt>
                <c:pt idx="1">
                  <c:v>179.64134361880417</c:v>
                </c:pt>
                <c:pt idx="2">
                  <c:v>179.6500813908755</c:v>
                </c:pt>
                <c:pt idx="3">
                  <c:v>179.65531738754044</c:v>
                </c:pt>
                <c:pt idx="4">
                  <c:v>179.65886702098757</c:v>
                </c:pt>
                <c:pt idx="5">
                  <c:v>179.66181284327124</c:v>
                </c:pt>
                <c:pt idx="6">
                  <c:v>179.66390155355839</c:v>
                </c:pt>
                <c:pt idx="7">
                  <c:v>179.67204999218563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F-444D-9F42-EF69B025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811632"/>
        <c:axId val="676815472"/>
      </c:scatterChart>
      <c:valAx>
        <c:axId val="6768116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15472"/>
        <c:crosses val="autoZero"/>
        <c:crossBetween val="midCat"/>
      </c:valAx>
      <c:valAx>
        <c:axId val="6768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81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418752377434975"/>
          <c:y val="9.6467680133363112E-2"/>
          <c:w val="0.83749696103156224"/>
          <c:h val="0.740269019908210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'Лист 3'!$A$27:$B$32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3'!$C$27:$C$32</c:f>
              <c:numCache>
                <c:formatCode>#,##0.00</c:formatCode>
                <c:ptCount val="6"/>
                <c:pt idx="0">
                  <c:v>340.5</c:v>
                </c:pt>
                <c:pt idx="1">
                  <c:v>212.5</c:v>
                </c:pt>
                <c:pt idx="2">
                  <c:v>149</c:v>
                </c:pt>
                <c:pt idx="3">
                  <c:v>170</c:v>
                </c:pt>
                <c:pt idx="4">
                  <c:v>169</c:v>
                </c:pt>
                <c:pt idx="5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3-4759-93C9-6DC08C83FF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'Лист 3'!$A$27:$B$32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3'!$D$27:$D$32</c:f>
              <c:numCache>
                <c:formatCode>#,##0.00</c:formatCode>
                <c:ptCount val="6"/>
                <c:pt idx="2">
                  <c:v>211</c:v>
                </c:pt>
                <c:pt idx="4">
                  <c:v>187</c:v>
                </c:pt>
                <c:pt idx="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3-4759-93C9-6DC08C83FFA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'Лист 3'!$A$27:$B$32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3'!$E$27:$E$32</c:f>
              <c:numCache>
                <c:formatCode>General</c:formatCode>
                <c:ptCount val="6"/>
                <c:pt idx="2" formatCode="#,##0.00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0-44FE-A413-F239C3E3F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59791"/>
        <c:axId val="54776591"/>
      </c:lineChart>
      <c:catAx>
        <c:axId val="547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76591"/>
        <c:crosses val="autoZero"/>
        <c:auto val="1"/>
        <c:lblAlgn val="ctr"/>
        <c:lblOffset val="100"/>
        <c:noMultiLvlLbl val="0"/>
      </c:catAx>
      <c:valAx>
        <c:axId val="547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5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388086724891394E-2"/>
          <c:y val="0.10645429616732108"/>
          <c:w val="0.89501569891965727"/>
          <c:h val="0.75461644262089411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3'!$S$36:$S$68</c:f>
              <c:numCache>
                <c:formatCode>0.00</c:formatCode>
                <c:ptCount val="33"/>
                <c:pt idx="0">
                  <c:v>267.67818386070127</c:v>
                </c:pt>
                <c:pt idx="1">
                  <c:v>269.08992579018928</c:v>
                </c:pt>
                <c:pt idx="2">
                  <c:v>271.24858411256906</c:v>
                </c:pt>
                <c:pt idx="3">
                  <c:v>271.24858411256906</c:v>
                </c:pt>
                <c:pt idx="4">
                  <c:v>271.68616749172213</c:v>
                </c:pt>
                <c:pt idx="5">
                  <c:v>271.68616749172213</c:v>
                </c:pt>
                <c:pt idx="6">
                  <c:v>272.24588684111552</c:v>
                </c:pt>
                <c:pt idx="7">
                  <c:v>272.46886185648941</c:v>
                </c:pt>
                <c:pt idx="8">
                  <c:v>273.14846618871792</c:v>
                </c:pt>
                <c:pt idx="9">
                  <c:v>273.14846618871792</c:v>
                </c:pt>
                <c:pt idx="10">
                  <c:v>273.74402499203092</c:v>
                </c:pt>
                <c:pt idx="11">
                  <c:v>272.82023936314562</c:v>
                </c:pt>
                <c:pt idx="12" formatCode="#,##0.00">
                  <c:v>274.0149983460953</c:v>
                </c:pt>
                <c:pt idx="13">
                  <c:v>274.27017727214854</c:v>
                </c:pt>
                <c:pt idx="14">
                  <c:v>274.51089982939737</c:v>
                </c:pt>
                <c:pt idx="15" formatCode="#,##0.00">
                  <c:v>274.95361457842029</c:v>
                </c:pt>
                <c:pt idx="16">
                  <c:v>275.53524837683375</c:v>
                </c:pt>
                <c:pt idx="17">
                  <c:v>275.62386407032761</c:v>
                </c:pt>
                <c:pt idx="18">
                  <c:v>275.77801117457142</c:v>
                </c:pt>
                <c:pt idx="19">
                  <c:v>275.77801117457142</c:v>
                </c:pt>
                <c:pt idx="20">
                  <c:v>276.20291135472996</c:v>
                </c:pt>
                <c:pt idx="21">
                  <c:v>276.65681884939255</c:v>
                </c:pt>
                <c:pt idx="22">
                  <c:v>277.12919864643322</c:v>
                </c:pt>
                <c:pt idx="23">
                  <c:v>277.39885807614263</c:v>
                </c:pt>
                <c:pt idx="24">
                  <c:v>277.39885807614263</c:v>
                </c:pt>
                <c:pt idx="25">
                  <c:v>277.47670038410797</c:v>
                </c:pt>
                <c:pt idx="26">
                  <c:v>277.93223222434955</c:v>
                </c:pt>
                <c:pt idx="27" formatCode="#,##0.00">
                  <c:v>278.50357516890233</c:v>
                </c:pt>
                <c:pt idx="28">
                  <c:v>278.61849114140921</c:v>
                </c:pt>
                <c:pt idx="29">
                  <c:v>278.69926059774014</c:v>
                </c:pt>
                <c:pt idx="30">
                  <c:v>278.69926059774014</c:v>
                </c:pt>
                <c:pt idx="31">
                  <c:v>279.85491415224743</c:v>
                </c:pt>
                <c:pt idx="32">
                  <c:v>280.07368145684723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D-4D5A-BC16-DB58B35C2F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3'!$T$36:$T$68</c:f>
              <c:numCache>
                <c:formatCode>0.00</c:formatCode>
                <c:ptCount val="33"/>
                <c:pt idx="0">
                  <c:v>150.51287432705854</c:v>
                </c:pt>
                <c:pt idx="1">
                  <c:v>153.21500449249783</c:v>
                </c:pt>
                <c:pt idx="2">
                  <c:v>157.38013505195957</c:v>
                </c:pt>
                <c:pt idx="3">
                  <c:v>157.38013505195957</c:v>
                </c:pt>
                <c:pt idx="4">
                  <c:v>158.22894589068255</c:v>
                </c:pt>
                <c:pt idx="5">
                  <c:v>158.22894589068255</c:v>
                </c:pt>
                <c:pt idx="6">
                  <c:v>159.31670941104221</c:v>
                </c:pt>
                <c:pt idx="7">
                  <c:v>159.75065668920439</c:v>
                </c:pt>
                <c:pt idx="8">
                  <c:v>161.07535558394878</c:v>
                </c:pt>
                <c:pt idx="9">
                  <c:v>161.07535558394878</c:v>
                </c:pt>
                <c:pt idx="10">
                  <c:v>162.23868169895951</c:v>
                </c:pt>
                <c:pt idx="11">
                  <c:v>160.43518593638544</c:v>
                </c:pt>
                <c:pt idx="12" formatCode="#,##0.00">
                  <c:v>162.7687036316718</c:v>
                </c:pt>
                <c:pt idx="13">
                  <c:v>163.26822775193483</c:v>
                </c:pt>
                <c:pt idx="14">
                  <c:v>163.73979529168807</c:v>
                </c:pt>
                <c:pt idx="15" formatCode="#,##0.00">
                  <c:v>164.60789655596687</c:v>
                </c:pt>
                <c:pt idx="16">
                  <c:v>165.74996730219644</c:v>
                </c:pt>
                <c:pt idx="17">
                  <c:v>165.9241184736307</c:v>
                </c:pt>
                <c:pt idx="18">
                  <c:v>166.22714533713602</c:v>
                </c:pt>
                <c:pt idx="19">
                  <c:v>166.22714533713602</c:v>
                </c:pt>
                <c:pt idx="20">
                  <c:v>167.06300483679485</c:v>
                </c:pt>
                <c:pt idx="21">
                  <c:v>167.95681972191332</c:v>
                </c:pt>
                <c:pt idx="22">
                  <c:v>168.88792315374991</c:v>
                </c:pt>
                <c:pt idx="23">
                  <c:v>169.41983758925747</c:v>
                </c:pt>
                <c:pt idx="24">
                  <c:v>169.41983758925747</c:v>
                </c:pt>
                <c:pt idx="25">
                  <c:v>169.5734351904895</c:v>
                </c:pt>
                <c:pt idx="26">
                  <c:v>170.47271661854765</c:v>
                </c:pt>
                <c:pt idx="27" formatCode="#,##0.00">
                  <c:v>171.60159231972659</c:v>
                </c:pt>
                <c:pt idx="28">
                  <c:v>171.82876644005023</c:v>
                </c:pt>
                <c:pt idx="29">
                  <c:v>171.98845992878341</c:v>
                </c:pt>
                <c:pt idx="30">
                  <c:v>171.98845992878341</c:v>
                </c:pt>
                <c:pt idx="31">
                  <c:v>174.27518954777651</c:v>
                </c:pt>
                <c:pt idx="32">
                  <c:v>174.70840591817571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2D-4D5A-BC16-DB58B35C2F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3'!$U$36:$U$68</c:f>
              <c:numCache>
                <c:formatCode>General</c:formatCode>
                <c:ptCount val="33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270</c:v>
                </c:pt>
                <c:pt idx="4">
                  <c:v>277.05</c:v>
                </c:pt>
                <c:pt idx="5">
                  <c:v>277.05</c:v>
                </c:pt>
                <c:pt idx="6">
                  <c:v>286.92</c:v>
                </c:pt>
                <c:pt idx="7">
                  <c:v>291.14999999999998</c:v>
                </c:pt>
                <c:pt idx="8">
                  <c:v>305.25</c:v>
                </c:pt>
                <c:pt idx="9">
                  <c:v>305.25</c:v>
                </c:pt>
                <c:pt idx="10">
                  <c:v>319.35000000000002</c:v>
                </c:pt>
                <c:pt idx="11">
                  <c:v>298.2</c:v>
                </c:pt>
                <c:pt idx="12">
                  <c:v>326.39999999999998</c:v>
                </c:pt>
                <c:pt idx="13">
                  <c:v>333.45</c:v>
                </c:pt>
                <c:pt idx="14">
                  <c:v>340.5</c:v>
                </c:pt>
                <c:pt idx="15">
                  <c:v>289.29999999999995</c:v>
                </c:pt>
                <c:pt idx="16">
                  <c:v>212.5</c:v>
                </c:pt>
                <c:pt idx="17">
                  <c:v>211.96430000000001</c:v>
                </c:pt>
                <c:pt idx="18">
                  <c:v>211</c:v>
                </c:pt>
                <c:pt idx="19">
                  <c:v>211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6.5593696799033943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2D-4D5A-BC16-DB58B35C2FF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3'!$V$36:$V$68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#,##0.00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#,##0.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8-4F67-8037-B96CEFC21A5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3'!$W$36:$W$68</c:f>
              <c:numCache>
                <c:formatCode>General</c:formatCode>
                <c:ptCount val="33"/>
                <c:pt idx="1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31</c:v>
                </c:pt>
                <c:pt idx="20" formatCode="#,##0.00">
                  <c:v>28.588004434782846</c:v>
                </c:pt>
                <c:pt idx="21">
                  <c:v>25.89337655374943</c:v>
                </c:pt>
                <c:pt idx="22">
                  <c:v>22.965364841133255</c:v>
                </c:pt>
                <c:pt idx="23">
                  <c:v>21.242145520641976</c:v>
                </c:pt>
                <c:pt idx="24">
                  <c:v>21.242145520641976</c:v>
                </c:pt>
                <c:pt idx="25">
                  <c:v>20.738403116400743</c:v>
                </c:pt>
                <c:pt idx="26">
                  <c:v>17.74293137985563</c:v>
                </c:pt>
                <c:pt idx="27" formatCode="#,##0.00">
                  <c:v>13.915275652024226</c:v>
                </c:pt>
                <c:pt idx="28">
                  <c:v>13.144286854502464</c:v>
                </c:pt>
                <c:pt idx="29">
                  <c:v>12.603659451958574</c:v>
                </c:pt>
                <c:pt idx="30">
                  <c:v>12.603659451958574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78-4F67-8037-B96CEFC2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534064"/>
        <c:axId val="424535504"/>
      </c:scatterChart>
      <c:valAx>
        <c:axId val="42453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535504"/>
        <c:crosses val="autoZero"/>
        <c:crossBetween val="midCat"/>
      </c:valAx>
      <c:valAx>
        <c:axId val="4245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53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3'!$R$36:$R$68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F-4534-AE14-EBEC494D33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3'!$S$36:$S$68</c:f>
              <c:numCache>
                <c:formatCode>0.00</c:formatCode>
                <c:ptCount val="33"/>
                <c:pt idx="0">
                  <c:v>267.67818386070127</c:v>
                </c:pt>
                <c:pt idx="1">
                  <c:v>269.08992579018928</c:v>
                </c:pt>
                <c:pt idx="2">
                  <c:v>271.24858411256906</c:v>
                </c:pt>
                <c:pt idx="3">
                  <c:v>271.24858411256906</c:v>
                </c:pt>
                <c:pt idx="4">
                  <c:v>271.68616749172213</c:v>
                </c:pt>
                <c:pt idx="5">
                  <c:v>271.68616749172213</c:v>
                </c:pt>
                <c:pt idx="6">
                  <c:v>272.24588684111552</c:v>
                </c:pt>
                <c:pt idx="7">
                  <c:v>272.46886185648941</c:v>
                </c:pt>
                <c:pt idx="8">
                  <c:v>273.14846618871792</c:v>
                </c:pt>
                <c:pt idx="9">
                  <c:v>273.14846618871792</c:v>
                </c:pt>
                <c:pt idx="10">
                  <c:v>273.74402499203092</c:v>
                </c:pt>
                <c:pt idx="11">
                  <c:v>272.82023936314562</c:v>
                </c:pt>
                <c:pt idx="12" formatCode="#,##0.00">
                  <c:v>274.0149983460953</c:v>
                </c:pt>
                <c:pt idx="13">
                  <c:v>274.27017727214854</c:v>
                </c:pt>
                <c:pt idx="14">
                  <c:v>274.51089982939737</c:v>
                </c:pt>
                <c:pt idx="15" formatCode="#,##0.00">
                  <c:v>274.95361457842029</c:v>
                </c:pt>
                <c:pt idx="16">
                  <c:v>275.53524837683375</c:v>
                </c:pt>
                <c:pt idx="17">
                  <c:v>275.62386407032761</c:v>
                </c:pt>
                <c:pt idx="18">
                  <c:v>275.77801117457142</c:v>
                </c:pt>
                <c:pt idx="19">
                  <c:v>275.77801117457142</c:v>
                </c:pt>
                <c:pt idx="20">
                  <c:v>276.20291135472996</c:v>
                </c:pt>
                <c:pt idx="21">
                  <c:v>276.65681884939255</c:v>
                </c:pt>
                <c:pt idx="22">
                  <c:v>277.12919864643322</c:v>
                </c:pt>
                <c:pt idx="23">
                  <c:v>277.39885807614263</c:v>
                </c:pt>
                <c:pt idx="24">
                  <c:v>277.39885807614263</c:v>
                </c:pt>
                <c:pt idx="25">
                  <c:v>277.47670038410797</c:v>
                </c:pt>
                <c:pt idx="26">
                  <c:v>277.93223222434955</c:v>
                </c:pt>
                <c:pt idx="27" formatCode="#,##0.00">
                  <c:v>278.50357516890233</c:v>
                </c:pt>
                <c:pt idx="28">
                  <c:v>278.61849114140921</c:v>
                </c:pt>
                <c:pt idx="29">
                  <c:v>278.69926059774014</c:v>
                </c:pt>
                <c:pt idx="30">
                  <c:v>278.69926059774014</c:v>
                </c:pt>
                <c:pt idx="31">
                  <c:v>279.85491415224743</c:v>
                </c:pt>
                <c:pt idx="32">
                  <c:v>280.07368145684723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F-4534-AE14-EBEC494D332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3'!$T$36:$T$68</c:f>
              <c:numCache>
                <c:formatCode>0.00</c:formatCode>
                <c:ptCount val="33"/>
                <c:pt idx="0">
                  <c:v>150.51287432705854</c:v>
                </c:pt>
                <c:pt idx="1">
                  <c:v>153.21500449249783</c:v>
                </c:pt>
                <c:pt idx="2">
                  <c:v>157.38013505195957</c:v>
                </c:pt>
                <c:pt idx="3">
                  <c:v>157.38013505195957</c:v>
                </c:pt>
                <c:pt idx="4">
                  <c:v>158.22894589068255</c:v>
                </c:pt>
                <c:pt idx="5">
                  <c:v>158.22894589068255</c:v>
                </c:pt>
                <c:pt idx="6">
                  <c:v>159.31670941104221</c:v>
                </c:pt>
                <c:pt idx="7">
                  <c:v>159.75065668920439</c:v>
                </c:pt>
                <c:pt idx="8">
                  <c:v>161.07535558394878</c:v>
                </c:pt>
                <c:pt idx="9">
                  <c:v>161.07535558394878</c:v>
                </c:pt>
                <c:pt idx="10">
                  <c:v>162.23868169895951</c:v>
                </c:pt>
                <c:pt idx="11">
                  <c:v>160.43518593638544</c:v>
                </c:pt>
                <c:pt idx="12" formatCode="#,##0.00">
                  <c:v>162.7687036316718</c:v>
                </c:pt>
                <c:pt idx="13">
                  <c:v>163.26822775193483</c:v>
                </c:pt>
                <c:pt idx="14">
                  <c:v>163.73979529168807</c:v>
                </c:pt>
                <c:pt idx="15" formatCode="#,##0.00">
                  <c:v>164.60789655596687</c:v>
                </c:pt>
                <c:pt idx="16">
                  <c:v>165.74996730219644</c:v>
                </c:pt>
                <c:pt idx="17">
                  <c:v>165.9241184736307</c:v>
                </c:pt>
                <c:pt idx="18">
                  <c:v>166.22714533713602</c:v>
                </c:pt>
                <c:pt idx="19">
                  <c:v>166.22714533713602</c:v>
                </c:pt>
                <c:pt idx="20">
                  <c:v>167.06300483679485</c:v>
                </c:pt>
                <c:pt idx="21">
                  <c:v>167.95681972191332</c:v>
                </c:pt>
                <c:pt idx="22">
                  <c:v>168.88792315374991</c:v>
                </c:pt>
                <c:pt idx="23">
                  <c:v>169.41983758925747</c:v>
                </c:pt>
                <c:pt idx="24">
                  <c:v>169.41983758925747</c:v>
                </c:pt>
                <c:pt idx="25">
                  <c:v>169.5734351904895</c:v>
                </c:pt>
                <c:pt idx="26">
                  <c:v>170.47271661854765</c:v>
                </c:pt>
                <c:pt idx="27" formatCode="#,##0.00">
                  <c:v>171.60159231972659</c:v>
                </c:pt>
                <c:pt idx="28">
                  <c:v>171.82876644005023</c:v>
                </c:pt>
                <c:pt idx="29">
                  <c:v>171.98845992878341</c:v>
                </c:pt>
                <c:pt idx="30">
                  <c:v>171.98845992878341</c:v>
                </c:pt>
                <c:pt idx="31">
                  <c:v>174.27518954777651</c:v>
                </c:pt>
                <c:pt idx="32">
                  <c:v>174.70840591817571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F-4534-AE14-EBEC494D332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3'!$U$36:$U$68</c:f>
              <c:numCache>
                <c:formatCode>General</c:formatCode>
                <c:ptCount val="33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270</c:v>
                </c:pt>
                <c:pt idx="4">
                  <c:v>277.05</c:v>
                </c:pt>
                <c:pt idx="5">
                  <c:v>277.05</c:v>
                </c:pt>
                <c:pt idx="6">
                  <c:v>286.92</c:v>
                </c:pt>
                <c:pt idx="7">
                  <c:v>291.14999999999998</c:v>
                </c:pt>
                <c:pt idx="8">
                  <c:v>305.25</c:v>
                </c:pt>
                <c:pt idx="9">
                  <c:v>305.25</c:v>
                </c:pt>
                <c:pt idx="10">
                  <c:v>319.35000000000002</c:v>
                </c:pt>
                <c:pt idx="11">
                  <c:v>298.2</c:v>
                </c:pt>
                <c:pt idx="12">
                  <c:v>326.39999999999998</c:v>
                </c:pt>
                <c:pt idx="13">
                  <c:v>333.45</c:v>
                </c:pt>
                <c:pt idx="14">
                  <c:v>340.5</c:v>
                </c:pt>
                <c:pt idx="15">
                  <c:v>289.29999999999995</c:v>
                </c:pt>
                <c:pt idx="16">
                  <c:v>212.5</c:v>
                </c:pt>
                <c:pt idx="17">
                  <c:v>211.96430000000001</c:v>
                </c:pt>
                <c:pt idx="18">
                  <c:v>211</c:v>
                </c:pt>
                <c:pt idx="19">
                  <c:v>211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6.5593696799033943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EF-4534-AE14-EBEC494D332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3'!$V$36:$V$68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#,##0.00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#,##0.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EF-4534-AE14-EBEC494D332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'Лист 3'!$Q$36:$Q$68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3'!$W$36:$W$68</c:f>
              <c:numCache>
                <c:formatCode>General</c:formatCode>
                <c:ptCount val="33"/>
                <c:pt idx="1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31</c:v>
                </c:pt>
                <c:pt idx="20" formatCode="#,##0.00">
                  <c:v>28.588004434782846</c:v>
                </c:pt>
                <c:pt idx="21">
                  <c:v>25.89337655374943</c:v>
                </c:pt>
                <c:pt idx="22">
                  <c:v>22.965364841133255</c:v>
                </c:pt>
                <c:pt idx="23">
                  <c:v>21.242145520641976</c:v>
                </c:pt>
                <c:pt idx="24">
                  <c:v>21.242145520641976</c:v>
                </c:pt>
                <c:pt idx="25">
                  <c:v>20.738403116400743</c:v>
                </c:pt>
                <c:pt idx="26">
                  <c:v>17.74293137985563</c:v>
                </c:pt>
                <c:pt idx="27" formatCode="#,##0.00">
                  <c:v>13.915275652024226</c:v>
                </c:pt>
                <c:pt idx="28">
                  <c:v>13.144286854502464</c:v>
                </c:pt>
                <c:pt idx="29">
                  <c:v>12.603659451958574</c:v>
                </c:pt>
                <c:pt idx="30">
                  <c:v>12.603659451958574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EF-4534-AE14-EBEC494D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953227535"/>
        <c:axId val="1953220815"/>
      </c:barChart>
      <c:catAx>
        <c:axId val="195322753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3220815"/>
        <c:crosses val="autoZero"/>
        <c:auto val="1"/>
        <c:lblAlgn val="ctr"/>
        <c:lblOffset val="100"/>
        <c:noMultiLvlLbl val="0"/>
      </c:catAx>
      <c:valAx>
        <c:axId val="195322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32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628035522124838E-2"/>
          <c:y val="2.0188459377167678E-2"/>
          <c:w val="0.93268245346549516"/>
          <c:h val="0.87608628197706673"/>
        </c:manualLayout>
      </c:layout>
      <c:scatterChart>
        <c:scatterStyle val="smooth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Анализ!$D$8:$D$17</c:f>
              <c:numCache>
                <c:formatCode>#,##0.00</c:formatCode>
                <c:ptCount val="10"/>
                <c:pt idx="0" formatCode="#,##0">
                  <c:v>51</c:v>
                </c:pt>
                <c:pt idx="1">
                  <c:v>58</c:v>
                </c:pt>
                <c:pt idx="2">
                  <c:v>165</c:v>
                </c:pt>
                <c:pt idx="3">
                  <c:v>73</c:v>
                </c:pt>
                <c:pt idx="4" formatCode="0.00">
                  <c:v>60</c:v>
                </c:pt>
                <c:pt idx="5" formatCode="0.00">
                  <c:v>149</c:v>
                </c:pt>
                <c:pt idx="6" formatCode="0.00">
                  <c:v>170</c:v>
                </c:pt>
                <c:pt idx="7" formatCode="0.00">
                  <c:v>169</c:v>
                </c:pt>
                <c:pt idx="8" formatCode="0.00">
                  <c:v>172</c:v>
                </c:pt>
                <c:pt idx="9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B-42C5-9964-39BD37FE62BD}"/>
            </c:ext>
          </c:extLst>
        </c:ser>
        <c:ser>
          <c:idx val="2"/>
          <c:order val="1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5.1458033137563752E-2"/>
                  <c:y val="2.3580138012147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6F-4E8B-B45E-03427A6B51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Анализ!$E$8:$E$17</c:f>
              <c:numCache>
                <c:formatCode>#,##0.00</c:formatCode>
                <c:ptCount val="10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113</c:v>
                </c:pt>
                <c:pt idx="4" formatCode="0.00">
                  <c:v>200</c:v>
                </c:pt>
                <c:pt idx="5" formatCode="0.00">
                  <c:v>211</c:v>
                </c:pt>
                <c:pt idx="6" formatCode="0.00">
                  <c:v>211</c:v>
                </c:pt>
                <c:pt idx="7" formatCode="0.00">
                  <c:v>187</c:v>
                </c:pt>
                <c:pt idx="8" formatCode="0.00">
                  <c:v>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1B-42C5-9964-39BD37FE62BD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'Лист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1B-42C5-9964-39BD37FE62BD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4.9074090677971591E-3"/>
                  <c:y val="-5.04761086879234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6F-4E8B-B45E-03427A6B51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Анализ!$F$8:$F$17</c:f>
              <c:numCache>
                <c:formatCode>General</c:formatCode>
                <c:ptCount val="10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277.05</c:v>
                </c:pt>
                <c:pt idx="4">
                  <c:v>305.25</c:v>
                </c:pt>
                <c:pt idx="5">
                  <c:v>211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6.5593696799033943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1B-42C5-9964-39BD37FE62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15128288"/>
        <c:axId val="715128768"/>
      </c:scatterChart>
      <c:valAx>
        <c:axId val="71512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128768"/>
        <c:crosses val="autoZero"/>
        <c:crossBetween val="midCat"/>
        <c:majorUnit val="0.25"/>
      </c:valAx>
      <c:valAx>
        <c:axId val="7151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128288"/>
        <c:crosses val="autoZero"/>
        <c:crossBetween val="midCat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483724007896873E-2"/>
          <c:y val="9.9762510659127293E-2"/>
          <c:w val="0.94239358212041469"/>
          <c:h val="0.809122325324193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Анализ!$B$36:$B$47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C8-4C2E-8B5D-AFF46A9475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6.1899656615461403E-3"/>
                  <c:y val="1.351659132748656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A6-4273-A845-1FAE6A1090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Анализ!$C$36:$C$47</c:f>
              <c:numCache>
                <c:formatCode>#,##0.00</c:formatCode>
                <c:ptCount val="12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2.6</c:v>
                </c:pt>
                <c:pt idx="4" formatCode="0.00">
                  <c:v>3</c:v>
                </c:pt>
                <c:pt idx="5" formatCode="0.00">
                  <c:v>3.5</c:v>
                </c:pt>
                <c:pt idx="6" formatCode="0.00">
                  <c:v>4</c:v>
                </c:pt>
                <c:pt idx="7" formatCode="0.00">
                  <c:v>4.1399999999999997</c:v>
                </c:pt>
                <c:pt idx="8" formatCode="0.00">
                  <c:v>5.14</c:v>
                </c:pt>
                <c:pt idx="9" formatCode="0.00">
                  <c:v>5.4</c:v>
                </c:pt>
                <c:pt idx="10" formatCode="0.00">
                  <c:v>7.14</c:v>
                </c:pt>
                <c:pt idx="11" formatCode="0.00">
                  <c:v>10.82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C8-4C2E-8B5D-AFF46A94758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891-4056-873F-E9DB74E06B09}"/>
              </c:ext>
            </c:extLst>
          </c:dPt>
          <c:dLbls>
            <c:dLbl>
              <c:idx val="5"/>
              <c:layout>
                <c:manualLayout>
                  <c:x val="7.5089270516063827E-3"/>
                  <c:y val="-4.9319972178961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AC-4565-BF38-782473E825E9}"/>
                </c:ext>
              </c:extLst>
            </c:dLbl>
            <c:dLbl>
              <c:idx val="6"/>
              <c:layout>
                <c:manualLayout>
                  <c:x val="7.5089270516062716E-3"/>
                  <c:y val="-7.59902004761161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AC-4565-BF38-782473E825E9}"/>
                </c:ext>
              </c:extLst>
            </c:dLbl>
            <c:dLbl>
              <c:idx val="8"/>
              <c:layout>
                <c:manualLayout>
                  <c:x val="-5.5851431244448989E-2"/>
                  <c:y val="-3.980584073799671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AC-4565-BF38-782473E825E9}"/>
                </c:ext>
              </c:extLst>
            </c:dLbl>
            <c:dLbl>
              <c:idx val="9"/>
              <c:layout>
                <c:manualLayout>
                  <c:x val="-4.2274211609580094E-2"/>
                  <c:y val="1.4688575734208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C-4565-BF38-782473E825E9}"/>
                </c:ext>
              </c:extLst>
            </c:dLbl>
            <c:dLbl>
              <c:idx val="10"/>
              <c:layout>
                <c:manualLayout>
                  <c:x val="-4.9817111406729543E-2"/>
                  <c:y val="2.2689644223354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C-4565-BF38-782473E825E9}"/>
                </c:ext>
              </c:extLst>
            </c:dLbl>
            <c:dLbl>
              <c:idx val="11"/>
              <c:layout>
                <c:manualLayout>
                  <c:x val="-8.9360574372031015E-2"/>
                  <c:y val="-5.7244704201615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A6-4273-A845-1FAE6A1090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Анализ!$D$36:$D$47</c:f>
              <c:numCache>
                <c:formatCode>#,##0.00</c:formatCode>
                <c:ptCount val="12"/>
                <c:pt idx="0" formatCode="#,##0">
                  <c:v>51</c:v>
                </c:pt>
                <c:pt idx="1">
                  <c:v>58</c:v>
                </c:pt>
                <c:pt idx="2">
                  <c:v>165</c:v>
                </c:pt>
                <c:pt idx="3">
                  <c:v>73</c:v>
                </c:pt>
                <c:pt idx="4" formatCode="0.00">
                  <c:v>60</c:v>
                </c:pt>
                <c:pt idx="5" formatCode="0.00">
                  <c:v>340.5</c:v>
                </c:pt>
                <c:pt idx="6" formatCode="0.00">
                  <c:v>212.5</c:v>
                </c:pt>
                <c:pt idx="7" formatCode="0.00">
                  <c:v>149</c:v>
                </c:pt>
                <c:pt idx="8" formatCode="0.00">
                  <c:v>170</c:v>
                </c:pt>
                <c:pt idx="9" formatCode="0.00">
                  <c:v>169</c:v>
                </c:pt>
                <c:pt idx="10" formatCode="0.00">
                  <c:v>172</c:v>
                </c:pt>
                <c:pt idx="11" formatCode="0.0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C8-4C2E-8B5D-AFF46A94758C}"/>
            </c:ext>
          </c:extLst>
        </c:ser>
        <c:ser>
          <c:idx val="3"/>
          <c:order val="3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6.7920070919888109E-2"/>
                  <c:y val="3.06907127125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C-4565-BF38-782473E825E9}"/>
                </c:ext>
              </c:extLst>
            </c:dLbl>
            <c:dLbl>
              <c:idx val="9"/>
              <c:layout>
                <c:manualLayout>
                  <c:x val="-1.3117873225336264E-2"/>
                  <c:y val="-8.3879414808144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A6-4273-A845-1FAE6A109055}"/>
                </c:ext>
              </c:extLst>
            </c:dLbl>
            <c:dLbl>
              <c:idx val="10"/>
              <c:layout>
                <c:manualLayout>
                  <c:x val="-1.3611192380412186E-2"/>
                  <c:y val="-6.2655086327538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C-4565-BF38-782473E82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Анализ!$E$36:$E$47</c:f>
              <c:numCache>
                <c:formatCode>#,##0.00</c:formatCode>
                <c:ptCount val="12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113</c:v>
                </c:pt>
                <c:pt idx="4" formatCode="0.00">
                  <c:v>200</c:v>
                </c:pt>
                <c:pt idx="5" formatCode="0.00">
                  <c:v>249</c:v>
                </c:pt>
                <c:pt idx="6" formatCode="0.00">
                  <c:v>249</c:v>
                </c:pt>
                <c:pt idx="7" formatCode="0.00">
                  <c:v>211</c:v>
                </c:pt>
                <c:pt idx="8" formatCode="0.00">
                  <c:v>211</c:v>
                </c:pt>
                <c:pt idx="9" formatCode="0.00">
                  <c:v>187</c:v>
                </c:pt>
                <c:pt idx="10" formatCode="0.00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C8-4C2E-8B5D-AFF46A94758C}"/>
            </c:ext>
          </c:extLst>
        </c:ser>
        <c:ser>
          <c:idx val="4"/>
          <c:order val="4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5.0903288977519008E-2"/>
                  <c:y val="-2.79837895412384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C-4565-BF38-782473E825E9}"/>
                </c:ext>
              </c:extLst>
            </c:dLbl>
            <c:dLbl>
              <c:idx val="6"/>
              <c:layout>
                <c:manualLayout>
                  <c:x val="-5.6937608815238509E-2"/>
                  <c:y val="4.020484415346546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C-4565-BF38-782473E825E9}"/>
                </c:ext>
              </c:extLst>
            </c:dLbl>
            <c:dLbl>
              <c:idx val="7"/>
              <c:layout>
                <c:manualLayout>
                  <c:x val="-1.2581556861645391E-2"/>
                  <c:y val="-6.5322109157254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C-4565-BF38-782473E825E9}"/>
                </c:ext>
              </c:extLst>
            </c:dLbl>
            <c:dLbl>
              <c:idx val="9"/>
              <c:layout>
                <c:manualLayout>
                  <c:x val="-5.1380950772772729E-2"/>
                  <c:y val="-5.7244704201615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A6-4273-A845-1FAE6A109055}"/>
                </c:ext>
              </c:extLst>
            </c:dLbl>
            <c:dLbl>
              <c:idx val="10"/>
              <c:layout>
                <c:manualLayout>
                  <c:x val="2.5042427326536173E-3"/>
                  <c:y val="-2.5316766711523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C-4565-BF38-782473E825E9}"/>
                </c:ext>
              </c:extLst>
            </c:dLbl>
            <c:dLbl>
              <c:idx val="11"/>
              <c:layout>
                <c:manualLayout>
                  <c:x val="-5.6839614406488099E-4"/>
                  <c:y val="-8.9206356929449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A6-4273-A845-1FAE6A1090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Анализ!$F$36:$F$47</c:f>
              <c:numCache>
                <c:formatCode>General</c:formatCode>
                <c:ptCount val="12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277.05</c:v>
                </c:pt>
                <c:pt idx="4">
                  <c:v>305.25</c:v>
                </c:pt>
                <c:pt idx="5">
                  <c:v>340.5</c:v>
                </c:pt>
                <c:pt idx="6">
                  <c:v>212.5</c:v>
                </c:pt>
                <c:pt idx="7">
                  <c:v>211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6.5593696799033943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C-4565-BF38-782473E825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0127695"/>
        <c:axId val="990125295"/>
      </c:lineChart>
      <c:catAx>
        <c:axId val="99012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125295"/>
        <c:crosses val="autoZero"/>
        <c:auto val="1"/>
        <c:lblAlgn val="ctr"/>
        <c:lblOffset val="100"/>
        <c:tickMarkSkip val="1"/>
        <c:noMultiLvlLbl val="0"/>
      </c:catAx>
      <c:valAx>
        <c:axId val="9901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127695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634144</xdr:colOff>
      <xdr:row>21</xdr:row>
      <xdr:rowOff>19583</xdr:rowOff>
    </xdr:from>
    <xdr:to>
      <xdr:col>12</xdr:col>
      <xdr:colOff>13368</xdr:colOff>
      <xdr:row>23</xdr:row>
      <xdr:rowOff>161876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E23CFCE8-C225-4F20-91A6-D6AC59C62DCD}"/>
            </a:ext>
          </a:extLst>
        </xdr:cNvPr>
        <xdr:cNvCxnSpPr/>
      </xdr:nvCxnSpPr>
      <xdr:spPr>
        <a:xfrm flipH="1">
          <a:off x="5754784" y="3860063"/>
          <a:ext cx="1939544" cy="508053"/>
        </a:xfrm>
        <a:prstGeom prst="straightConnector1">
          <a:avLst/>
        </a:prstGeom>
        <a:ln w="6350">
          <a:solidFill>
            <a:schemeClr val="tx1"/>
          </a:solidFill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605659</xdr:colOff>
      <xdr:row>21</xdr:row>
      <xdr:rowOff>149330</xdr:rowOff>
    </xdr:from>
    <xdr:to>
      <xdr:col>11</xdr:col>
      <xdr:colOff>460252</xdr:colOff>
      <xdr:row>22</xdr:row>
      <xdr:rowOff>100730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C1068891-AB9A-4F32-8806-2F3298233126}"/>
            </a:ext>
          </a:extLst>
        </xdr:cNvPr>
        <xdr:cNvSpPr>
          <a:spLocks noChangeAspect="1"/>
        </xdr:cNvSpPr>
      </xdr:nvSpPr>
      <xdr:spPr>
        <a:xfrm rot="20700000">
          <a:off x="6366379" y="3989810"/>
          <a:ext cx="1134753" cy="13428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601806</xdr:colOff>
      <xdr:row>18</xdr:row>
      <xdr:rowOff>43296</xdr:rowOff>
    </xdr:from>
    <xdr:to>
      <xdr:col>11</xdr:col>
      <xdr:colOff>605518</xdr:colOff>
      <xdr:row>25</xdr:row>
      <xdr:rowOff>13607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5B6E83E2-CBB9-4B90-9169-6C7395D3C9FF}"/>
            </a:ext>
          </a:extLst>
        </xdr:cNvPr>
        <xdr:cNvCxnSpPr/>
      </xdr:nvCxnSpPr>
      <xdr:spPr>
        <a:xfrm>
          <a:off x="5722446" y="3335136"/>
          <a:ext cx="1923952" cy="1250471"/>
        </a:xfrm>
        <a:prstGeom prst="line">
          <a:avLst/>
        </a:prstGeom>
        <a:ln w="6350">
          <a:solidFill>
            <a:schemeClr val="tx1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467416</xdr:colOff>
      <xdr:row>21</xdr:row>
      <xdr:rowOff>112712</xdr:rowOff>
    </xdr:from>
    <xdr:to>
      <xdr:col>11</xdr:col>
      <xdr:colOff>434975</xdr:colOff>
      <xdr:row>22</xdr:row>
      <xdr:rowOff>63913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70B95E9F-D85F-4CD1-B172-F4AB24BBAA4C}"/>
            </a:ext>
          </a:extLst>
        </xdr:cNvPr>
        <xdr:cNvCxnSpPr/>
      </xdr:nvCxnSpPr>
      <xdr:spPr>
        <a:xfrm flipV="1">
          <a:off x="6868216" y="3953192"/>
          <a:ext cx="607639" cy="134081"/>
        </a:xfrm>
        <a:prstGeom prst="line">
          <a:avLst/>
        </a:prstGeom>
        <a:ln w="635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17318</xdr:colOff>
      <xdr:row>29</xdr:row>
      <xdr:rowOff>58882</xdr:rowOff>
    </xdr:from>
    <xdr:to>
      <xdr:col>12</xdr:col>
      <xdr:colOff>17318</xdr:colOff>
      <xdr:row>29</xdr:row>
      <xdr:rowOff>76200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505692B7-E187-4391-9610-53A5E5EB183B}"/>
            </a:ext>
          </a:extLst>
        </xdr:cNvPr>
        <xdr:cNvCxnSpPr/>
      </xdr:nvCxnSpPr>
      <xdr:spPr>
        <a:xfrm flipV="1">
          <a:off x="7698278" y="536240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613410</xdr:colOff>
      <xdr:row>18</xdr:row>
      <xdr:rowOff>76200</xdr:rowOff>
    </xdr:from>
    <xdr:to>
      <xdr:col>16</xdr:col>
      <xdr:colOff>9525</xdr:colOff>
      <xdr:row>27</xdr:row>
      <xdr:rowOff>9525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7C70F481-DD72-4D36-B673-A306EFD883AE}"/>
            </a:ext>
          </a:extLst>
        </xdr:cNvPr>
        <xdr:cNvCxnSpPr/>
      </xdr:nvCxnSpPr>
      <xdr:spPr>
        <a:xfrm>
          <a:off x="5734050" y="3368040"/>
          <a:ext cx="4516755" cy="1579245"/>
        </a:xfrm>
        <a:prstGeom prst="line">
          <a:avLst/>
        </a:prstGeom>
        <a:ln w="6350">
          <a:solidFill>
            <a:schemeClr val="tx1"/>
          </a:solidFill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39149</xdr:colOff>
      <xdr:row>20</xdr:row>
      <xdr:rowOff>112701</xdr:rowOff>
    </xdr:from>
    <xdr:to>
      <xdr:col>11</xdr:col>
      <xdr:colOff>11853</xdr:colOff>
      <xdr:row>22</xdr:row>
      <xdr:rowOff>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CF47C199-94E0-437F-8BD5-CE00B268AAE4}"/>
            </a:ext>
          </a:extLst>
        </xdr:cNvPr>
        <xdr:cNvCxnSpPr>
          <a:cxnSpLocks noChangeAspect="1"/>
        </xdr:cNvCxnSpPr>
      </xdr:nvCxnSpPr>
      <xdr:spPr>
        <a:xfrm>
          <a:off x="6439949" y="3770301"/>
          <a:ext cx="612784" cy="253059"/>
        </a:xfrm>
        <a:prstGeom prst="line">
          <a:avLst/>
        </a:prstGeom>
        <a:ln w="6350">
          <a:solidFill>
            <a:srgbClr val="C00000"/>
          </a:solidFill>
          <a:tail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178987</xdr:colOff>
      <xdr:row>21</xdr:row>
      <xdr:rowOff>137624</xdr:rowOff>
    </xdr:from>
    <xdr:to>
      <xdr:col>7</xdr:col>
      <xdr:colOff>620812</xdr:colOff>
      <xdr:row>22</xdr:row>
      <xdr:rowOff>84381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5BF24A62-FDB4-4FB5-A603-4B5A738CE4A5}"/>
            </a:ext>
          </a:extLst>
        </xdr:cNvPr>
        <xdr:cNvSpPr>
          <a:spLocks noChangeAspect="1"/>
        </xdr:cNvSpPr>
      </xdr:nvSpPr>
      <xdr:spPr>
        <a:xfrm rot="1020000" flipV="1">
          <a:off x="4019467" y="3978104"/>
          <a:ext cx="1081905" cy="12963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9525</xdr:colOff>
      <xdr:row>18</xdr:row>
      <xdr:rowOff>82552</xdr:rowOff>
    </xdr:from>
    <xdr:to>
      <xdr:col>9</xdr:col>
      <xdr:colOff>0</xdr:colOff>
      <xdr:row>27</xdr:row>
      <xdr:rowOff>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EC47606E-1E9D-4E6E-86B4-6E6AD7F9B228}"/>
            </a:ext>
          </a:extLst>
        </xdr:cNvPr>
        <xdr:cNvCxnSpPr/>
      </xdr:nvCxnSpPr>
      <xdr:spPr>
        <a:xfrm flipV="1">
          <a:off x="1289685" y="3374392"/>
          <a:ext cx="4471035" cy="1563368"/>
        </a:xfrm>
        <a:prstGeom prst="line">
          <a:avLst/>
        </a:prstGeom>
        <a:ln w="6350"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83820</xdr:rowOff>
    </xdr:from>
    <xdr:to>
      <xdr:col>8</xdr:col>
      <xdr:colOff>613410</xdr:colOff>
      <xdr:row>25</xdr:row>
      <xdr:rowOff>13607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C966BE84-2D59-4DC0-899A-C51DC009E63A}"/>
            </a:ext>
          </a:extLst>
        </xdr:cNvPr>
        <xdr:cNvCxnSpPr/>
      </xdr:nvCxnSpPr>
      <xdr:spPr>
        <a:xfrm flipV="1">
          <a:off x="3840480" y="3375660"/>
          <a:ext cx="1893570" cy="1209947"/>
        </a:xfrm>
        <a:prstGeom prst="line">
          <a:avLst/>
        </a:prstGeom>
        <a:ln w="63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282361</xdr:colOff>
      <xdr:row>21</xdr:row>
      <xdr:rowOff>97300</xdr:rowOff>
    </xdr:from>
    <xdr:to>
      <xdr:col>7</xdr:col>
      <xdr:colOff>248761</xdr:colOff>
      <xdr:row>22</xdr:row>
      <xdr:rowOff>48700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A5102632-09F4-4709-8A91-BD621B0476DE}"/>
            </a:ext>
          </a:extLst>
        </xdr:cNvPr>
        <xdr:cNvCxnSpPr/>
      </xdr:nvCxnSpPr>
      <xdr:spPr>
        <a:xfrm>
          <a:off x="4122841" y="3937780"/>
          <a:ext cx="606480" cy="134280"/>
        </a:xfrm>
        <a:prstGeom prst="line">
          <a:avLst/>
        </a:prstGeom>
        <a:ln w="635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167217</xdr:colOff>
      <xdr:row>22</xdr:row>
      <xdr:rowOff>36063</xdr:rowOff>
    </xdr:from>
    <xdr:to>
      <xdr:col>8</xdr:col>
      <xdr:colOff>624840</xdr:colOff>
      <xdr:row>23</xdr:row>
      <xdr:rowOff>152400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B2B22D17-8F9F-4655-BA37-87F1E754AB9B}"/>
            </a:ext>
          </a:extLst>
        </xdr:cNvPr>
        <xdr:cNvCxnSpPr/>
      </xdr:nvCxnSpPr>
      <xdr:spPr>
        <a:xfrm>
          <a:off x="4647777" y="4059423"/>
          <a:ext cx="1097703" cy="299217"/>
        </a:xfrm>
        <a:prstGeom prst="line">
          <a:avLst/>
        </a:prstGeom>
        <a:ln w="6350">
          <a:solidFill>
            <a:schemeClr val="tx1"/>
          </a:solidFill>
          <a:headEnd type="stealth" w="sm" len="lg"/>
          <a:tailEnd type="none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566351</xdr:colOff>
      <xdr:row>20</xdr:row>
      <xdr:rowOff>103243</xdr:rowOff>
    </xdr:from>
    <xdr:to>
      <xdr:col>10</xdr:col>
      <xdr:colOff>12989</xdr:colOff>
      <xdr:row>20</xdr:row>
      <xdr:rowOff>103243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8BEF6ED2-DC30-49CD-8C6E-582E45F3C07D}"/>
            </a:ext>
          </a:extLst>
        </xdr:cNvPr>
        <xdr:cNvCxnSpPr/>
      </xdr:nvCxnSpPr>
      <xdr:spPr>
        <a:xfrm flipH="1" flipV="1">
          <a:off x="5046911" y="3760843"/>
          <a:ext cx="1366878" cy="0"/>
        </a:xfrm>
        <a:prstGeom prst="line">
          <a:avLst/>
        </a:prstGeom>
        <a:ln w="635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3247</xdr:colOff>
      <xdr:row>20</xdr:row>
      <xdr:rowOff>101794</xdr:rowOff>
    </xdr:from>
    <xdr:to>
      <xdr:col>8</xdr:col>
      <xdr:colOff>0</xdr:colOff>
      <xdr:row>22</xdr:row>
      <xdr:rowOff>2021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BB2733B1-1747-4145-8FC0-9578365E21B7}"/>
            </a:ext>
          </a:extLst>
        </xdr:cNvPr>
        <xdr:cNvCxnSpPr/>
      </xdr:nvCxnSpPr>
      <xdr:spPr>
        <a:xfrm flipV="1">
          <a:off x="4483807" y="3759394"/>
          <a:ext cx="636833" cy="265987"/>
        </a:xfrm>
        <a:prstGeom prst="line">
          <a:avLst/>
        </a:prstGeom>
        <a:ln w="6350">
          <a:solidFill>
            <a:srgbClr val="C00000"/>
          </a:solidFill>
          <a:headEnd type="none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202583</xdr:colOff>
      <xdr:row>21</xdr:row>
      <xdr:rowOff>67421</xdr:rowOff>
    </xdr:from>
    <xdr:to>
      <xdr:col>11</xdr:col>
      <xdr:colOff>440984</xdr:colOff>
      <xdr:row>21</xdr:row>
      <xdr:rowOff>92975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00BE63D7-24DB-404C-9434-E2B525C3F83E}"/>
            </a:ext>
          </a:extLst>
        </xdr:cNvPr>
        <xdr:cNvCxnSpPr>
          <a:stCxn id="9" idx="2"/>
          <a:endCxn id="3" idx="6"/>
        </xdr:cNvCxnSpPr>
      </xdr:nvCxnSpPr>
      <xdr:spPr>
        <a:xfrm>
          <a:off x="4043063" y="3907901"/>
          <a:ext cx="3438801" cy="25554"/>
        </a:xfrm>
        <a:prstGeom prst="line">
          <a:avLst/>
        </a:prstGeom>
        <a:ln w="6350">
          <a:prstDash val="dashDot"/>
          <a:headEnd type="stealth" w="sm" len="lg"/>
          <a:tailEnd type="stealth" w="sm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605837</xdr:colOff>
      <xdr:row>22</xdr:row>
      <xdr:rowOff>162762</xdr:rowOff>
    </xdr:from>
    <xdr:to>
      <xdr:col>10</xdr:col>
      <xdr:colOff>18694</xdr:colOff>
      <xdr:row>22</xdr:row>
      <xdr:rowOff>162762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8DA1FF32-673B-4F43-B688-0A45B11D6A9A}"/>
            </a:ext>
          </a:extLst>
        </xdr:cNvPr>
        <xdr:cNvCxnSpPr/>
      </xdr:nvCxnSpPr>
      <xdr:spPr>
        <a:xfrm flipV="1">
          <a:off x="5086397" y="4186122"/>
          <a:ext cx="1333097" cy="0"/>
        </a:xfrm>
        <a:prstGeom prst="line">
          <a:avLst/>
        </a:prstGeom>
        <a:ln w="6350">
          <a:solidFill>
            <a:schemeClr val="tx1"/>
          </a:solidFill>
          <a:prstDash val="dashDot"/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634365</xdr:colOff>
      <xdr:row>17</xdr:row>
      <xdr:rowOff>1904</xdr:rowOff>
    </xdr:from>
    <xdr:to>
      <xdr:col>8</xdr:col>
      <xdr:colOff>634365</xdr:colOff>
      <xdr:row>29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95825DD-3BEE-40EA-B4CA-C1D12211C5B8}"/>
            </a:ext>
          </a:extLst>
        </xdr:cNvPr>
        <xdr:cNvCxnSpPr/>
      </xdr:nvCxnSpPr>
      <xdr:spPr>
        <a:xfrm>
          <a:off x="5755005" y="3110864"/>
          <a:ext cx="0" cy="21926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23</xdr:row>
      <xdr:rowOff>179070</xdr:rowOff>
    </xdr:from>
    <xdr:to>
      <xdr:col>16</xdr:col>
      <xdr:colOff>585525</xdr:colOff>
      <xdr:row>23</xdr:row>
      <xdr:rowOff>179070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F3E10012-2817-424C-828A-EFC03587ABD4}"/>
            </a:ext>
          </a:extLst>
        </xdr:cNvPr>
        <xdr:cNvCxnSpPr/>
      </xdr:nvCxnSpPr>
      <xdr:spPr>
        <a:xfrm>
          <a:off x="649605" y="4385310"/>
          <a:ext cx="101772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8658</xdr:colOff>
      <xdr:row>22</xdr:row>
      <xdr:rowOff>0</xdr:rowOff>
    </xdr:from>
    <xdr:to>
      <xdr:col>11</xdr:col>
      <xdr:colOff>10237</xdr:colOff>
      <xdr:row>22</xdr:row>
      <xdr:rowOff>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A9D9D5D0-A963-4842-A635-48483BCE49C4}"/>
            </a:ext>
          </a:extLst>
        </xdr:cNvPr>
        <xdr:cNvCxnSpPr/>
      </xdr:nvCxnSpPr>
      <xdr:spPr>
        <a:xfrm>
          <a:off x="4489218" y="4023360"/>
          <a:ext cx="2561899" cy="0"/>
        </a:xfrm>
        <a:prstGeom prst="line">
          <a:avLst/>
        </a:prstGeom>
        <a:ln w="6350">
          <a:prstDash val="dashDot"/>
          <a:headEnd type="stealth" w="sm" len="lg"/>
          <a:tailEnd type="stealth" w="sm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624992</xdr:colOff>
      <xdr:row>22</xdr:row>
      <xdr:rowOff>157578</xdr:rowOff>
    </xdr:from>
    <xdr:to>
      <xdr:col>9</xdr:col>
      <xdr:colOff>624992</xdr:colOff>
      <xdr:row>23</xdr:row>
      <xdr:rowOff>219100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7DB030DD-4BD4-42FC-8F67-222DCA8331E7}"/>
            </a:ext>
          </a:extLst>
        </xdr:cNvPr>
        <xdr:cNvCxnSpPr>
          <a:stCxn id="3" idx="2"/>
        </xdr:cNvCxnSpPr>
      </xdr:nvCxnSpPr>
      <xdr:spPr>
        <a:xfrm>
          <a:off x="6385712" y="4180938"/>
          <a:ext cx="0" cy="206302"/>
        </a:xfrm>
        <a:prstGeom prst="line">
          <a:avLst/>
        </a:prstGeom>
        <a:ln w="635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606237</xdr:colOff>
      <xdr:row>22</xdr:row>
      <xdr:rowOff>153255</xdr:rowOff>
    </xdr:from>
    <xdr:to>
      <xdr:col>7</xdr:col>
      <xdr:colOff>606273</xdr:colOff>
      <xdr:row>23</xdr:row>
      <xdr:rowOff>211534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8897788F-C9A0-4172-B182-4AC1782138E3}"/>
            </a:ext>
          </a:extLst>
        </xdr:cNvPr>
        <xdr:cNvCxnSpPr/>
      </xdr:nvCxnSpPr>
      <xdr:spPr>
        <a:xfrm flipH="1">
          <a:off x="5086797" y="4176615"/>
          <a:ext cx="36" cy="210679"/>
        </a:xfrm>
        <a:prstGeom prst="line">
          <a:avLst/>
        </a:prstGeom>
        <a:ln w="635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440919</xdr:colOff>
      <xdr:row>21</xdr:row>
      <xdr:rowOff>92482</xdr:rowOff>
    </xdr:from>
    <xdr:to>
      <xdr:col>11</xdr:col>
      <xdr:colOff>440919</xdr:colOff>
      <xdr:row>23</xdr:row>
      <xdr:rowOff>220846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6A43F209-9B4B-4129-9145-F2C544DA54F8}"/>
            </a:ext>
          </a:extLst>
        </xdr:cNvPr>
        <xdr:cNvCxnSpPr>
          <a:stCxn id="3" idx="6"/>
        </xdr:cNvCxnSpPr>
      </xdr:nvCxnSpPr>
      <xdr:spPr>
        <a:xfrm>
          <a:off x="7481799" y="3932962"/>
          <a:ext cx="0" cy="456024"/>
        </a:xfrm>
        <a:prstGeom prst="straightConnector1">
          <a:avLst/>
        </a:prstGeom>
        <a:ln w="635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202583</xdr:colOff>
      <xdr:row>21</xdr:row>
      <xdr:rowOff>67421</xdr:rowOff>
    </xdr:from>
    <xdr:to>
      <xdr:col>6</xdr:col>
      <xdr:colOff>204246</xdr:colOff>
      <xdr:row>24</xdr:row>
      <xdr:rowOff>19587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5C594551-79DD-4DD8-BAC3-E581D7AD721A}"/>
            </a:ext>
          </a:extLst>
        </xdr:cNvPr>
        <xdr:cNvCxnSpPr>
          <a:stCxn id="9" idx="2"/>
        </xdr:cNvCxnSpPr>
      </xdr:nvCxnSpPr>
      <xdr:spPr>
        <a:xfrm>
          <a:off x="4043063" y="3907901"/>
          <a:ext cx="1663" cy="500806"/>
        </a:xfrm>
        <a:prstGeom prst="straightConnector1">
          <a:avLst/>
        </a:prstGeom>
        <a:ln w="635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5602</xdr:colOff>
      <xdr:row>21</xdr:row>
      <xdr:rowOff>224118</xdr:rowOff>
    </xdr:from>
    <xdr:to>
      <xdr:col>7</xdr:col>
      <xdr:colOff>5602</xdr:colOff>
      <xdr:row>23</xdr:row>
      <xdr:rowOff>214676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B53E727D-8E1C-45C4-B98D-6E18E9CE4B53}"/>
            </a:ext>
          </a:extLst>
        </xdr:cNvPr>
        <xdr:cNvCxnSpPr/>
      </xdr:nvCxnSpPr>
      <xdr:spPr>
        <a:xfrm>
          <a:off x="4486162" y="4022688"/>
          <a:ext cx="0" cy="367748"/>
        </a:xfrm>
        <a:prstGeom prst="straightConnector1">
          <a:avLst/>
        </a:prstGeom>
        <a:ln>
          <a:tailEnd type="stealth" w="sm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</xdr:colOff>
      <xdr:row>21</xdr:row>
      <xdr:rowOff>225239</xdr:rowOff>
    </xdr:from>
    <xdr:to>
      <xdr:col>11</xdr:col>
      <xdr:colOff>1120</xdr:colOff>
      <xdr:row>23</xdr:row>
      <xdr:rowOff>215797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A51D0557-F9E4-457E-8872-2AD4C8043721}"/>
            </a:ext>
          </a:extLst>
        </xdr:cNvPr>
        <xdr:cNvCxnSpPr/>
      </xdr:nvCxnSpPr>
      <xdr:spPr>
        <a:xfrm>
          <a:off x="7042000" y="4023809"/>
          <a:ext cx="0" cy="363938"/>
        </a:xfrm>
        <a:prstGeom prst="straightConnector1">
          <a:avLst/>
        </a:prstGeom>
        <a:ln>
          <a:tailEnd type="stealth" w="sm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596900</xdr:colOff>
      <xdr:row>15</xdr:row>
      <xdr:rowOff>104775</xdr:rowOff>
    </xdr:from>
    <xdr:to>
      <xdr:col>25</xdr:col>
      <xdr:colOff>38100</xdr:colOff>
      <xdr:row>26</xdr:row>
      <xdr:rowOff>98425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F84B6F05-ED76-4675-B341-7C4AC97EB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17318</xdr:colOff>
      <xdr:row>31</xdr:row>
      <xdr:rowOff>58882</xdr:rowOff>
    </xdr:from>
    <xdr:to>
      <xdr:col>13</xdr:col>
      <xdr:colOff>17318</xdr:colOff>
      <xdr:row>31</xdr:row>
      <xdr:rowOff>76200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2C331E32-7A40-4F40-AE6A-52DBE261B39D}"/>
            </a:ext>
          </a:extLst>
        </xdr:cNvPr>
        <xdr:cNvCxnSpPr/>
      </xdr:nvCxnSpPr>
      <xdr:spPr>
        <a:xfrm flipV="1">
          <a:off x="7698278" y="572816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64076</xdr:colOff>
      <xdr:row>0</xdr:row>
      <xdr:rowOff>131617</xdr:rowOff>
    </xdr:from>
    <xdr:to>
      <xdr:col>7</xdr:col>
      <xdr:colOff>464128</xdr:colOff>
      <xdr:row>15</xdr:row>
      <xdr:rowOff>65809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90F91CD-3D8F-4427-B5A7-3A40B7A0A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358140</xdr:colOff>
      <xdr:row>1</xdr:row>
      <xdr:rowOff>121920</xdr:rowOff>
    </xdr:from>
    <xdr:to>
      <xdr:col>22</xdr:col>
      <xdr:colOff>449580</xdr:colOff>
      <xdr:row>16</xdr:row>
      <xdr:rowOff>45720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1338E3-712F-4CCA-922E-8BB521F5D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90054</xdr:rowOff>
    </xdr:from>
    <xdr:to>
      <xdr:col>10</xdr:col>
      <xdr:colOff>166255</xdr:colOff>
      <xdr:row>20</xdr:row>
      <xdr:rowOff>304799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1A9F9A09-9E10-E0A4-ED68-4645878B1D7D}"/>
            </a:ext>
          </a:extLst>
        </xdr:cNvPr>
        <xdr:cNvSpPr/>
      </xdr:nvSpPr>
      <xdr:spPr>
        <a:xfrm>
          <a:off x="0" y="90054"/>
          <a:ext cx="7786255" cy="394854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353291</xdr:colOff>
      <xdr:row>0</xdr:row>
      <xdr:rowOff>55418</xdr:rowOff>
    </xdr:from>
    <xdr:to>
      <xdr:col>23</xdr:col>
      <xdr:colOff>193964</xdr:colOff>
      <xdr:row>20</xdr:row>
      <xdr:rowOff>304800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BD2B68D9-69A1-5473-F090-DB89735B95FB}"/>
            </a:ext>
          </a:extLst>
        </xdr:cNvPr>
        <xdr:cNvSpPr/>
      </xdr:nvSpPr>
      <xdr:spPr>
        <a:xfrm>
          <a:off x="7973291" y="55418"/>
          <a:ext cx="8125691" cy="398318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62345</xdr:colOff>
      <xdr:row>20</xdr:row>
      <xdr:rowOff>644236</xdr:rowOff>
    </xdr:from>
    <xdr:to>
      <xdr:col>14</xdr:col>
      <xdr:colOff>41564</xdr:colOff>
      <xdr:row>35</xdr:row>
      <xdr:rowOff>90055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43A07C07-FAE6-7DAD-4ACC-3C6A8772BD5A}"/>
            </a:ext>
          </a:extLst>
        </xdr:cNvPr>
        <xdr:cNvSpPr/>
      </xdr:nvSpPr>
      <xdr:spPr>
        <a:xfrm>
          <a:off x="62345" y="4378036"/>
          <a:ext cx="10148455" cy="400396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24246</xdr:colOff>
      <xdr:row>20</xdr:row>
      <xdr:rowOff>935181</xdr:rowOff>
    </xdr:from>
    <xdr:to>
      <xdr:col>13</xdr:col>
      <xdr:colOff>135083</xdr:colOff>
      <xdr:row>30</xdr:row>
      <xdr:rowOff>76199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B6538E6-43CF-CC85-46CA-2E694CBFE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246254</xdr:colOff>
      <xdr:row>14</xdr:row>
      <xdr:rowOff>144403</xdr:rowOff>
    </xdr:from>
    <xdr:to>
      <xdr:col>10</xdr:col>
      <xdr:colOff>280737</xdr:colOff>
      <xdr:row>18</xdr:row>
      <xdr:rowOff>88479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4087677" y="5541248"/>
          <a:ext cx="2595431" cy="729643"/>
        </a:xfrm>
        <a:prstGeom prst="line">
          <a:avLst/>
        </a:prstGeom>
        <a:ln>
          <a:solidFill>
            <a:srgbClr val="C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288851</xdr:colOff>
      <xdr:row>5</xdr:row>
      <xdr:rowOff>147336</xdr:rowOff>
    </xdr:from>
    <xdr:to>
      <xdr:col>10</xdr:col>
      <xdr:colOff>316065</xdr:colOff>
      <xdr:row>31</xdr:row>
      <xdr:rowOff>177968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H="1">
          <a:off x="6711422" y="1072622"/>
          <a:ext cx="27214" cy="465706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17318</xdr:colOff>
      <xdr:row>29</xdr:row>
      <xdr:rowOff>58882</xdr:rowOff>
    </xdr:from>
    <xdr:to>
      <xdr:col>2</xdr:col>
      <xdr:colOff>17318</xdr:colOff>
      <xdr:row>29</xdr:row>
      <xdr:rowOff>76200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7698278" y="588818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8965</xdr:colOff>
      <xdr:row>8</xdr:row>
      <xdr:rowOff>8965</xdr:rowOff>
    </xdr:from>
    <xdr:to>
      <xdr:col>10</xdr:col>
      <xdr:colOff>8965</xdr:colOff>
      <xdr:row>18</xdr:row>
      <xdr:rowOff>16929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423B3542-1A8F-47D4-A65B-43335A2766B7}"/>
            </a:ext>
          </a:extLst>
        </xdr:cNvPr>
        <xdr:cNvCxnSpPr/>
      </xdr:nvCxnSpPr>
      <xdr:spPr>
        <a:xfrm>
          <a:off x="6418730" y="4235824"/>
          <a:ext cx="0" cy="195778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155122</xdr:rowOff>
    </xdr:from>
    <xdr:to>
      <xdr:col>9</xdr:col>
      <xdr:colOff>312965</xdr:colOff>
      <xdr:row>15</xdr:row>
      <xdr:rowOff>2722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5863F06D-9F5C-53B0-EE0D-59C44C908C3F}"/>
            </a:ext>
          </a:extLst>
        </xdr:cNvPr>
        <xdr:cNvCxnSpPr/>
      </xdr:nvCxnSpPr>
      <xdr:spPr>
        <a:xfrm flipV="1">
          <a:off x="3211286" y="5184322"/>
          <a:ext cx="2881993" cy="435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10</xdr:row>
      <xdr:rowOff>73478</xdr:rowOff>
    </xdr:from>
    <xdr:to>
      <xdr:col>8</xdr:col>
      <xdr:colOff>76200</xdr:colOff>
      <xdr:row>10</xdr:row>
      <xdr:rowOff>81642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59F8C8DE-BA5B-38F8-4795-159DFF8C034F}"/>
            </a:ext>
          </a:extLst>
        </xdr:cNvPr>
        <xdr:cNvCxnSpPr/>
      </xdr:nvCxnSpPr>
      <xdr:spPr>
        <a:xfrm flipV="1">
          <a:off x="5192486" y="4642757"/>
          <a:ext cx="0" cy="81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484415</xdr:colOff>
      <xdr:row>8</xdr:row>
      <xdr:rowOff>99060</xdr:rowOff>
    </xdr:from>
    <xdr:to>
      <xdr:col>9</xdr:col>
      <xdr:colOff>587285</xdr:colOff>
      <xdr:row>25</xdr:row>
      <xdr:rowOff>24493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76EAAD59-D167-A45E-BAD0-0F196A64AD46}"/>
            </a:ext>
          </a:extLst>
        </xdr:cNvPr>
        <xdr:cNvCxnSpPr/>
      </xdr:nvCxnSpPr>
      <xdr:spPr>
        <a:xfrm flipV="1">
          <a:off x="4337958" y="4355374"/>
          <a:ext cx="2029641" cy="32020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206556</xdr:colOff>
      <xdr:row>9</xdr:row>
      <xdr:rowOff>114209</xdr:rowOff>
    </xdr:from>
    <xdr:to>
      <xdr:col>13</xdr:col>
      <xdr:colOff>92256</xdr:colOff>
      <xdr:row>28</xdr:row>
      <xdr:rowOff>172629</xdr:rowOff>
    </xdr:to>
    <xdr:grpSp>
      <xdr:nvGrpSpPr>
        <xdr:cNvPr id="45" name="Группа 44">
          <a:extLst>
            <a:ext uri="{FF2B5EF4-FFF2-40B4-BE49-F238E27FC236}">
              <a16:creationId xmlns:a16="http://schemas.microsoft.com/office/drawing/2014/main" id="{6712D25F-E76D-481D-0882-5CB3661337D6}"/>
            </a:ext>
          </a:extLst>
        </xdr:cNvPr>
        <xdr:cNvGrpSpPr/>
      </xdr:nvGrpSpPr>
      <xdr:grpSpPr>
        <a:xfrm>
          <a:off x="846260" y="1765209"/>
          <a:ext cx="7562144" cy="3543864"/>
          <a:chOff x="1156335" y="4541520"/>
          <a:chExt cx="7543800" cy="3703320"/>
        </a:xfrm>
      </xdr:grpSpPr>
      <xdr:cxnSp macro="">
        <xdr:nvCxnSpPr>
          <xdr:cNvPr id="116" name="Прямая соединительная линия 115">
            <a:extLst>
              <a:ext uri="{FF2B5EF4-FFF2-40B4-BE49-F238E27FC236}">
                <a16:creationId xmlns:a16="http://schemas.microsoft.com/office/drawing/2014/main" id="{C66A9DA1-3C47-419F-929F-D038C0221953}"/>
              </a:ext>
            </a:extLst>
          </xdr:cNvPr>
          <xdr:cNvCxnSpPr/>
        </xdr:nvCxnSpPr>
        <xdr:spPr>
          <a:xfrm flipH="1">
            <a:off x="5417820" y="4670111"/>
            <a:ext cx="8480" cy="3574729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Прямая соединительная линия 128">
            <a:extLst>
              <a:ext uri="{FF2B5EF4-FFF2-40B4-BE49-F238E27FC236}">
                <a16:creationId xmlns:a16="http://schemas.microsoft.com/office/drawing/2014/main" id="{E2D4E75F-7290-F97D-626C-ED66C6414B7B}"/>
              </a:ext>
            </a:extLst>
          </xdr:cNvPr>
          <xdr:cNvCxnSpPr/>
        </xdr:nvCxnSpPr>
        <xdr:spPr>
          <a:xfrm flipV="1">
            <a:off x="1156335" y="4541520"/>
            <a:ext cx="7543800" cy="14859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9" name="Прямая соединительная линия 198">
            <a:extLst>
              <a:ext uri="{FF2B5EF4-FFF2-40B4-BE49-F238E27FC236}">
                <a16:creationId xmlns:a16="http://schemas.microsoft.com/office/drawing/2014/main" id="{3A9360C0-E1C3-37C8-263A-0542C1E75F85}"/>
              </a:ext>
            </a:extLst>
          </xdr:cNvPr>
          <xdr:cNvCxnSpPr/>
        </xdr:nvCxnSpPr>
        <xdr:spPr>
          <a:xfrm>
            <a:off x="2602775" y="5113708"/>
            <a:ext cx="4437289" cy="136398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Овал 15">
            <a:extLst>
              <a:ext uri="{FF2B5EF4-FFF2-40B4-BE49-F238E27FC236}">
                <a16:creationId xmlns:a16="http://schemas.microsoft.com/office/drawing/2014/main" id="{33E02320-9062-428E-B8A1-AA9B9B9C4E42}"/>
              </a:ext>
            </a:extLst>
          </xdr:cNvPr>
          <xdr:cNvSpPr/>
        </xdr:nvSpPr>
        <xdr:spPr>
          <a:xfrm rot="1020000">
            <a:off x="3798819" y="5622975"/>
            <a:ext cx="1658388" cy="182858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9" name="Овал 28">
            <a:extLst>
              <a:ext uri="{FF2B5EF4-FFF2-40B4-BE49-F238E27FC236}">
                <a16:creationId xmlns:a16="http://schemas.microsoft.com/office/drawing/2014/main" id="{D11D3788-ED09-4AD1-8559-53B7DD178E07}"/>
              </a:ext>
            </a:extLst>
          </xdr:cNvPr>
          <xdr:cNvSpPr/>
        </xdr:nvSpPr>
        <xdr:spPr>
          <a:xfrm rot="8940000">
            <a:off x="4615908" y="5363385"/>
            <a:ext cx="1219464" cy="181905"/>
          </a:xfrm>
          <a:prstGeom prst="ellipse">
            <a:avLst/>
          </a:prstGeom>
          <a:noFill/>
          <a:ln w="6350">
            <a:solidFill>
              <a:srgbClr val="00B0F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383721</xdr:colOff>
      <xdr:row>8</xdr:row>
      <xdr:rowOff>130630</xdr:rowOff>
    </xdr:from>
    <xdr:to>
      <xdr:col>12</xdr:col>
      <xdr:colOff>525235</xdr:colOff>
      <xdr:row>18</xdr:row>
      <xdr:rowOff>187779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2DEB6CEB-8076-488B-B2AA-1028E9B025F2}"/>
            </a:ext>
          </a:extLst>
        </xdr:cNvPr>
        <xdr:cNvCxnSpPr/>
      </xdr:nvCxnSpPr>
      <xdr:spPr>
        <a:xfrm flipV="1">
          <a:off x="3595007" y="4386944"/>
          <a:ext cx="4637314" cy="2005692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212501</xdr:colOff>
      <xdr:row>12</xdr:row>
      <xdr:rowOff>92298</xdr:rowOff>
    </xdr:from>
    <xdr:to>
      <xdr:col>8</xdr:col>
      <xdr:colOff>392501</xdr:colOff>
      <xdr:row>17</xdr:row>
      <xdr:rowOff>112419</xdr:rowOff>
    </xdr:to>
    <xdr:sp macro="" textlink="">
      <xdr:nvSpPr>
        <xdr:cNvPr id="79" name="Овал 78">
          <a:extLst>
            <a:ext uri="{FF2B5EF4-FFF2-40B4-BE49-F238E27FC236}">
              <a16:creationId xmlns:a16="http://schemas.microsoft.com/office/drawing/2014/main" id="{6BA1940F-84FB-4119-99C2-FDBD6759CD0E}"/>
            </a:ext>
          </a:extLst>
        </xdr:cNvPr>
        <xdr:cNvSpPr/>
      </xdr:nvSpPr>
      <xdr:spPr>
        <a:xfrm rot="7860000">
          <a:off x="4940640" y="5531416"/>
          <a:ext cx="999835" cy="180000"/>
        </a:xfrm>
        <a:prstGeom prst="ellipse">
          <a:avLst/>
        </a:prstGeom>
        <a:noFill/>
        <a:ln w="635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304277</xdr:colOff>
      <xdr:row>12</xdr:row>
      <xdr:rowOff>32926</xdr:rowOff>
    </xdr:from>
    <xdr:to>
      <xdr:col>8</xdr:col>
      <xdr:colOff>455872</xdr:colOff>
      <xdr:row>16</xdr:row>
      <xdr:rowOff>155219</xdr:rowOff>
    </xdr:to>
    <xdr:grpSp>
      <xdr:nvGrpSpPr>
        <xdr:cNvPr id="42" name="Группа 41">
          <a:extLst>
            <a:ext uri="{FF2B5EF4-FFF2-40B4-BE49-F238E27FC236}">
              <a16:creationId xmlns:a16="http://schemas.microsoft.com/office/drawing/2014/main" id="{9871D51F-45FD-E13C-06F8-223A7BA67994}"/>
            </a:ext>
          </a:extLst>
        </xdr:cNvPr>
        <xdr:cNvGrpSpPr/>
      </xdr:nvGrpSpPr>
      <xdr:grpSpPr>
        <a:xfrm>
          <a:off x="3502796" y="2234259"/>
          <a:ext cx="2070706" cy="856071"/>
          <a:chOff x="3823084" y="5175746"/>
          <a:chExt cx="2078367" cy="927835"/>
        </a:xfrm>
      </xdr:grpSpPr>
      <xdr:sp macro="" textlink="">
        <xdr:nvSpPr>
          <xdr:cNvPr id="197" name="Овал 196">
            <a:extLst>
              <a:ext uri="{FF2B5EF4-FFF2-40B4-BE49-F238E27FC236}">
                <a16:creationId xmlns:a16="http://schemas.microsoft.com/office/drawing/2014/main" id="{C6009F52-56B7-B3EB-AC33-FD0560ABFCD9}"/>
              </a:ext>
            </a:extLst>
          </xdr:cNvPr>
          <xdr:cNvSpPr/>
        </xdr:nvSpPr>
        <xdr:spPr>
          <a:xfrm rot="7380000">
            <a:off x="5049230" y="5549664"/>
            <a:ext cx="927835" cy="180000"/>
          </a:xfrm>
          <a:prstGeom prst="ellipse">
            <a:avLst/>
          </a:prstGeom>
          <a:noFill/>
          <a:ln w="6350"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6" name="Овал 25">
            <a:extLst>
              <a:ext uri="{FF2B5EF4-FFF2-40B4-BE49-F238E27FC236}">
                <a16:creationId xmlns:a16="http://schemas.microsoft.com/office/drawing/2014/main" id="{4FFD27AB-6D07-4E7F-AD1A-50825FC5F015}"/>
              </a:ext>
            </a:extLst>
          </xdr:cNvPr>
          <xdr:cNvSpPr/>
        </xdr:nvSpPr>
        <xdr:spPr>
          <a:xfrm rot="10140000">
            <a:off x="3823084" y="5345393"/>
            <a:ext cx="1950531" cy="177823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8" name="Овал 27">
            <a:extLst>
              <a:ext uri="{FF2B5EF4-FFF2-40B4-BE49-F238E27FC236}">
                <a16:creationId xmlns:a16="http://schemas.microsoft.com/office/drawing/2014/main" id="{91A2F23C-2B9C-4383-BC88-660EC8BAEAB8}"/>
              </a:ext>
            </a:extLst>
          </xdr:cNvPr>
          <xdr:cNvSpPr/>
        </xdr:nvSpPr>
        <xdr:spPr>
          <a:xfrm rot="9240000">
            <a:off x="4526526" y="5463711"/>
            <a:ext cx="1335628" cy="177823"/>
          </a:xfrm>
          <a:prstGeom prst="ellipse">
            <a:avLst/>
          </a:prstGeom>
          <a:noFill/>
          <a:ln w="6350">
            <a:solidFill>
              <a:srgbClr val="00B0F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>
              <a:solidFill>
                <a:srgbClr val="FF0000"/>
              </a:solidFill>
            </a:endParaRPr>
          </a:p>
        </xdr:txBody>
      </xdr:sp>
      <xdr:sp macro="" textlink="">
        <xdr:nvSpPr>
          <xdr:cNvPr id="77" name="Овал 76">
            <a:extLst>
              <a:ext uri="{FF2B5EF4-FFF2-40B4-BE49-F238E27FC236}">
                <a16:creationId xmlns:a16="http://schemas.microsoft.com/office/drawing/2014/main" id="{4800AD4D-8091-42B3-9D10-17486CE50B02}"/>
              </a:ext>
            </a:extLst>
          </xdr:cNvPr>
          <xdr:cNvSpPr/>
        </xdr:nvSpPr>
        <xdr:spPr>
          <a:xfrm rot="8520000">
            <a:off x="4780008" y="5512968"/>
            <a:ext cx="1121443" cy="177279"/>
          </a:xfrm>
          <a:prstGeom prst="ellipse">
            <a:avLst/>
          </a:prstGeom>
          <a:noFill/>
          <a:ln w="6350"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98" name="Овал 97">
            <a:extLst>
              <a:ext uri="{FF2B5EF4-FFF2-40B4-BE49-F238E27FC236}">
                <a16:creationId xmlns:a16="http://schemas.microsoft.com/office/drawing/2014/main" id="{26CF1A04-7091-41D4-9CA3-A9594F4E0AA5}"/>
              </a:ext>
            </a:extLst>
          </xdr:cNvPr>
          <xdr:cNvSpPr/>
        </xdr:nvSpPr>
        <xdr:spPr>
          <a:xfrm rot="9960000">
            <a:off x="4125720" y="5391819"/>
            <a:ext cx="1711842" cy="177823"/>
          </a:xfrm>
          <a:prstGeom prst="ellipse">
            <a:avLst/>
          </a:prstGeom>
          <a:noFill/>
          <a:ln w="63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2</xdr:col>
      <xdr:colOff>318137</xdr:colOff>
      <xdr:row>0</xdr:row>
      <xdr:rowOff>67603</xdr:rowOff>
    </xdr:from>
    <xdr:to>
      <xdr:col>13</xdr:col>
      <xdr:colOff>495573</xdr:colOff>
      <xdr:row>27</xdr:row>
      <xdr:rowOff>193221</xdr:rowOff>
    </xdr:to>
    <xdr:grpSp>
      <xdr:nvGrpSpPr>
        <xdr:cNvPr id="44" name="Группа 43">
          <a:extLst>
            <a:ext uri="{FF2B5EF4-FFF2-40B4-BE49-F238E27FC236}">
              <a16:creationId xmlns:a16="http://schemas.microsoft.com/office/drawing/2014/main" id="{8C648380-99B6-DDC2-3DC8-1D016EF7E0C9}"/>
            </a:ext>
          </a:extLst>
        </xdr:cNvPr>
        <xdr:cNvGrpSpPr/>
      </xdr:nvGrpSpPr>
      <xdr:grpSpPr>
        <a:xfrm>
          <a:off x="1597544" y="67603"/>
          <a:ext cx="7214177" cy="5067188"/>
          <a:chOff x="1927861" y="2972455"/>
          <a:chExt cx="7242266" cy="5216868"/>
        </a:xfrm>
      </xdr:grpSpPr>
      <xdr:cxnSp macro="">
        <xdr:nvCxnSpPr>
          <xdr:cNvPr id="120" name="Прямая соединительная линия 119">
            <a:extLst>
              <a:ext uri="{FF2B5EF4-FFF2-40B4-BE49-F238E27FC236}">
                <a16:creationId xmlns:a16="http://schemas.microsoft.com/office/drawing/2014/main" id="{B5F215DE-733C-6671-C78D-B88206B564B7}"/>
              </a:ext>
            </a:extLst>
          </xdr:cNvPr>
          <xdr:cNvCxnSpPr/>
        </xdr:nvCxnSpPr>
        <xdr:spPr>
          <a:xfrm flipV="1">
            <a:off x="1927861" y="5012327"/>
            <a:ext cx="7242266" cy="49638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Прямая соединительная линия 122">
            <a:extLst>
              <a:ext uri="{FF2B5EF4-FFF2-40B4-BE49-F238E27FC236}">
                <a16:creationId xmlns:a16="http://schemas.microsoft.com/office/drawing/2014/main" id="{AAF0BD7B-2EB0-A121-9A3D-E1755597A8AB}"/>
              </a:ext>
            </a:extLst>
          </xdr:cNvPr>
          <xdr:cNvCxnSpPr/>
        </xdr:nvCxnSpPr>
        <xdr:spPr>
          <a:xfrm flipV="1">
            <a:off x="3802745" y="4612821"/>
            <a:ext cx="3653971" cy="1345293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Прямая соединительная линия 124">
            <a:extLst>
              <a:ext uri="{FF2B5EF4-FFF2-40B4-BE49-F238E27FC236}">
                <a16:creationId xmlns:a16="http://schemas.microsoft.com/office/drawing/2014/main" id="{0FDB1EEA-639D-2365-CC13-BBC8B0B3FDAE}"/>
              </a:ext>
            </a:extLst>
          </xdr:cNvPr>
          <xdr:cNvCxnSpPr/>
        </xdr:nvCxnSpPr>
        <xdr:spPr>
          <a:xfrm flipV="1">
            <a:off x="3256463" y="4215492"/>
            <a:ext cx="4594859" cy="224245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Прямая соединительная линия 132">
            <a:extLst>
              <a:ext uri="{FF2B5EF4-FFF2-40B4-BE49-F238E27FC236}">
                <a16:creationId xmlns:a16="http://schemas.microsoft.com/office/drawing/2014/main" id="{0B07452A-9AE2-3375-A0E1-ECCF13DB7A8D}"/>
              </a:ext>
            </a:extLst>
          </xdr:cNvPr>
          <xdr:cNvCxnSpPr/>
        </xdr:nvCxnSpPr>
        <xdr:spPr>
          <a:xfrm flipV="1">
            <a:off x="3936275" y="4653098"/>
            <a:ext cx="2336074" cy="274428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Прямая соединительная линия 137">
            <a:extLst>
              <a:ext uri="{FF2B5EF4-FFF2-40B4-BE49-F238E27FC236}">
                <a16:creationId xmlns:a16="http://schemas.microsoft.com/office/drawing/2014/main" id="{B3972B47-BC12-5A1F-F568-564FD07572E9}"/>
              </a:ext>
            </a:extLst>
          </xdr:cNvPr>
          <xdr:cNvCxnSpPr>
            <a:cxnSpLocks/>
          </xdr:cNvCxnSpPr>
        </xdr:nvCxnSpPr>
        <xdr:spPr>
          <a:xfrm flipV="1">
            <a:off x="4448629" y="2972455"/>
            <a:ext cx="2392321" cy="503761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Прямая соединительная линия 143">
            <a:extLst>
              <a:ext uri="{FF2B5EF4-FFF2-40B4-BE49-F238E27FC236}">
                <a16:creationId xmlns:a16="http://schemas.microsoft.com/office/drawing/2014/main" id="{D3602D78-7DF1-44B0-A9B8-5CD67B7C859C}"/>
              </a:ext>
            </a:extLst>
          </xdr:cNvPr>
          <xdr:cNvCxnSpPr/>
        </xdr:nvCxnSpPr>
        <xdr:spPr>
          <a:xfrm>
            <a:off x="4511902" y="4700590"/>
            <a:ext cx="13835" cy="3488733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" name="Прямая соединительная линия 146">
            <a:extLst>
              <a:ext uri="{FF2B5EF4-FFF2-40B4-BE49-F238E27FC236}">
                <a16:creationId xmlns:a16="http://schemas.microsoft.com/office/drawing/2014/main" id="{2DCFC10E-2588-6327-D682-7C82916AF487}"/>
              </a:ext>
            </a:extLst>
          </xdr:cNvPr>
          <xdr:cNvCxnSpPr/>
        </xdr:nvCxnSpPr>
        <xdr:spPr>
          <a:xfrm flipV="1">
            <a:off x="3507923" y="3752850"/>
            <a:ext cx="4098471" cy="33337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6" name="Овал 135">
            <a:extLst>
              <a:ext uri="{FF2B5EF4-FFF2-40B4-BE49-F238E27FC236}">
                <a16:creationId xmlns:a16="http://schemas.microsoft.com/office/drawing/2014/main" id="{9F5A8D6B-C170-2D71-1124-793DB3186EA1}"/>
              </a:ext>
            </a:extLst>
          </xdr:cNvPr>
          <xdr:cNvSpPr/>
        </xdr:nvSpPr>
        <xdr:spPr>
          <a:xfrm rot="840000">
            <a:off x="3855292" y="5695609"/>
            <a:ext cx="1706195" cy="178185"/>
          </a:xfrm>
          <a:prstGeom prst="ellipse">
            <a:avLst/>
          </a:prstGeom>
          <a:noFill/>
          <a:ln w="127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0</xdr:col>
      <xdr:colOff>291328</xdr:colOff>
      <xdr:row>8</xdr:row>
      <xdr:rowOff>28031</xdr:rowOff>
    </xdr:from>
    <xdr:to>
      <xdr:col>12</xdr:col>
      <xdr:colOff>257038</xdr:colOff>
      <xdr:row>28</xdr:row>
      <xdr:rowOff>90079</xdr:rowOff>
    </xdr:to>
    <xdr:grpSp>
      <xdr:nvGrpSpPr>
        <xdr:cNvPr id="43" name="Группа 42">
          <a:extLst>
            <a:ext uri="{FF2B5EF4-FFF2-40B4-BE49-F238E27FC236}">
              <a16:creationId xmlns:a16="http://schemas.microsoft.com/office/drawing/2014/main" id="{6F17CEEC-9E14-8A00-4391-A088BE530C74}"/>
            </a:ext>
          </a:extLst>
        </xdr:cNvPr>
        <xdr:cNvGrpSpPr/>
      </xdr:nvGrpSpPr>
      <xdr:grpSpPr>
        <a:xfrm>
          <a:off x="291328" y="1495587"/>
          <a:ext cx="7642154" cy="3730936"/>
          <a:chOff x="617220" y="4408170"/>
          <a:chExt cx="7672796" cy="3926478"/>
        </a:xfrm>
      </xdr:grpSpPr>
      <xdr:cxnSp macro="">
        <xdr:nvCxnSpPr>
          <xdr:cNvPr id="131" name="Прямая соединительная линия 130">
            <a:extLst>
              <a:ext uri="{FF2B5EF4-FFF2-40B4-BE49-F238E27FC236}">
                <a16:creationId xmlns:a16="http://schemas.microsoft.com/office/drawing/2014/main" id="{4C3B17F5-1CFE-4829-0F0B-612A4A866AC2}"/>
              </a:ext>
            </a:extLst>
          </xdr:cNvPr>
          <xdr:cNvCxnSpPr/>
        </xdr:nvCxnSpPr>
        <xdr:spPr>
          <a:xfrm flipV="1">
            <a:off x="4028803" y="4408170"/>
            <a:ext cx="3096986" cy="1883773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Прямая соединительная линия 141">
            <a:extLst>
              <a:ext uri="{FF2B5EF4-FFF2-40B4-BE49-F238E27FC236}">
                <a16:creationId xmlns:a16="http://schemas.microsoft.com/office/drawing/2014/main" id="{24D38CB8-649F-4E1F-8E72-52CE36EB5A01}"/>
              </a:ext>
            </a:extLst>
          </xdr:cNvPr>
          <xdr:cNvCxnSpPr/>
        </xdr:nvCxnSpPr>
        <xdr:spPr>
          <a:xfrm flipH="1">
            <a:off x="4804410" y="4705490"/>
            <a:ext cx="15012" cy="357037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Прямая соединительная линия 142">
            <a:extLst>
              <a:ext uri="{FF2B5EF4-FFF2-40B4-BE49-F238E27FC236}">
                <a16:creationId xmlns:a16="http://schemas.microsoft.com/office/drawing/2014/main" id="{58240617-EE6E-40BC-8A6B-4A12C5E72E6E}"/>
              </a:ext>
            </a:extLst>
          </xdr:cNvPr>
          <xdr:cNvCxnSpPr/>
        </xdr:nvCxnSpPr>
        <xdr:spPr>
          <a:xfrm flipH="1">
            <a:off x="5138057" y="4734882"/>
            <a:ext cx="7936" cy="3599766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Прямая соединительная линия 147">
            <a:extLst>
              <a:ext uri="{FF2B5EF4-FFF2-40B4-BE49-F238E27FC236}">
                <a16:creationId xmlns:a16="http://schemas.microsoft.com/office/drawing/2014/main" id="{80749D8A-95D8-4FFB-8B09-D912B9C17305}"/>
              </a:ext>
            </a:extLst>
          </xdr:cNvPr>
          <xdr:cNvCxnSpPr/>
        </xdr:nvCxnSpPr>
        <xdr:spPr>
          <a:xfrm flipH="1">
            <a:off x="4181203" y="4655415"/>
            <a:ext cx="0" cy="280946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" name="Прямая соединительная линия 2">
            <a:extLst>
              <a:ext uri="{FF2B5EF4-FFF2-40B4-BE49-F238E27FC236}">
                <a16:creationId xmlns:a16="http://schemas.microsoft.com/office/drawing/2014/main" id="{6FE54C46-D22E-4FB4-ABD9-7A89B701D740}"/>
              </a:ext>
            </a:extLst>
          </xdr:cNvPr>
          <xdr:cNvCxnSpPr/>
        </xdr:nvCxnSpPr>
        <xdr:spPr>
          <a:xfrm flipV="1">
            <a:off x="617220" y="5115742"/>
            <a:ext cx="7672796" cy="33473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Овал 24">
            <a:extLst>
              <a:ext uri="{FF2B5EF4-FFF2-40B4-BE49-F238E27FC236}">
                <a16:creationId xmlns:a16="http://schemas.microsoft.com/office/drawing/2014/main" id="{C7BD3B01-0911-4DF0-9382-F6AC36B88A6B}"/>
              </a:ext>
            </a:extLst>
          </xdr:cNvPr>
          <xdr:cNvSpPr/>
        </xdr:nvSpPr>
        <xdr:spPr>
          <a:xfrm rot="10320000">
            <a:off x="3650888" y="5284095"/>
            <a:ext cx="2169503" cy="177823"/>
          </a:xfrm>
          <a:prstGeom prst="ellipse">
            <a:avLst/>
          </a:prstGeom>
          <a:noFill/>
          <a:ln w="63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7" name="Овал 26">
            <a:extLst>
              <a:ext uri="{FF2B5EF4-FFF2-40B4-BE49-F238E27FC236}">
                <a16:creationId xmlns:a16="http://schemas.microsoft.com/office/drawing/2014/main" id="{E90B4ADF-D27E-490D-9512-C4ACB375A151}"/>
              </a:ext>
            </a:extLst>
          </xdr:cNvPr>
          <xdr:cNvSpPr/>
        </xdr:nvSpPr>
        <xdr:spPr>
          <a:xfrm rot="9600000">
            <a:off x="4324298" y="5423107"/>
            <a:ext cx="1495842" cy="177279"/>
          </a:xfrm>
          <a:prstGeom prst="ellipse">
            <a:avLst/>
          </a:prstGeom>
          <a:noFill/>
          <a:ln w="63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>
              <a:solidFill>
                <a:srgbClr val="FF0000"/>
              </a:solidFill>
            </a:endParaRPr>
          </a:p>
        </xdr:txBody>
      </xdr:sp>
      <xdr:sp macro="" textlink="">
        <xdr:nvSpPr>
          <xdr:cNvPr id="140" name="Овал 139">
            <a:extLst>
              <a:ext uri="{FF2B5EF4-FFF2-40B4-BE49-F238E27FC236}">
                <a16:creationId xmlns:a16="http://schemas.microsoft.com/office/drawing/2014/main" id="{E1CE81C9-B21D-4BAF-9326-A616B130F69E}"/>
              </a:ext>
            </a:extLst>
          </xdr:cNvPr>
          <xdr:cNvSpPr/>
        </xdr:nvSpPr>
        <xdr:spPr>
          <a:xfrm rot="6780000">
            <a:off x="5118247" y="5571180"/>
            <a:ext cx="927835" cy="163236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3</xdr:col>
      <xdr:colOff>595993</xdr:colOff>
      <xdr:row>18</xdr:row>
      <xdr:rowOff>103416</xdr:rowOff>
    </xdr:from>
    <xdr:to>
      <xdr:col>16</xdr:col>
      <xdr:colOff>214993</xdr:colOff>
      <xdr:row>18</xdr:row>
      <xdr:rowOff>103416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35247EC1-3E07-488F-AC13-8622A17A3B16}"/>
            </a:ext>
          </a:extLst>
        </xdr:cNvPr>
        <xdr:cNvCxnSpPr/>
      </xdr:nvCxnSpPr>
      <xdr:spPr>
        <a:xfrm flipH="1">
          <a:off x="2522764" y="6308273"/>
          <a:ext cx="7968343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31</xdr:row>
      <xdr:rowOff>34531</xdr:rowOff>
    </xdr:from>
    <xdr:to>
      <xdr:col>15</xdr:col>
      <xdr:colOff>97651</xdr:colOff>
      <xdr:row>52</xdr:row>
      <xdr:rowOff>53341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21DAB43-9EF7-E76D-D85B-B3B99A79E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1271249</xdr:colOff>
      <xdr:row>2</xdr:row>
      <xdr:rowOff>8849</xdr:rowOff>
    </xdr:from>
    <xdr:to>
      <xdr:col>30</xdr:col>
      <xdr:colOff>462196</xdr:colOff>
      <xdr:row>25</xdr:row>
      <xdr:rowOff>56629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9713755-FF16-BB1F-1C55-4CC1C23EA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447674</xdr:colOff>
      <xdr:row>2</xdr:row>
      <xdr:rowOff>126998</xdr:rowOff>
    </xdr:from>
    <xdr:to>
      <xdr:col>40</xdr:col>
      <xdr:colOff>628650</xdr:colOff>
      <xdr:row>25</xdr:row>
      <xdr:rowOff>133349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F202AB0-E72E-8C7B-8E36-69CFB2D12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75</xdr:row>
      <xdr:rowOff>53340</xdr:rowOff>
    </xdr:from>
    <xdr:to>
      <xdr:col>3</xdr:col>
      <xdr:colOff>582930</xdr:colOff>
      <xdr:row>76</xdr:row>
      <xdr:rowOff>114300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7B5F37E-7D1C-CEEA-5EDA-3671D405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2900"/>
          <a:ext cx="250317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414337</xdr:colOff>
      <xdr:row>3</xdr:row>
      <xdr:rowOff>180974</xdr:rowOff>
    </xdr:from>
    <xdr:to>
      <xdr:col>21</xdr:col>
      <xdr:colOff>60960</xdr:colOff>
      <xdr:row>31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2D9719-BE21-7B8E-56F0-F847DA701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187780</xdr:colOff>
      <xdr:row>11</xdr:row>
      <xdr:rowOff>147366</xdr:rowOff>
    </xdr:from>
    <xdr:to>
      <xdr:col>18</xdr:col>
      <xdr:colOff>187780</xdr:colOff>
      <xdr:row>28</xdr:row>
      <xdr:rowOff>23813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3CEE80CC-0558-7A57-EE3E-FF5F71BC9CF2}"/>
            </a:ext>
          </a:extLst>
        </xdr:cNvPr>
        <xdr:cNvCxnSpPr/>
      </xdr:nvCxnSpPr>
      <xdr:spPr>
        <a:xfrm>
          <a:off x="13217980" y="2823891"/>
          <a:ext cx="0" cy="3010172"/>
        </a:xfrm>
        <a:prstGeom prst="straightConnector1">
          <a:avLst/>
        </a:prstGeom>
        <a:ln w="1905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318408</xdr:colOff>
      <xdr:row>6</xdr:row>
      <xdr:rowOff>170452</xdr:rowOff>
    </xdr:from>
    <xdr:to>
      <xdr:col>14</xdr:col>
      <xdr:colOff>320857</xdr:colOff>
      <xdr:row>28</xdr:row>
      <xdr:rowOff>17689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F4E8E371-951B-4235-B2DB-7943628A5358}"/>
            </a:ext>
          </a:extLst>
        </xdr:cNvPr>
        <xdr:cNvCxnSpPr/>
      </xdr:nvCxnSpPr>
      <xdr:spPr>
        <a:xfrm flipH="1">
          <a:off x="11585122" y="1797866"/>
          <a:ext cx="2449" cy="4060009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500064</xdr:colOff>
      <xdr:row>31</xdr:row>
      <xdr:rowOff>161925</xdr:rowOff>
    </xdr:from>
    <xdr:to>
      <xdr:col>21</xdr:col>
      <xdr:colOff>238127</xdr:colOff>
      <xdr:row>55</xdr:row>
      <xdr:rowOff>15239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497D010-42FC-418B-E543-74D85323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717233</xdr:colOff>
      <xdr:row>15</xdr:row>
      <xdr:rowOff>64770</xdr:rowOff>
    </xdr:from>
    <xdr:to>
      <xdr:col>21</xdr:col>
      <xdr:colOff>481013</xdr:colOff>
      <xdr:row>15</xdr:row>
      <xdr:rowOff>64770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8A66C4EE-CC52-D175-24CD-3D9FC23D9869}"/>
            </a:ext>
          </a:extLst>
        </xdr:cNvPr>
        <xdr:cNvCxnSpPr/>
      </xdr:nvCxnSpPr>
      <xdr:spPr>
        <a:xfrm>
          <a:off x="7022783" y="3522345"/>
          <a:ext cx="8402955" cy="0"/>
        </a:xfrm>
        <a:prstGeom prst="line">
          <a:avLst/>
        </a:prstGeom>
        <a:ln w="25400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35787</xdr:colOff>
      <xdr:row>4</xdr:row>
      <xdr:rowOff>645342</xdr:rowOff>
    </xdr:from>
    <xdr:to>
      <xdr:col>11</xdr:col>
      <xdr:colOff>38100</xdr:colOff>
      <xdr:row>28</xdr:row>
      <xdr:rowOff>48986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425CDE35-BAEE-25C6-F193-CB41360F18D4}"/>
            </a:ext>
          </a:extLst>
        </xdr:cNvPr>
        <xdr:cNvCxnSpPr/>
      </xdr:nvCxnSpPr>
      <xdr:spPr>
        <a:xfrm>
          <a:off x="9375730" y="1385571"/>
          <a:ext cx="2313" cy="4503601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536802</xdr:colOff>
      <xdr:row>6</xdr:row>
      <xdr:rowOff>154123</xdr:rowOff>
    </xdr:from>
    <xdr:to>
      <xdr:col>16</xdr:col>
      <xdr:colOff>536802</xdr:colOff>
      <xdr:row>27</xdr:row>
      <xdr:rowOff>182335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44A31CD9-3B42-401D-89C1-817B374BAF6A}"/>
            </a:ext>
          </a:extLst>
        </xdr:cNvPr>
        <xdr:cNvCxnSpPr/>
      </xdr:nvCxnSpPr>
      <xdr:spPr>
        <a:xfrm flipH="1">
          <a:off x="13730288" y="1781537"/>
          <a:ext cx="0" cy="4055927"/>
        </a:xfrm>
        <a:prstGeom prst="straightConnector1">
          <a:avLst/>
        </a:prstGeom>
        <a:ln w="25400">
          <a:solidFill>
            <a:srgbClr val="7030A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220435</xdr:colOff>
      <xdr:row>7</xdr:row>
      <xdr:rowOff>170905</xdr:rowOff>
    </xdr:from>
    <xdr:to>
      <xdr:col>13</xdr:col>
      <xdr:colOff>223156</xdr:colOff>
      <xdr:row>28</xdr:row>
      <xdr:rowOff>104774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93904860-E250-47CE-AD86-284B92C0D57C}"/>
            </a:ext>
          </a:extLst>
        </xdr:cNvPr>
        <xdr:cNvCxnSpPr/>
      </xdr:nvCxnSpPr>
      <xdr:spPr>
        <a:xfrm flipH="1">
          <a:off x="11482795" y="1992085"/>
          <a:ext cx="2721" cy="3941989"/>
        </a:xfrm>
        <a:prstGeom prst="straightConnector1">
          <a:avLst/>
        </a:prstGeom>
        <a:ln w="2540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121283</xdr:colOff>
      <xdr:row>9</xdr:row>
      <xdr:rowOff>165008</xdr:rowOff>
    </xdr:from>
    <xdr:to>
      <xdr:col>12</xdr:col>
      <xdr:colOff>126999</xdr:colOff>
      <xdr:row>28</xdr:row>
      <xdr:rowOff>65313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875B1554-4B31-46C7-BD55-8C686C2589E9}"/>
            </a:ext>
          </a:extLst>
        </xdr:cNvPr>
        <xdr:cNvCxnSpPr/>
      </xdr:nvCxnSpPr>
      <xdr:spPr>
        <a:xfrm>
          <a:off x="10738483" y="2381158"/>
          <a:ext cx="5716" cy="3513455"/>
        </a:xfrm>
        <a:prstGeom prst="straightConnector1">
          <a:avLst/>
        </a:prstGeom>
        <a:ln w="15875">
          <a:solidFill>
            <a:srgbClr val="002060"/>
          </a:solidFill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576670</xdr:colOff>
      <xdr:row>5</xdr:row>
      <xdr:rowOff>83367</xdr:rowOff>
    </xdr:from>
    <xdr:to>
      <xdr:col>9</xdr:col>
      <xdr:colOff>582386</xdr:colOff>
      <xdr:row>28</xdr:row>
      <xdr:rowOff>81643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1BB2F0D2-E7C5-4D17-9E17-D36850B711C1}"/>
            </a:ext>
          </a:extLst>
        </xdr:cNvPr>
        <xdr:cNvCxnSpPr/>
      </xdr:nvCxnSpPr>
      <xdr:spPr>
        <a:xfrm>
          <a:off x="8632099" y="1514838"/>
          <a:ext cx="5716" cy="4406991"/>
        </a:xfrm>
        <a:prstGeom prst="straightConnector1">
          <a:avLst/>
        </a:prstGeom>
        <a:ln w="28575">
          <a:solidFill>
            <a:srgbClr val="002060"/>
          </a:solidFill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642009</xdr:colOff>
      <xdr:row>29</xdr:row>
      <xdr:rowOff>39120</xdr:rowOff>
    </xdr:from>
    <xdr:to>
      <xdr:col>8</xdr:col>
      <xdr:colOff>642369</xdr:colOff>
      <xdr:row>29</xdr:row>
      <xdr:rowOff>43800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51" name="Рукописный ввод 50">
              <a:extLst>
                <a:ext uri="{FF2B5EF4-FFF2-40B4-BE49-F238E27FC236}">
                  <a16:creationId xmlns:a16="http://schemas.microsoft.com/office/drawing/2014/main" id="{174B8535-5CF5-8B37-AE57-2610DA1FA2B5}"/>
                </a:ext>
              </a:extLst>
            </xdr14:cNvPr>
            <xdr14:cNvContentPartPr/>
          </xdr14:nvContentPartPr>
          <xdr14:nvPr macro=""/>
          <xdr14:xfrm>
            <a:off x="7712280" y="6064363"/>
            <a:ext cx="360" cy="4680"/>
          </xdr14:xfrm>
        </xdr:contentPart>
      </mc:Choice>
      <mc:Fallback xmlns="">
        <xdr:pic>
          <xdr:nvPicPr>
            <xdr:cNvPr id="51" name="Рукописный ввод 50">
              <a:extLst>
                <a:ext uri="{FF2B5EF4-FFF2-40B4-BE49-F238E27FC236}">
                  <a16:creationId xmlns:a16="http://schemas.microsoft.com/office/drawing/2014/main" id="{174B8535-5CF5-8B37-AE57-2610DA1FA2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49640" y="5686723"/>
              <a:ext cx="126000" cy="76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435471</xdr:colOff>
      <xdr:row>26</xdr:row>
      <xdr:rowOff>54652</xdr:rowOff>
    </xdr:from>
    <xdr:to>
      <xdr:col>7</xdr:col>
      <xdr:colOff>435831</xdr:colOff>
      <xdr:row>26</xdr:row>
      <xdr:rowOff>81652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54" name="Рукописный ввод 53">
              <a:extLst>
                <a:ext uri="{FF2B5EF4-FFF2-40B4-BE49-F238E27FC236}">
                  <a16:creationId xmlns:a16="http://schemas.microsoft.com/office/drawing/2014/main" id="{7D41B961-3E26-ECF4-F640-DDE294901117}"/>
                </a:ext>
              </a:extLst>
            </xdr14:cNvPr>
            <xdr14:cNvContentPartPr/>
          </xdr14:nvContentPartPr>
          <xdr14:nvPr macro=""/>
          <xdr14:xfrm>
            <a:off x="6395400" y="5524723"/>
            <a:ext cx="360" cy="27000"/>
          </xdr14:xfrm>
        </xdr:contentPart>
      </mc:Choice>
      <mc:Fallback xmlns="">
        <xdr:pic>
          <xdr:nvPicPr>
            <xdr:cNvPr id="54" name="Рукописный ввод 53">
              <a:extLst>
                <a:ext uri="{FF2B5EF4-FFF2-40B4-BE49-F238E27FC236}">
                  <a16:creationId xmlns:a16="http://schemas.microsoft.com/office/drawing/2014/main" id="{7D41B961-3E26-ECF4-F640-DDE29490111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332400" y="5146723"/>
              <a:ext cx="126000" cy="78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326451</xdr:colOff>
      <xdr:row>26</xdr:row>
      <xdr:rowOff>152212</xdr:rowOff>
    </xdr:from>
    <xdr:to>
      <xdr:col>9</xdr:col>
      <xdr:colOff>326811</xdr:colOff>
      <xdr:row>26</xdr:row>
      <xdr:rowOff>152572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55" name="Рукописный ввод 54">
              <a:extLst>
                <a:ext uri="{FF2B5EF4-FFF2-40B4-BE49-F238E27FC236}">
                  <a16:creationId xmlns:a16="http://schemas.microsoft.com/office/drawing/2014/main" id="{05DD5458-115C-3092-BFFA-E69835B609B8}"/>
                </a:ext>
              </a:extLst>
            </xdr14:cNvPr>
            <xdr14:cNvContentPartPr/>
          </xdr14:nvContentPartPr>
          <xdr14:nvPr macro=""/>
          <xdr14:xfrm>
            <a:off x="8381880" y="5622283"/>
            <a:ext cx="360" cy="360"/>
          </xdr14:xfrm>
        </xdr:contentPart>
      </mc:Choice>
      <mc:Fallback xmlns="">
        <xdr:pic>
          <xdr:nvPicPr>
            <xdr:cNvPr id="55" name="Рукописный ввод 54">
              <a:extLst>
                <a:ext uri="{FF2B5EF4-FFF2-40B4-BE49-F238E27FC236}">
                  <a16:creationId xmlns:a16="http://schemas.microsoft.com/office/drawing/2014/main" id="{05DD5458-115C-3092-BFFA-E69835B609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19240" y="5244643"/>
              <a:ext cx="126000" cy="75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408896</xdr:colOff>
      <xdr:row>6</xdr:row>
      <xdr:rowOff>173855</xdr:rowOff>
    </xdr:from>
    <xdr:to>
      <xdr:col>15</xdr:col>
      <xdr:colOff>411345</xdr:colOff>
      <xdr:row>28</xdr:row>
      <xdr:rowOff>17010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562D6001-086B-413F-868F-1B3D0AE20EE3}"/>
            </a:ext>
          </a:extLst>
        </xdr:cNvPr>
        <xdr:cNvCxnSpPr/>
      </xdr:nvCxnSpPr>
      <xdr:spPr>
        <a:xfrm flipH="1">
          <a:off x="12317867" y="1801269"/>
          <a:ext cx="2449" cy="4055927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38</xdr:row>
      <xdr:rowOff>139700</xdr:rowOff>
    </xdr:from>
    <xdr:to>
      <xdr:col>15</xdr:col>
      <xdr:colOff>115207</xdr:colOff>
      <xdr:row>51</xdr:row>
      <xdr:rowOff>56242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3C4007F9-A7D8-92B8-07BD-C9C7D5764033}"/>
            </a:ext>
          </a:extLst>
        </xdr:cNvPr>
        <xdr:cNvCxnSpPr/>
      </xdr:nvCxnSpPr>
      <xdr:spPr>
        <a:xfrm>
          <a:off x="12655550" y="8223250"/>
          <a:ext cx="907" cy="238669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585107</xdr:colOff>
      <xdr:row>39</xdr:row>
      <xdr:rowOff>120650</xdr:rowOff>
    </xdr:from>
    <xdr:to>
      <xdr:col>13</xdr:col>
      <xdr:colOff>585107</xdr:colOff>
      <xdr:row>51</xdr:row>
      <xdr:rowOff>126092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A638F6C9-65AE-48D9-AF98-4972570660F0}"/>
            </a:ext>
          </a:extLst>
        </xdr:cNvPr>
        <xdr:cNvCxnSpPr/>
      </xdr:nvCxnSpPr>
      <xdr:spPr>
        <a:xfrm flipH="1">
          <a:off x="11843657" y="8401050"/>
          <a:ext cx="0" cy="227874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293007</xdr:colOff>
      <xdr:row>40</xdr:row>
      <xdr:rowOff>69850</xdr:rowOff>
    </xdr:from>
    <xdr:to>
      <xdr:col>16</xdr:col>
      <xdr:colOff>298450</xdr:colOff>
      <xdr:row>51</xdr:row>
      <xdr:rowOff>43542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3BB3AED4-A4AC-4E29-B9F2-8F40B88D4E0C}"/>
            </a:ext>
          </a:extLst>
        </xdr:cNvPr>
        <xdr:cNvCxnSpPr/>
      </xdr:nvCxnSpPr>
      <xdr:spPr>
        <a:xfrm flipH="1">
          <a:off x="13475607" y="8547100"/>
          <a:ext cx="5443" cy="205014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40</xdr:row>
      <xdr:rowOff>88900</xdr:rowOff>
    </xdr:from>
    <xdr:to>
      <xdr:col>16</xdr:col>
      <xdr:colOff>304800</xdr:colOff>
      <xdr:row>40</xdr:row>
      <xdr:rowOff>101600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B380DE99-0344-3B63-2925-9077FD07A87C}"/>
            </a:ext>
          </a:extLst>
        </xdr:cNvPr>
        <xdr:cNvCxnSpPr/>
      </xdr:nvCxnSpPr>
      <xdr:spPr>
        <a:xfrm flipH="1">
          <a:off x="8451850" y="8566150"/>
          <a:ext cx="5035550" cy="1270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838200</xdr:colOff>
      <xdr:row>39</xdr:row>
      <xdr:rowOff>0</xdr:rowOff>
    </xdr:from>
    <xdr:to>
      <xdr:col>15</xdr:col>
      <xdr:colOff>88900</xdr:colOff>
      <xdr:row>39</xdr:row>
      <xdr:rowOff>12700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7ADFEB00-8518-4476-B81D-57A62245F77D}"/>
            </a:ext>
          </a:extLst>
        </xdr:cNvPr>
        <xdr:cNvCxnSpPr/>
      </xdr:nvCxnSpPr>
      <xdr:spPr>
        <a:xfrm flipH="1">
          <a:off x="8547100" y="8280400"/>
          <a:ext cx="4083050" cy="1270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825500</xdr:colOff>
      <xdr:row>39</xdr:row>
      <xdr:rowOff>152400</xdr:rowOff>
    </xdr:from>
    <xdr:to>
      <xdr:col>13</xdr:col>
      <xdr:colOff>622300</xdr:colOff>
      <xdr:row>39</xdr:row>
      <xdr:rowOff>158750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49147B3A-DC40-4E9A-AD25-1EA27E903678}"/>
            </a:ext>
          </a:extLst>
        </xdr:cNvPr>
        <xdr:cNvCxnSpPr/>
      </xdr:nvCxnSpPr>
      <xdr:spPr>
        <a:xfrm flipH="1">
          <a:off x="8534400" y="8432800"/>
          <a:ext cx="3346450" cy="635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2.064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13,'0'-6,"0"0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2.713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74,'0'-5,"0"-9,0-3</inkml:trace>
  <inkml:trace contextRef="#ctx0" brushRef="#br0" timeOffset="571.57">0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4.045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225A-F230-4858-BD76-A2D44D2F63A0}">
  <dimension ref="B14:V57"/>
  <sheetViews>
    <sheetView topLeftCell="A17" zoomScale="60" zoomScaleNormal="60" workbookViewId="0">
      <selection activeCell="O38" sqref="O38"/>
    </sheetView>
  </sheetViews>
  <sheetFormatPr defaultRowHeight="18" customHeight="1" x14ac:dyDescent="0.55000000000000004"/>
  <sheetData>
    <row r="14" spans="3:18" ht="18" customHeight="1" x14ac:dyDescent="0.55000000000000004">
      <c r="M14" s="59"/>
      <c r="O14" s="59"/>
    </row>
    <row r="15" spans="3:18" ht="18" customHeight="1" x14ac:dyDescent="0.55000000000000004">
      <c r="D15" s="4"/>
      <c r="F15" s="3"/>
      <c r="G15" s="3"/>
      <c r="L15" s="4"/>
      <c r="M15" s="41"/>
      <c r="O15" s="41"/>
      <c r="P15" s="41"/>
    </row>
    <row r="16" spans="3:18" ht="18" customHeight="1" x14ac:dyDescent="0.55000000000000004">
      <c r="C16" s="3"/>
      <c r="D16" s="3"/>
      <c r="E16" s="58"/>
      <c r="F16" s="58"/>
      <c r="G16" s="58"/>
      <c r="H16" s="92"/>
      <c r="I16" s="59"/>
      <c r="J16" s="58"/>
      <c r="K16" s="58"/>
      <c r="L16" s="60"/>
      <c r="M16" s="59"/>
      <c r="N16" s="92"/>
      <c r="O16" s="130"/>
      <c r="P16" s="129"/>
      <c r="Q16" s="122"/>
      <c r="R16" s="1"/>
    </row>
    <row r="17" spans="2:22" ht="36.75" customHeight="1" x14ac:dyDescent="0.55000000000000004">
      <c r="C17" s="3"/>
      <c r="D17" s="106"/>
      <c r="E17" s="106"/>
      <c r="F17" s="106"/>
      <c r="G17" s="106"/>
      <c r="H17" s="128"/>
      <c r="I17" s="37"/>
      <c r="J17" s="106"/>
      <c r="K17" s="106"/>
      <c r="L17" s="128"/>
      <c r="M17" s="37"/>
      <c r="N17" s="128"/>
      <c r="O17" s="15"/>
      <c r="P17" s="82"/>
      <c r="Q17" s="81"/>
      <c r="R17" s="10"/>
    </row>
    <row r="18" spans="2:22" ht="18" customHeight="1" x14ac:dyDescent="0.55000000000000004">
      <c r="C18" s="3"/>
      <c r="D18" s="8"/>
      <c r="E18" s="8"/>
      <c r="F18" s="8"/>
      <c r="G18" s="8"/>
      <c r="H18" s="7"/>
      <c r="I18" s="42"/>
      <c r="J18" s="127">
        <v>6</v>
      </c>
      <c r="K18" s="8"/>
      <c r="L18" s="126"/>
      <c r="M18" s="42"/>
      <c r="N18" s="7"/>
      <c r="O18" s="18"/>
      <c r="P18" s="108"/>
      <c r="Q18" s="107"/>
      <c r="R18" s="1"/>
    </row>
    <row r="19" spans="2:22" ht="18" customHeight="1" x14ac:dyDescent="0.55000000000000004">
      <c r="C19" s="3"/>
      <c r="D19" s="125"/>
      <c r="E19" s="34"/>
      <c r="F19" s="96"/>
      <c r="G19" s="99"/>
      <c r="H19" s="124"/>
      <c r="I19" s="96"/>
      <c r="J19" s="34"/>
      <c r="K19" s="34"/>
      <c r="L19" s="123"/>
      <c r="M19" s="96"/>
      <c r="N19" s="97"/>
      <c r="O19" s="96"/>
      <c r="P19" s="95"/>
      <c r="Q19" s="94"/>
      <c r="R19" s="122"/>
      <c r="S19" s="92"/>
      <c r="T19" s="58"/>
      <c r="U19" s="92"/>
      <c r="V19" s="58"/>
    </row>
    <row r="20" spans="2:22" ht="18" customHeight="1" x14ac:dyDescent="0.6">
      <c r="C20" s="3"/>
      <c r="D20" s="106"/>
      <c r="E20" s="13"/>
      <c r="F20" s="104"/>
      <c r="G20" s="13"/>
      <c r="H20" s="121"/>
      <c r="I20" s="15"/>
      <c r="J20" s="13"/>
      <c r="K20" s="104"/>
      <c r="L20" s="120"/>
      <c r="M20" s="105"/>
      <c r="N20" s="12"/>
      <c r="O20" s="15"/>
      <c r="P20" s="82"/>
      <c r="Q20" s="81"/>
      <c r="R20" s="10"/>
      <c r="S20" s="55"/>
      <c r="T20" s="4"/>
      <c r="U20" s="119"/>
      <c r="V20" s="4"/>
    </row>
    <row r="21" spans="2:22" ht="18" customHeight="1" x14ac:dyDescent="0.6">
      <c r="C21" s="3"/>
      <c r="D21" s="9"/>
      <c r="E21" s="115"/>
      <c r="F21" s="115"/>
      <c r="G21" s="116"/>
      <c r="H21" s="118"/>
      <c r="I21" s="117"/>
      <c r="J21" s="116"/>
      <c r="K21" s="115"/>
      <c r="L21" s="114"/>
      <c r="M21" s="20"/>
      <c r="N21" s="113"/>
      <c r="O21" s="20"/>
      <c r="P21" s="68"/>
      <c r="Q21" s="67"/>
      <c r="R21" s="61"/>
    </row>
    <row r="22" spans="2:22" ht="18" customHeight="1" x14ac:dyDescent="0.6">
      <c r="C22" s="3"/>
      <c r="D22" s="8"/>
      <c r="E22" s="17"/>
      <c r="F22" s="19"/>
      <c r="G22" s="17"/>
      <c r="H22" s="112"/>
      <c r="I22" s="18"/>
      <c r="J22" s="17"/>
      <c r="K22" s="111"/>
      <c r="L22" s="110"/>
      <c r="M22" s="109"/>
      <c r="N22" s="16"/>
      <c r="O22" s="18"/>
      <c r="P22" s="108"/>
      <c r="Q22" s="107"/>
      <c r="R22" s="1"/>
    </row>
    <row r="23" spans="2:22" ht="18" customHeight="1" x14ac:dyDescent="0.6">
      <c r="C23" s="3"/>
      <c r="D23" s="106"/>
      <c r="E23" s="13"/>
      <c r="F23" s="13"/>
      <c r="G23" s="100"/>
      <c r="H23" s="12"/>
      <c r="I23" s="105"/>
      <c r="J23" s="104"/>
      <c r="K23" s="13"/>
      <c r="L23" s="103"/>
      <c r="M23" s="15"/>
      <c r="N23" s="12"/>
      <c r="O23" s="15"/>
      <c r="P23" s="82"/>
      <c r="Q23" s="81"/>
      <c r="R23" s="102"/>
      <c r="S23" s="101"/>
      <c r="T23" s="55"/>
    </row>
    <row r="24" spans="2:22" ht="18" customHeight="1" x14ac:dyDescent="0.55000000000000004">
      <c r="D24" s="37"/>
      <c r="E24" s="13"/>
      <c r="F24" s="13"/>
      <c r="G24" s="13"/>
      <c r="H24" s="100"/>
      <c r="I24" s="96"/>
      <c r="J24" s="34"/>
      <c r="K24" s="99"/>
      <c r="L24" s="98"/>
      <c r="M24" s="96"/>
      <c r="N24" s="97"/>
      <c r="O24" s="96"/>
      <c r="P24" s="95"/>
      <c r="Q24" s="94"/>
      <c r="R24" s="93"/>
      <c r="S24" s="92"/>
      <c r="T24" s="58"/>
    </row>
    <row r="25" spans="2:22" ht="18" customHeight="1" x14ac:dyDescent="0.55000000000000004">
      <c r="B25">
        <v>-7</v>
      </c>
      <c r="C25" s="64">
        <v>-6</v>
      </c>
      <c r="D25" s="91">
        <v>-5</v>
      </c>
      <c r="E25" s="79">
        <v>-4</v>
      </c>
      <c r="F25" s="90">
        <v>-3</v>
      </c>
      <c r="G25" s="90">
        <v>-2</v>
      </c>
      <c r="H25" s="89">
        <v>-1</v>
      </c>
      <c r="I25" s="85">
        <v>0</v>
      </c>
      <c r="J25" s="88">
        <v>1</v>
      </c>
      <c r="K25" s="87">
        <v>2</v>
      </c>
      <c r="L25" s="86">
        <v>3</v>
      </c>
      <c r="M25" s="85">
        <v>4</v>
      </c>
      <c r="N25" s="84">
        <v>5</v>
      </c>
      <c r="O25" s="83">
        <v>6</v>
      </c>
      <c r="P25" s="82">
        <v>7</v>
      </c>
      <c r="Q25" s="81"/>
      <c r="R25" s="10"/>
      <c r="S25" s="58"/>
      <c r="T25" s="3"/>
    </row>
    <row r="26" spans="2:22" ht="18" customHeight="1" x14ac:dyDescent="0.55000000000000004">
      <c r="C26" s="64"/>
      <c r="D26" s="69"/>
      <c r="E26" s="75"/>
      <c r="F26" s="78"/>
      <c r="G26" s="78"/>
      <c r="H26" s="76"/>
      <c r="I26" s="79">
        <v>1</v>
      </c>
      <c r="J26" s="78"/>
      <c r="K26" s="78"/>
      <c r="L26" s="77"/>
      <c r="M26" s="75"/>
      <c r="N26" s="76"/>
      <c r="O26" s="75"/>
      <c r="P26" s="68"/>
      <c r="Q26" s="67"/>
      <c r="R26" s="47"/>
      <c r="S26" s="4"/>
      <c r="T26" s="4"/>
    </row>
    <row r="27" spans="2:22" ht="18" customHeight="1" x14ac:dyDescent="0.55000000000000004">
      <c r="C27" s="64"/>
      <c r="D27" s="80"/>
      <c r="E27" s="75"/>
      <c r="F27" s="78"/>
      <c r="G27" s="78"/>
      <c r="H27" s="76"/>
      <c r="I27" s="79">
        <v>2</v>
      </c>
      <c r="J27" s="78"/>
      <c r="K27" s="73"/>
      <c r="L27" s="77"/>
      <c r="M27" s="75"/>
      <c r="N27" s="76"/>
      <c r="O27" s="75"/>
      <c r="P27" s="68"/>
      <c r="Q27" s="67"/>
      <c r="R27" s="61"/>
      <c r="S27" s="4"/>
    </row>
    <row r="28" spans="2:22" ht="18" customHeight="1" x14ac:dyDescent="0.55000000000000004">
      <c r="C28" s="64"/>
      <c r="D28" s="74"/>
      <c r="E28" s="69"/>
      <c r="F28" s="73"/>
      <c r="G28" s="73"/>
      <c r="H28" s="70"/>
      <c r="I28" s="69">
        <v>3</v>
      </c>
      <c r="J28" s="73"/>
      <c r="K28" s="72"/>
      <c r="L28" s="71"/>
      <c r="M28" s="69"/>
      <c r="N28" s="70"/>
      <c r="O28" s="69"/>
      <c r="P28" s="68"/>
      <c r="Q28" s="67"/>
      <c r="R28" s="61"/>
      <c r="S28" s="4"/>
    </row>
    <row r="29" spans="2:22" ht="18" customHeight="1" x14ac:dyDescent="0.55000000000000004">
      <c r="C29" s="62"/>
      <c r="D29" s="64"/>
      <c r="E29" s="63"/>
      <c r="F29" s="62"/>
      <c r="G29" s="62"/>
      <c r="H29" s="64"/>
      <c r="I29" s="66"/>
      <c r="J29" s="62"/>
      <c r="K29" s="62"/>
      <c r="L29" s="65"/>
      <c r="M29" s="63"/>
      <c r="N29" s="64"/>
      <c r="O29" s="63"/>
      <c r="P29" s="43"/>
      <c r="Q29" s="44"/>
      <c r="R29" s="1"/>
    </row>
    <row r="30" spans="2:22" ht="18" customHeight="1" x14ac:dyDescent="0.55000000000000004">
      <c r="E30" s="54"/>
      <c r="F30" s="2"/>
      <c r="G30" s="50"/>
      <c r="H30" s="2"/>
      <c r="I30" s="54"/>
      <c r="J30" s="50"/>
      <c r="K30" s="50"/>
      <c r="L30" s="54"/>
      <c r="M30" s="50"/>
      <c r="N30" s="2"/>
      <c r="O30" s="54"/>
      <c r="P30" s="43"/>
      <c r="Q30" s="1"/>
      <c r="R30" s="44"/>
    </row>
    <row r="31" spans="2:22" ht="18" customHeight="1" x14ac:dyDescent="0.55000000000000004">
      <c r="E31" s="53"/>
      <c r="F31" s="52"/>
      <c r="G31" s="45" t="s">
        <v>14</v>
      </c>
      <c r="I31" s="62"/>
      <c r="J31" s="64"/>
      <c r="K31" s="63"/>
      <c r="L31" s="62"/>
      <c r="M31" s="62"/>
      <c r="N31" s="52"/>
      <c r="O31" s="53"/>
      <c r="P31" s="49"/>
      <c r="Q31" s="47"/>
      <c r="R31" s="61"/>
      <c r="S31" s="30" t="s">
        <v>3</v>
      </c>
      <c r="T31" s="30" t="s">
        <v>2</v>
      </c>
    </row>
    <row r="32" spans="2:22" ht="18" customHeight="1" x14ac:dyDescent="0.55000000000000004">
      <c r="E32" s="50"/>
      <c r="F32" s="2"/>
      <c r="G32" s="45" t="s">
        <v>13</v>
      </c>
      <c r="J32" s="60"/>
      <c r="K32" s="59"/>
      <c r="L32" s="58"/>
      <c r="M32" s="58"/>
      <c r="N32" s="2"/>
      <c r="O32" s="54"/>
      <c r="P32" s="49"/>
      <c r="Q32" s="1"/>
      <c r="R32" s="1"/>
      <c r="S32" s="30">
        <v>5.25</v>
      </c>
      <c r="T32" s="30">
        <v>17</v>
      </c>
    </row>
    <row r="33" spans="5:20" ht="18" customHeight="1" x14ac:dyDescent="0.55000000000000004">
      <c r="E33" s="2"/>
      <c r="F33" s="2"/>
      <c r="G33" s="45" t="s">
        <v>12</v>
      </c>
      <c r="J33" s="57"/>
      <c r="K33" s="56"/>
      <c r="L33" s="55"/>
      <c r="M33" s="55"/>
      <c r="N33" s="2"/>
      <c r="O33" s="54"/>
      <c r="P33" s="49"/>
      <c r="Q33" s="1"/>
      <c r="R33" s="1"/>
      <c r="S33" s="30">
        <v>4</v>
      </c>
      <c r="T33" s="30">
        <v>212.5</v>
      </c>
    </row>
    <row r="34" spans="5:20" ht="18" customHeight="1" x14ac:dyDescent="0.55000000000000004">
      <c r="E34" s="1"/>
      <c r="F34" s="1"/>
      <c r="G34" s="45" t="s">
        <v>11</v>
      </c>
      <c r="K34" s="53"/>
      <c r="L34" s="52"/>
      <c r="M34" s="51"/>
      <c r="N34" s="1"/>
      <c r="O34" s="43"/>
      <c r="P34" s="49"/>
      <c r="Q34" s="1"/>
      <c r="R34" s="1"/>
      <c r="S34" s="30">
        <v>3.5</v>
      </c>
      <c r="T34" s="30">
        <v>340.5</v>
      </c>
    </row>
    <row r="35" spans="5:20" ht="18" customHeight="1" x14ac:dyDescent="0.55000000000000004">
      <c r="E35" s="1"/>
      <c r="F35" s="1"/>
      <c r="G35" s="46" t="s">
        <v>10</v>
      </c>
      <c r="K35" s="50"/>
      <c r="L35" s="2"/>
      <c r="M35" s="2"/>
      <c r="N35" s="1"/>
      <c r="O35" s="43"/>
      <c r="P35" s="49"/>
      <c r="Q35" s="1"/>
      <c r="R35" s="1"/>
      <c r="S35" s="30">
        <v>3</v>
      </c>
      <c r="T35" s="30">
        <v>340.5</v>
      </c>
    </row>
    <row r="36" spans="5:20" ht="18" customHeight="1" x14ac:dyDescent="0.6">
      <c r="E36" s="1"/>
      <c r="F36" s="1"/>
      <c r="G36" s="46" t="s">
        <v>9</v>
      </c>
      <c r="K36" s="2"/>
      <c r="L36" s="2"/>
      <c r="M36" s="2"/>
      <c r="N36" s="1"/>
      <c r="O36" s="43"/>
      <c r="P36" s="48"/>
      <c r="Q36" s="1"/>
      <c r="R36" s="1"/>
      <c r="S36" s="1"/>
    </row>
    <row r="37" spans="5:20" ht="18" customHeight="1" x14ac:dyDescent="0.55000000000000004">
      <c r="E37" s="1"/>
      <c r="F37" s="1"/>
      <c r="G37" s="46" t="s">
        <v>8</v>
      </c>
      <c r="K37" s="47"/>
      <c r="L37" s="1"/>
      <c r="M37" s="1"/>
      <c r="N37" s="1"/>
      <c r="O37" s="43"/>
      <c r="P37" s="1"/>
      <c r="Q37" s="1"/>
      <c r="R37" s="1"/>
    </row>
    <row r="38" spans="5:20" ht="18" customHeight="1" x14ac:dyDescent="0.55000000000000004">
      <c r="E38" s="1"/>
      <c r="F38" s="1"/>
      <c r="G38" s="46" t="s">
        <v>7</v>
      </c>
      <c r="K38" s="1"/>
      <c r="L38" s="1"/>
      <c r="M38" s="1"/>
      <c r="N38" s="1"/>
      <c r="O38" s="43"/>
      <c r="P38" s="1"/>
      <c r="Q38" s="1"/>
      <c r="R38" s="1"/>
    </row>
    <row r="39" spans="5:20" ht="18" customHeight="1" x14ac:dyDescent="0.55000000000000004">
      <c r="E39" s="1"/>
      <c r="F39" s="1"/>
      <c r="G39" s="45" t="s">
        <v>6</v>
      </c>
      <c r="K39" s="1"/>
      <c r="L39" s="1"/>
      <c r="M39" s="1"/>
      <c r="N39" s="1"/>
      <c r="O39" s="43"/>
      <c r="P39" s="1"/>
      <c r="Q39" s="1"/>
      <c r="R39" s="1"/>
    </row>
    <row r="40" spans="5:20" ht="18" customHeight="1" x14ac:dyDescent="0.55000000000000004">
      <c r="E40" s="1"/>
      <c r="F40" s="1"/>
      <c r="G40" s="45" t="s">
        <v>5</v>
      </c>
      <c r="K40" s="1"/>
      <c r="L40" s="1"/>
      <c r="M40" s="1"/>
      <c r="N40" s="1"/>
      <c r="O40" s="43"/>
      <c r="P40" s="1"/>
      <c r="Q40" s="1"/>
      <c r="R40" s="1"/>
    </row>
    <row r="41" spans="5:20" ht="18" customHeight="1" x14ac:dyDescent="0.55000000000000004">
      <c r="E41" s="1"/>
      <c r="F41" s="1"/>
      <c r="G41" s="45" t="s">
        <v>4</v>
      </c>
      <c r="K41" s="1"/>
      <c r="L41" s="1"/>
      <c r="M41" s="1"/>
      <c r="N41" s="1"/>
      <c r="O41" s="43"/>
      <c r="P41" s="1"/>
      <c r="Q41" s="1"/>
      <c r="R41" s="1"/>
    </row>
    <row r="42" spans="5:20" ht="18" customHeight="1" x14ac:dyDescent="0.55000000000000004">
      <c r="E42" s="1"/>
      <c r="F42" s="1"/>
      <c r="G42" s="45"/>
      <c r="K42" s="1"/>
      <c r="L42" s="1"/>
      <c r="M42" s="1"/>
      <c r="N42" s="1"/>
      <c r="O42" s="43"/>
      <c r="P42" s="1"/>
      <c r="Q42" s="1"/>
      <c r="R42" s="1"/>
    </row>
    <row r="43" spans="5:20" ht="18" customHeight="1" x14ac:dyDescent="0.55000000000000004">
      <c r="E43" s="1"/>
      <c r="F43" s="1"/>
      <c r="G43" s="1"/>
      <c r="H43" s="1"/>
      <c r="I43" s="1"/>
      <c r="J43" s="1"/>
      <c r="K43" s="44"/>
      <c r="L43" s="1"/>
      <c r="M43" s="1"/>
      <c r="N43" s="1"/>
      <c r="O43" s="43"/>
      <c r="P43" s="1"/>
      <c r="Q43" s="1"/>
      <c r="R43" s="1"/>
    </row>
    <row r="44" spans="5:20" ht="18" customHeight="1" x14ac:dyDescent="0.55000000000000004">
      <c r="E44" s="1"/>
      <c r="F44" s="1"/>
      <c r="G44" s="1"/>
      <c r="H44" s="1"/>
      <c r="I44" s="1"/>
      <c r="J44" s="1"/>
      <c r="K44" s="44"/>
      <c r="L44" s="1"/>
      <c r="M44" s="1"/>
      <c r="N44" s="1"/>
      <c r="O44" s="43"/>
      <c r="P44" s="1"/>
      <c r="Q44" s="1"/>
      <c r="R44" s="1"/>
    </row>
    <row r="45" spans="5:20" ht="18" customHeight="1" x14ac:dyDescent="0.55000000000000004">
      <c r="E45" s="1"/>
      <c r="F45" s="1"/>
      <c r="G45" s="1"/>
      <c r="H45" s="1"/>
      <c r="I45" s="1"/>
      <c r="J45" s="1"/>
      <c r="K45" s="44"/>
      <c r="L45" s="1"/>
      <c r="M45" s="1"/>
      <c r="N45" s="1"/>
      <c r="O45" s="43"/>
      <c r="P45" s="1"/>
      <c r="Q45" s="1"/>
      <c r="R45" s="1"/>
    </row>
    <row r="46" spans="5:20" ht="18" customHeight="1" x14ac:dyDescent="0.55000000000000004">
      <c r="E46" s="1"/>
      <c r="F46" s="1"/>
      <c r="G46" s="1"/>
      <c r="H46" s="1"/>
      <c r="I46" s="1"/>
      <c r="J46" s="1"/>
      <c r="K46" s="1"/>
      <c r="L46" s="1"/>
      <c r="M46" s="1"/>
      <c r="N46" s="1"/>
      <c r="O46" s="43"/>
      <c r="P46" s="1"/>
      <c r="Q46" s="1"/>
      <c r="R46" s="1"/>
    </row>
    <row r="47" spans="5:20" ht="18" customHeight="1" x14ac:dyDescent="0.55000000000000004">
      <c r="E47" s="1"/>
      <c r="F47" s="1"/>
      <c r="G47" s="1"/>
      <c r="H47" s="1"/>
      <c r="I47" s="1"/>
      <c r="J47" s="1"/>
      <c r="K47" s="1"/>
      <c r="L47" s="1"/>
      <c r="M47" s="1"/>
      <c r="N47" s="1"/>
      <c r="O47" s="43"/>
      <c r="P47" s="1"/>
      <c r="Q47" s="1"/>
      <c r="R47" s="1"/>
    </row>
    <row r="48" spans="5:20" ht="18" customHeight="1" x14ac:dyDescent="0.55000000000000004">
      <c r="O48" s="41"/>
    </row>
    <row r="49" spans="15:15" ht="18" customHeight="1" x14ac:dyDescent="0.55000000000000004">
      <c r="O49" s="41"/>
    </row>
    <row r="50" spans="15:15" ht="18" customHeight="1" x14ac:dyDescent="0.55000000000000004">
      <c r="O50" s="41"/>
    </row>
    <row r="51" spans="15:15" ht="18" customHeight="1" x14ac:dyDescent="0.55000000000000004">
      <c r="O51" s="41"/>
    </row>
    <row r="52" spans="15:15" ht="18" customHeight="1" x14ac:dyDescent="0.55000000000000004">
      <c r="O52" s="41"/>
    </row>
    <row r="53" spans="15:15" ht="18" customHeight="1" x14ac:dyDescent="0.55000000000000004">
      <c r="O53" s="41"/>
    </row>
    <row r="54" spans="15:15" ht="18" customHeight="1" x14ac:dyDescent="0.55000000000000004">
      <c r="O54" s="41"/>
    </row>
    <row r="55" spans="15:15" ht="18" customHeight="1" x14ac:dyDescent="0.55000000000000004">
      <c r="O55" s="41"/>
    </row>
    <row r="56" spans="15:15" ht="18" customHeight="1" x14ac:dyDescent="0.55000000000000004">
      <c r="O56" s="41"/>
    </row>
    <row r="57" spans="15:15" ht="18" customHeight="1" x14ac:dyDescent="0.55000000000000004">
      <c r="O57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F2DA-D91C-416E-B200-CE7DBE46415C}">
  <dimension ref="A2:X47"/>
  <sheetViews>
    <sheetView zoomScale="55" zoomScaleNormal="55" workbookViewId="0">
      <selection activeCell="A33" sqref="A33"/>
    </sheetView>
  </sheetViews>
  <sheetFormatPr defaultRowHeight="14.4" x14ac:dyDescent="0.55000000000000004"/>
  <cols>
    <col min="1" max="1" width="14.3671875" customWidth="1"/>
    <col min="2" max="2" width="14.47265625" customWidth="1"/>
    <col min="3" max="5" width="15.9453125" customWidth="1"/>
  </cols>
  <sheetData>
    <row r="2" spans="8:19" x14ac:dyDescent="0.55000000000000004">
      <c r="I2" s="30" t="s">
        <v>3</v>
      </c>
      <c r="J2" s="40" t="s">
        <v>2</v>
      </c>
      <c r="L2" s="30">
        <v>3</v>
      </c>
      <c r="M2" s="30">
        <v>340.5</v>
      </c>
      <c r="N2" s="30"/>
      <c r="O2" s="30"/>
    </row>
    <row r="3" spans="8:19" x14ac:dyDescent="0.55000000000000004">
      <c r="I3" s="30">
        <v>3.7</v>
      </c>
      <c r="J3" s="30">
        <v>17</v>
      </c>
      <c r="L3" s="30">
        <v>3.42</v>
      </c>
      <c r="M3" s="30">
        <v>17</v>
      </c>
      <c r="N3" s="30"/>
      <c r="O3" s="30"/>
    </row>
    <row r="4" spans="8:19" x14ac:dyDescent="0.55000000000000004">
      <c r="I4" s="30">
        <v>4.1399999999999997</v>
      </c>
      <c r="J4" s="30">
        <v>149</v>
      </c>
      <c r="L4" s="30">
        <v>3.48</v>
      </c>
      <c r="M4" s="30">
        <v>329</v>
      </c>
      <c r="N4" s="30"/>
      <c r="O4" s="30"/>
    </row>
    <row r="5" spans="8:19" x14ac:dyDescent="0.55000000000000004">
      <c r="I5" s="30">
        <v>4.2</v>
      </c>
      <c r="J5" s="30">
        <v>340</v>
      </c>
      <c r="L5" s="30">
        <v>3.5</v>
      </c>
      <c r="M5" s="30">
        <v>340.5</v>
      </c>
      <c r="N5" s="30"/>
      <c r="O5" s="30"/>
    </row>
    <row r="6" spans="8:19" x14ac:dyDescent="0.55000000000000004">
      <c r="H6" s="42"/>
      <c r="I6" s="30">
        <v>5.41</v>
      </c>
      <c r="J6" s="30">
        <v>170</v>
      </c>
      <c r="K6" s="8"/>
      <c r="L6" s="30">
        <v>3.7</v>
      </c>
      <c r="M6" s="30">
        <v>17</v>
      </c>
      <c r="N6" s="30"/>
      <c r="O6" s="30"/>
    </row>
    <row r="7" spans="8:19" x14ac:dyDescent="0.55000000000000004">
      <c r="H7" s="41"/>
      <c r="I7" s="30">
        <v>5.56</v>
      </c>
      <c r="J7" s="30">
        <v>164</v>
      </c>
      <c r="L7" s="30">
        <v>3.94</v>
      </c>
      <c r="M7" s="30">
        <v>337</v>
      </c>
      <c r="N7" s="30"/>
      <c r="O7" s="30"/>
    </row>
    <row r="8" spans="8:19" x14ac:dyDescent="0.55000000000000004">
      <c r="I8" s="30">
        <v>7.2</v>
      </c>
      <c r="J8" s="30">
        <v>172</v>
      </c>
      <c r="L8" s="30">
        <v>4</v>
      </c>
      <c r="M8" s="30">
        <v>147</v>
      </c>
      <c r="N8" s="30">
        <v>212.5</v>
      </c>
      <c r="O8" s="30"/>
    </row>
    <row r="9" spans="8:19" x14ac:dyDescent="0.55000000000000004">
      <c r="H9" s="39"/>
      <c r="L9" s="30">
        <v>4.1399999999999997</v>
      </c>
      <c r="M9" s="30">
        <v>149</v>
      </c>
      <c r="N9" s="30">
        <v>199</v>
      </c>
      <c r="O9" s="30">
        <v>211</v>
      </c>
    </row>
    <row r="10" spans="8:19" ht="15.3" x14ac:dyDescent="0.55000000000000004">
      <c r="H10" s="38"/>
      <c r="K10" s="2"/>
      <c r="L10" s="30">
        <v>4.21</v>
      </c>
      <c r="M10" s="30">
        <v>340</v>
      </c>
      <c r="N10" s="30"/>
      <c r="O10" s="30"/>
    </row>
    <row r="11" spans="8:19" ht="15.3" x14ac:dyDescent="0.55000000000000004">
      <c r="H11" s="38"/>
      <c r="K11" s="2"/>
      <c r="L11" s="30">
        <v>5.25</v>
      </c>
      <c r="M11" s="30">
        <v>17</v>
      </c>
      <c r="N11" s="30"/>
      <c r="O11" s="30"/>
    </row>
    <row r="12" spans="8:19" ht="15.3" x14ac:dyDescent="0.55000000000000004">
      <c r="H12" s="2"/>
      <c r="K12" s="2"/>
      <c r="L12" s="30">
        <v>5.28</v>
      </c>
      <c r="M12" s="30">
        <v>162</v>
      </c>
      <c r="N12" s="30"/>
      <c r="O12" s="30"/>
    </row>
    <row r="13" spans="8:19" ht="15.3" x14ac:dyDescent="0.55000000000000004">
      <c r="H13" s="2"/>
      <c r="K13" s="2"/>
      <c r="L13" s="30">
        <v>5.32</v>
      </c>
      <c r="M13" s="30">
        <v>162</v>
      </c>
      <c r="N13" s="29"/>
      <c r="O13" s="29"/>
    </row>
    <row r="14" spans="8:19" x14ac:dyDescent="0.55000000000000004">
      <c r="H14" s="1"/>
      <c r="I14" s="1"/>
      <c r="J14" s="1"/>
      <c r="K14" s="1"/>
      <c r="L14" s="30">
        <v>5.41</v>
      </c>
      <c r="M14" s="30">
        <v>17</v>
      </c>
      <c r="N14" s="29"/>
      <c r="O14" s="29"/>
    </row>
    <row r="15" spans="8:19" x14ac:dyDescent="0.55000000000000004">
      <c r="L15" s="30">
        <v>5.52</v>
      </c>
      <c r="M15" s="30">
        <v>170</v>
      </c>
      <c r="N15" s="29"/>
      <c r="O15" s="29"/>
    </row>
    <row r="16" spans="8:19" ht="15.3" x14ac:dyDescent="0.55000000000000004">
      <c r="L16" s="30">
        <v>5.57</v>
      </c>
      <c r="M16" s="30">
        <v>164</v>
      </c>
      <c r="N16" s="29"/>
      <c r="O16" s="29"/>
      <c r="P16" s="2"/>
      <c r="Q16" s="1"/>
      <c r="R16" s="1"/>
      <c r="S16" s="1"/>
    </row>
    <row r="17" spans="1:19" ht="15.3" x14ac:dyDescent="0.55000000000000004">
      <c r="A17" s="7"/>
      <c r="B17" s="7"/>
      <c r="C17" s="37"/>
      <c r="D17" s="37"/>
      <c r="E17" s="37"/>
      <c r="F17" s="36"/>
      <c r="G17" s="35"/>
      <c r="H17" s="35"/>
      <c r="I17" s="35"/>
      <c r="L17" s="30">
        <v>6.8</v>
      </c>
      <c r="M17" s="30">
        <v>171</v>
      </c>
      <c r="N17" s="29">
        <v>189</v>
      </c>
      <c r="O17" s="29"/>
      <c r="P17" s="34"/>
      <c r="Q17" s="6"/>
      <c r="R17" s="6"/>
      <c r="S17" s="1"/>
    </row>
    <row r="18" spans="1:19" ht="15.3" x14ac:dyDescent="0.55000000000000004">
      <c r="A18" s="26"/>
      <c r="B18" s="33"/>
      <c r="C18" s="33"/>
      <c r="D18" s="33"/>
      <c r="E18" s="33"/>
      <c r="F18" s="33"/>
      <c r="G18" s="33"/>
      <c r="H18" s="33"/>
      <c r="I18" s="33"/>
      <c r="L18" s="30">
        <v>7.08</v>
      </c>
      <c r="M18" s="30">
        <v>198</v>
      </c>
      <c r="N18" s="29"/>
      <c r="O18" s="29"/>
      <c r="P18" s="32"/>
      <c r="Q18" s="27"/>
      <c r="R18" s="27"/>
      <c r="S18" s="27"/>
    </row>
    <row r="19" spans="1:19" ht="15.3" x14ac:dyDescent="0.55000000000000004">
      <c r="A19" s="26"/>
      <c r="B19" s="24"/>
      <c r="C19" s="24"/>
      <c r="D19" s="24"/>
      <c r="E19" s="24"/>
      <c r="F19" s="24"/>
      <c r="G19" s="24"/>
      <c r="H19" s="24"/>
      <c r="I19" s="24"/>
      <c r="L19" s="30">
        <v>7.12</v>
      </c>
      <c r="M19" s="30">
        <v>198</v>
      </c>
      <c r="N19" s="29"/>
      <c r="O19" s="29"/>
      <c r="P19" s="31"/>
      <c r="Q19" s="27"/>
      <c r="R19" s="27"/>
      <c r="S19" s="27"/>
    </row>
    <row r="20" spans="1:19" ht="15.6" x14ac:dyDescent="0.6">
      <c r="A20" s="26"/>
      <c r="B20" s="24"/>
      <c r="C20" s="28"/>
      <c r="D20" s="28"/>
      <c r="E20" s="28"/>
      <c r="F20" s="28"/>
      <c r="G20" s="24"/>
      <c r="H20" s="28"/>
      <c r="I20" s="24"/>
      <c r="L20" s="30">
        <v>7.21</v>
      </c>
      <c r="M20" s="30">
        <v>172</v>
      </c>
      <c r="N20" s="29"/>
      <c r="O20" s="29"/>
      <c r="P20" s="24"/>
      <c r="Q20" s="27"/>
      <c r="R20" s="27"/>
      <c r="S20" s="27"/>
    </row>
    <row r="21" spans="1:19" ht="76.8" customHeight="1" x14ac:dyDescent="0.6">
      <c r="F21" s="24"/>
      <c r="G21" s="28"/>
      <c r="H21" s="24"/>
      <c r="I21" s="28"/>
      <c r="P21" s="24"/>
      <c r="Q21" s="27"/>
      <c r="R21" s="27"/>
      <c r="S21" s="27"/>
    </row>
    <row r="22" spans="1:19" ht="86.4" x14ac:dyDescent="0.6">
      <c r="A22" s="134" t="s">
        <v>3</v>
      </c>
      <c r="B22" s="150" t="s">
        <v>21</v>
      </c>
      <c r="C22" s="150" t="s">
        <v>23</v>
      </c>
      <c r="D22" s="150" t="s">
        <v>21</v>
      </c>
      <c r="E22" s="150" t="s">
        <v>57</v>
      </c>
      <c r="F22" s="28"/>
      <c r="G22" s="24"/>
      <c r="H22" s="28"/>
      <c r="I22" s="24"/>
      <c r="P22" s="24"/>
      <c r="Q22" s="27"/>
      <c r="R22" s="27"/>
      <c r="S22" s="27"/>
    </row>
    <row r="23" spans="1:19" ht="15.6" x14ac:dyDescent="0.6">
      <c r="A23" s="135">
        <v>2.6</v>
      </c>
      <c r="B23" s="134">
        <v>73</v>
      </c>
      <c r="C23" s="134">
        <f>ATAN2((0.5/2)*SIN(45*PI()/180), (A23/2)*COS(45*PI()/180)) * 360/PI()</f>
        <v>158.22894589068255</v>
      </c>
      <c r="D23" s="134">
        <f>ATAN2((0.5/2)*SIN(45*PI()/180), (B23/2)*COS(45*PI()/180)) * 360/PI()</f>
        <v>179.21513858131823</v>
      </c>
      <c r="E23" s="134">
        <f>ATAN2((0.5/2)*SIN(45*PI()/180), (C23/2)*COS(45*PI()/180)) * 180/PI()</f>
        <v>89.818947195522796</v>
      </c>
      <c r="F23" s="24"/>
      <c r="G23" s="28"/>
      <c r="H23" s="24"/>
      <c r="I23" s="28"/>
      <c r="J23" s="24"/>
      <c r="K23" s="28"/>
      <c r="P23" s="24"/>
      <c r="Q23" s="27"/>
      <c r="R23" s="27"/>
      <c r="S23" s="27"/>
    </row>
    <row r="24" spans="1:19" ht="15.6" x14ac:dyDescent="0.6">
      <c r="A24" s="151">
        <v>2.8</v>
      </c>
      <c r="B24" s="134">
        <v>131</v>
      </c>
      <c r="C24" s="134">
        <f t="shared" ref="C24:D30" si="0">ATAN2((0.5/2)*SIN(45*PI()/180), (A24/2)*COS(45*PI()/180)) * 360/PI()</f>
        <v>159.75065668920439</v>
      </c>
      <c r="D24" s="134">
        <f t="shared" si="0"/>
        <v>179.56262976115403</v>
      </c>
      <c r="E24" s="134">
        <f t="shared" ref="E24:E29" si="1">ATAN2((0.5/2)*SIN(45*PI()/180), (C24/2)*COS(45*PI()/180)) * 360/PI()</f>
        <v>179.64134361880417</v>
      </c>
      <c r="F24" s="24"/>
      <c r="G24" s="24"/>
      <c r="H24" s="28"/>
      <c r="I24" s="24"/>
      <c r="J24" s="28"/>
      <c r="K24" s="24"/>
      <c r="P24" s="24"/>
      <c r="Q24" s="27"/>
      <c r="R24" s="27"/>
      <c r="S24" s="27"/>
    </row>
    <row r="25" spans="1:19" ht="15.6" x14ac:dyDescent="0.6">
      <c r="A25" s="151">
        <v>3.5</v>
      </c>
      <c r="B25" s="134">
        <v>149</v>
      </c>
      <c r="C25" s="134">
        <f t="shared" si="0"/>
        <v>163.73979529168807</v>
      </c>
      <c r="D25" s="134">
        <v>211</v>
      </c>
      <c r="E25" s="134">
        <f t="shared" si="1"/>
        <v>179.6500813908755</v>
      </c>
      <c r="F25" s="24"/>
      <c r="G25" s="24"/>
      <c r="H25" s="24"/>
      <c r="I25" s="25"/>
      <c r="J25" s="24"/>
      <c r="K25" s="24"/>
      <c r="P25" s="23"/>
      <c r="Q25" s="22"/>
      <c r="R25" s="22"/>
      <c r="S25" s="21"/>
    </row>
    <row r="26" spans="1:19" ht="15.3" x14ac:dyDescent="0.55000000000000004">
      <c r="A26" s="151">
        <v>4.1399999999999997</v>
      </c>
      <c r="B26" s="134">
        <v>160</v>
      </c>
      <c r="C26" s="134">
        <f t="shared" si="0"/>
        <v>166.22714533713602</v>
      </c>
      <c r="D26" s="134">
        <f t="shared" si="0"/>
        <v>179.64190254372204</v>
      </c>
      <c r="E26" s="134">
        <f t="shared" si="1"/>
        <v>179.65531738754044</v>
      </c>
      <c r="F26" s="20"/>
      <c r="G26" s="18"/>
      <c r="H26" s="19"/>
      <c r="I26" s="17"/>
      <c r="J26" s="18"/>
      <c r="K26" s="17"/>
      <c r="P26" s="16"/>
      <c r="Q26" s="6"/>
      <c r="R26" s="6"/>
      <c r="S26" s="1"/>
    </row>
    <row r="27" spans="1:19" ht="15.3" x14ac:dyDescent="0.55000000000000004">
      <c r="A27" s="151">
        <v>4.74</v>
      </c>
      <c r="B27" s="134">
        <v>166</v>
      </c>
      <c r="C27" s="134">
        <f t="shared" si="0"/>
        <v>167.95681972191332</v>
      </c>
      <c r="D27" s="134">
        <f t="shared" si="0"/>
        <v>179.65484574552232</v>
      </c>
      <c r="E27" s="134">
        <f t="shared" si="1"/>
        <v>179.65886702098757</v>
      </c>
      <c r="F27" s="15"/>
      <c r="G27" s="15"/>
      <c r="H27" s="13"/>
      <c r="I27" s="13"/>
      <c r="J27" s="14"/>
      <c r="K27" s="13"/>
      <c r="P27" s="12"/>
      <c r="Q27" s="11"/>
      <c r="R27" s="11"/>
      <c r="S27" s="10"/>
    </row>
    <row r="28" spans="1:19" x14ac:dyDescent="0.55000000000000004">
      <c r="A28" s="151">
        <v>5.4</v>
      </c>
      <c r="B28" s="134">
        <v>169</v>
      </c>
      <c r="C28" s="134">
        <f t="shared" si="0"/>
        <v>169.41983758925747</v>
      </c>
      <c r="D28" s="134">
        <f t="shared" si="0"/>
        <v>179.66097270804582</v>
      </c>
      <c r="E28" s="134">
        <f t="shared" si="1"/>
        <v>179.66181284327124</v>
      </c>
      <c r="F28" s="7"/>
      <c r="G28" s="8"/>
      <c r="H28" s="7"/>
      <c r="I28" s="8"/>
      <c r="N28" s="8"/>
      <c r="O28" s="8"/>
      <c r="P28" s="7"/>
      <c r="Q28" s="6"/>
      <c r="R28" s="6"/>
      <c r="S28" s="1"/>
    </row>
    <row r="29" spans="1:19" x14ac:dyDescent="0.55000000000000004">
      <c r="A29" s="151">
        <v>6</v>
      </c>
      <c r="B29" s="134">
        <v>172</v>
      </c>
      <c r="C29" s="134">
        <f t="shared" si="0"/>
        <v>170.47271661854765</v>
      </c>
      <c r="D29" s="134">
        <f t="shared" si="0"/>
        <v>179.66688594115712</v>
      </c>
      <c r="E29" s="134">
        <f t="shared" si="1"/>
        <v>179.66390155355839</v>
      </c>
      <c r="I29" s="3"/>
      <c r="O29" s="3"/>
      <c r="Q29" s="1"/>
      <c r="R29" s="1"/>
      <c r="S29" s="1"/>
    </row>
    <row r="30" spans="1:19" x14ac:dyDescent="0.55000000000000004">
      <c r="A30" s="151">
        <v>10.82</v>
      </c>
      <c r="B30" s="134">
        <v>6</v>
      </c>
      <c r="C30" s="134">
        <f t="shared" si="0"/>
        <v>174.70840591817571</v>
      </c>
      <c r="D30" s="134">
        <f t="shared" si="0"/>
        <v>170.47271661854765</v>
      </c>
      <c r="E30" s="134">
        <f t="shared" ref="E30" si="2">ATAN2((0.5/2)*SIN(45*PI()/180), (C30/2)*COS(45*PI()/180)) * 360/PI()</f>
        <v>179.67204999218563</v>
      </c>
      <c r="Q30" s="1"/>
      <c r="R30" s="1"/>
      <c r="S30" s="1"/>
    </row>
    <row r="31" spans="1:19" x14ac:dyDescent="0.55000000000000004">
      <c r="C31" s="3"/>
      <c r="D31" s="153"/>
      <c r="E31" s="153"/>
      <c r="Q31" s="1"/>
      <c r="R31" s="1"/>
      <c r="S31" s="1"/>
    </row>
    <row r="32" spans="1:19" ht="15.3" x14ac:dyDescent="0.55000000000000004">
      <c r="B32" s="2"/>
      <c r="C32" s="2"/>
      <c r="D32" s="2"/>
      <c r="E32" s="2"/>
      <c r="F32" s="2"/>
      <c r="G32" s="2"/>
      <c r="H32" s="2"/>
      <c r="I32" s="2"/>
      <c r="N32" s="2"/>
      <c r="O32" s="2"/>
      <c r="P32" s="2"/>
      <c r="Q32" s="1"/>
      <c r="R32" s="1"/>
      <c r="S32" s="1"/>
    </row>
    <row r="33" spans="2:24" ht="15.3" x14ac:dyDescent="0.55000000000000004">
      <c r="B33" s="2"/>
      <c r="C33" s="2"/>
      <c r="D33" s="2"/>
      <c r="E33" s="2"/>
      <c r="F33" s="2"/>
      <c r="G33" s="2"/>
      <c r="H33" s="2"/>
      <c r="I33" s="2"/>
      <c r="N33" s="2"/>
      <c r="O33" s="2"/>
      <c r="P33" s="2"/>
      <c r="Q33" s="1"/>
      <c r="R33" s="1"/>
      <c r="S33" s="1"/>
    </row>
    <row r="34" spans="2:24" ht="15.3" x14ac:dyDescent="0.55000000000000004">
      <c r="B34" s="2"/>
      <c r="C34" s="2"/>
      <c r="D34" s="2"/>
      <c r="E34" s="2"/>
      <c r="F34" s="2"/>
      <c r="G34" s="2"/>
      <c r="H34" s="2"/>
      <c r="I34" s="2"/>
      <c r="N34" s="2"/>
      <c r="O34" s="2"/>
      <c r="P34" s="2"/>
      <c r="Q34" s="1"/>
      <c r="R34" s="1"/>
      <c r="S34" s="1"/>
      <c r="X34" s="152"/>
    </row>
    <row r="35" spans="2:24" ht="15.3" x14ac:dyDescent="0.55000000000000004">
      <c r="B35" s="2"/>
      <c r="C35" s="2"/>
      <c r="D35" s="2"/>
      <c r="E35" s="2"/>
      <c r="F35" s="2"/>
      <c r="G35" s="2"/>
      <c r="H35" s="2"/>
      <c r="I35" s="2"/>
      <c r="N35" s="2"/>
      <c r="O35" s="2"/>
      <c r="P35" s="2"/>
      <c r="Q35" s="1"/>
      <c r="R35" s="1"/>
      <c r="S35" s="1"/>
    </row>
    <row r="36" spans="2:24" x14ac:dyDescent="0.55000000000000004">
      <c r="B36" s="1"/>
      <c r="C36" s="1"/>
      <c r="D36" s="1"/>
      <c r="E36" s="1"/>
      <c r="F36" s="1"/>
      <c r="G36" s="1"/>
      <c r="H36" s="1"/>
      <c r="I36" s="1"/>
      <c r="N36" s="1"/>
      <c r="O36" s="1"/>
      <c r="P36" s="1"/>
      <c r="Q36" s="1"/>
      <c r="R36" s="1"/>
      <c r="S36" s="1"/>
    </row>
    <row r="37" spans="2:24" x14ac:dyDescent="0.5500000000000000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24" x14ac:dyDescent="0.5500000000000000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24" x14ac:dyDescent="0.5500000000000000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24" x14ac:dyDescent="0.5500000000000000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24" x14ac:dyDescent="0.5500000000000000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24" x14ac:dyDescent="0.5500000000000000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24" x14ac:dyDescent="0.5500000000000000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24" x14ac:dyDescent="0.5500000000000000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24" x14ac:dyDescent="0.5500000000000000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24" x14ac:dyDescent="0.5500000000000000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24" x14ac:dyDescent="0.5500000000000000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9:AU95"/>
  <sheetViews>
    <sheetView tabSelected="1" view="pageBreakPreview" topLeftCell="L47" zoomScale="81" zoomScaleNormal="110" zoomScaleSheetLayoutView="81" workbookViewId="0">
      <selection activeCell="AC36" sqref="AC36:AC68"/>
    </sheetView>
  </sheetViews>
  <sheetFormatPr defaultRowHeight="14.4" x14ac:dyDescent="0.55000000000000004"/>
  <cols>
    <col min="16" max="16" width="11.41796875" customWidth="1"/>
    <col min="17" max="17" width="17.89453125" customWidth="1"/>
    <col min="18" max="18" width="17.26171875" customWidth="1"/>
    <col min="19" max="19" width="17.15625" customWidth="1"/>
    <col min="20" max="20" width="25.3125" customWidth="1"/>
    <col min="21" max="21" width="14.83984375" customWidth="1"/>
    <col min="22" max="22" width="16.578125" customWidth="1"/>
    <col min="23" max="23" width="19.3125" customWidth="1"/>
    <col min="24" max="24" width="14" customWidth="1"/>
    <col min="25" max="25" width="12.47265625" customWidth="1"/>
    <col min="26" max="26" width="12.68359375" customWidth="1"/>
    <col min="27" max="27" width="13.578125" customWidth="1"/>
    <col min="28" max="28" width="12.89453125" customWidth="1"/>
    <col min="29" max="29" width="16.9453125" customWidth="1"/>
    <col min="30" max="30" width="14.47265625" customWidth="1"/>
    <col min="31" max="31" width="16.47265625" customWidth="1"/>
    <col min="32" max="32" width="13.9453125" customWidth="1"/>
    <col min="33" max="33" width="14.9453125" customWidth="1"/>
    <col min="34" max="34" width="13.41796875" customWidth="1"/>
  </cols>
  <sheetData>
    <row r="19" spans="1:34" x14ac:dyDescent="0.55000000000000004">
      <c r="K19" t="s">
        <v>0</v>
      </c>
    </row>
    <row r="24" spans="1:34" x14ac:dyDescent="0.55000000000000004">
      <c r="G24" t="s">
        <v>1</v>
      </c>
    </row>
    <row r="25" spans="1:34" x14ac:dyDescent="0.55000000000000004">
      <c r="A25" s="64" t="s">
        <v>20</v>
      </c>
      <c r="B25" s="64"/>
      <c r="C25" s="64"/>
      <c r="D25" s="64"/>
    </row>
    <row r="26" spans="1:34" x14ac:dyDescent="0.55000000000000004">
      <c r="A26" s="136" t="s">
        <v>3</v>
      </c>
      <c r="B26" s="136" t="s">
        <v>15</v>
      </c>
      <c r="C26" s="136" t="s">
        <v>25</v>
      </c>
      <c r="D26" s="136" t="s">
        <v>26</v>
      </c>
      <c r="E26" s="136" t="s">
        <v>59</v>
      </c>
    </row>
    <row r="27" spans="1:34" x14ac:dyDescent="0.55000000000000004">
      <c r="A27" s="137">
        <v>3.5</v>
      </c>
      <c r="B27" s="137">
        <f>A27/0.5</f>
        <v>7</v>
      </c>
      <c r="C27" s="137">
        <v>340.5</v>
      </c>
      <c r="D27" s="137"/>
      <c r="E27" s="29"/>
    </row>
    <row r="28" spans="1:34" x14ac:dyDescent="0.55000000000000004">
      <c r="A28" s="137">
        <v>4</v>
      </c>
      <c r="B28" s="137">
        <f>A28/0.5</f>
        <v>8</v>
      </c>
      <c r="C28" s="137">
        <v>212.5</v>
      </c>
      <c r="D28" s="137"/>
      <c r="E28" s="29"/>
    </row>
    <row r="29" spans="1:34" x14ac:dyDescent="0.55000000000000004">
      <c r="A29" s="137">
        <v>4.1399999999999997</v>
      </c>
      <c r="B29" s="137">
        <f t="shared" ref="B29:B32" si="0">A29/0.5</f>
        <v>8.2799999999999994</v>
      </c>
      <c r="C29" s="137">
        <v>149</v>
      </c>
      <c r="D29" s="137">
        <v>211</v>
      </c>
      <c r="E29" s="170">
        <v>315</v>
      </c>
    </row>
    <row r="30" spans="1:34" x14ac:dyDescent="0.55000000000000004">
      <c r="A30" s="137">
        <v>5.14</v>
      </c>
      <c r="B30" s="137">
        <f t="shared" si="0"/>
        <v>10.28</v>
      </c>
      <c r="C30" s="137">
        <v>170</v>
      </c>
      <c r="D30" s="137"/>
      <c r="E30" s="29"/>
    </row>
    <row r="31" spans="1:34" x14ac:dyDescent="0.55000000000000004">
      <c r="A31" s="176">
        <v>5.4</v>
      </c>
      <c r="B31" s="137">
        <f t="shared" si="0"/>
        <v>10.8</v>
      </c>
      <c r="C31" s="176">
        <v>169</v>
      </c>
      <c r="D31" s="137">
        <v>187</v>
      </c>
      <c r="E31" s="29"/>
    </row>
    <row r="32" spans="1:34" x14ac:dyDescent="0.55000000000000004">
      <c r="A32" s="137">
        <v>7.14</v>
      </c>
      <c r="B32" s="137">
        <f t="shared" si="0"/>
        <v>14.28</v>
      </c>
      <c r="C32" s="137">
        <v>172</v>
      </c>
      <c r="D32" s="137">
        <v>188</v>
      </c>
      <c r="E32" s="29"/>
      <c r="Z32" s="144"/>
      <c r="AA32" s="144"/>
      <c r="AB32" s="144"/>
      <c r="AC32" s="144"/>
      <c r="AD32" s="144"/>
      <c r="AE32" s="144"/>
      <c r="AF32" s="144"/>
      <c r="AG32" s="260"/>
      <c r="AH32" s="260"/>
    </row>
    <row r="33" spans="1:47" ht="51.9" customHeight="1" x14ac:dyDescent="0.55000000000000004">
      <c r="A33" s="7"/>
      <c r="B33" s="159"/>
      <c r="C33" s="159"/>
      <c r="D33" s="159"/>
      <c r="E33" s="7"/>
      <c r="F33" s="7"/>
      <c r="G33" s="159"/>
      <c r="H33" s="159"/>
      <c r="I33" s="159"/>
      <c r="J33" s="7"/>
      <c r="K33" s="7"/>
      <c r="L33" s="7"/>
      <c r="M33" s="7"/>
      <c r="N33" s="7"/>
      <c r="O33" s="7"/>
      <c r="P33" s="7"/>
      <c r="Q33" s="264" t="s">
        <v>58</v>
      </c>
      <c r="R33" s="264" t="s">
        <v>56</v>
      </c>
      <c r="S33" s="264" t="s">
        <v>22</v>
      </c>
      <c r="T33" s="264" t="s">
        <v>57</v>
      </c>
      <c r="U33" s="264" t="s">
        <v>24</v>
      </c>
      <c r="V33" s="265" t="s">
        <v>31</v>
      </c>
      <c r="W33" s="263" t="s">
        <v>33</v>
      </c>
      <c r="X33" s="263" t="s">
        <v>62</v>
      </c>
      <c r="Y33" s="263" t="s">
        <v>63</v>
      </c>
      <c r="Z33" s="263"/>
      <c r="AA33" s="263"/>
      <c r="AB33" s="263" t="s">
        <v>68</v>
      </c>
      <c r="AC33" s="263"/>
      <c r="AD33" s="261" t="s">
        <v>67</v>
      </c>
      <c r="AE33" s="261" t="s">
        <v>71</v>
      </c>
      <c r="AF33" s="261" t="s">
        <v>72</v>
      </c>
      <c r="AG33" s="150" t="s">
        <v>75</v>
      </c>
      <c r="AH33" s="134" t="s">
        <v>76</v>
      </c>
    </row>
    <row r="34" spans="1:47" ht="19.5" customHeight="1" x14ac:dyDescent="0.55000000000000004">
      <c r="A34" s="7"/>
      <c r="B34" s="159"/>
      <c r="C34" s="159"/>
      <c r="D34" s="159"/>
      <c r="E34" s="7"/>
      <c r="F34" s="7"/>
      <c r="G34" s="159"/>
      <c r="H34" s="159"/>
      <c r="I34" s="159"/>
      <c r="J34" s="7"/>
      <c r="K34" s="7"/>
      <c r="L34" s="7"/>
      <c r="M34" s="7"/>
      <c r="N34" s="7"/>
      <c r="O34" s="7"/>
      <c r="P34" s="7"/>
      <c r="Q34" s="264"/>
      <c r="R34" s="264"/>
      <c r="S34" s="264"/>
      <c r="T34" s="264"/>
      <c r="U34" s="264"/>
      <c r="V34" s="265"/>
      <c r="W34" s="263"/>
      <c r="X34" s="263"/>
      <c r="Y34" s="198" t="s">
        <v>65</v>
      </c>
      <c r="Z34" s="198" t="s">
        <v>66</v>
      </c>
      <c r="AA34" s="198" t="s">
        <v>64</v>
      </c>
      <c r="AB34" s="198" t="s">
        <v>69</v>
      </c>
      <c r="AC34" s="198" t="s">
        <v>70</v>
      </c>
      <c r="AD34" s="262"/>
      <c r="AE34" s="262"/>
      <c r="AF34" s="262"/>
      <c r="AG34" s="209" t="s">
        <v>73</v>
      </c>
      <c r="AH34" s="210" t="s">
        <v>74</v>
      </c>
    </row>
    <row r="35" spans="1:47" ht="18.3" customHeight="1" x14ac:dyDescent="0.55000000000000004">
      <c r="A35" s="159" t="s">
        <v>27</v>
      </c>
      <c r="B35" s="159"/>
      <c r="C35" s="159"/>
      <c r="D35" s="159"/>
      <c r="E35" s="7"/>
      <c r="F35" s="7"/>
      <c r="G35" s="159"/>
      <c r="H35" s="159"/>
      <c r="I35" s="159"/>
      <c r="J35" s="7"/>
      <c r="K35" s="7"/>
      <c r="L35" s="7"/>
      <c r="M35" s="7"/>
      <c r="N35" s="7"/>
      <c r="O35" s="7"/>
      <c r="P35" s="7"/>
      <c r="Q35" s="206">
        <v>1</v>
      </c>
      <c r="R35" s="206">
        <v>2</v>
      </c>
      <c r="S35" s="206">
        <v>3</v>
      </c>
      <c r="T35" s="206">
        <v>4</v>
      </c>
      <c r="U35" s="206">
        <v>5</v>
      </c>
      <c r="V35" s="206">
        <v>6</v>
      </c>
      <c r="W35" s="206">
        <v>7</v>
      </c>
      <c r="X35" s="206">
        <v>8</v>
      </c>
      <c r="Y35" s="206">
        <v>9</v>
      </c>
      <c r="Z35" s="207">
        <v>10</v>
      </c>
      <c r="AA35" s="207">
        <v>11</v>
      </c>
      <c r="AB35" s="207">
        <v>12</v>
      </c>
      <c r="AC35" s="207">
        <v>13</v>
      </c>
      <c r="AD35" s="207">
        <v>14</v>
      </c>
      <c r="AE35" s="207">
        <v>15</v>
      </c>
      <c r="AF35" s="207">
        <v>16</v>
      </c>
      <c r="AG35" s="207">
        <v>17</v>
      </c>
      <c r="AH35" s="208">
        <v>18</v>
      </c>
    </row>
    <row r="36" spans="1:47" ht="18.3" customHeight="1" x14ac:dyDescent="0.55000000000000004">
      <c r="A36" s="159"/>
      <c r="B36" s="159"/>
      <c r="C36" s="159"/>
      <c r="D36" s="159"/>
      <c r="E36" s="7"/>
      <c r="F36" s="7"/>
      <c r="G36" s="159"/>
      <c r="H36" s="159"/>
      <c r="I36" s="159"/>
      <c r="J36" s="7"/>
      <c r="K36" s="7"/>
      <c r="L36" s="7"/>
      <c r="M36" s="7"/>
      <c r="N36" s="7"/>
      <c r="O36" s="7"/>
      <c r="P36" s="7"/>
      <c r="Q36" s="224">
        <v>1.9</v>
      </c>
      <c r="R36" s="224">
        <v>51</v>
      </c>
      <c r="S36" s="225">
        <f t="shared" ref="S36:S42" si="1">(ATAN2(-(Q36/2)*SIN(1), (0.5/2)*COS(1)))*90</f>
        <v>267.67818386070127</v>
      </c>
      <c r="T36" s="225">
        <f t="shared" ref="T36:T41" si="2">ATAN2((0.5/2)*SIN(45*PI()/180), (Q36/2)*COS(45*PI()/180)) * 360/PI()</f>
        <v>150.51287432705854</v>
      </c>
      <c r="U36" s="226">
        <f>IF(2*Q36&lt; 5,340.5,IF(AND(2*Q36&gt;= 5, 2*Q36 &lt; 7),340.5 - 70.5 * (7 - 2*Q36)/2,IF(AND(2*Q36 &gt;= 7, 2*Q36 &lt; 8),340.5 - 128 * (2*Q36 - 7),IF(AND(2*Q36 &gt;= 8, 2*Q36 &lt; 8.28),212.5 - 5.357 * (2*Q36 - 8),IF(2*Q36 = 8.28,211,IF(AND(2*Q36 &gt; 8.28, 2*Q36 &lt; 20),180,IF(2*Q36 &gt;= 20,6 + 174 * EXP(-3.5 * (2*Q36 - 20)),"Ошибка")))))))</f>
        <v>340.5</v>
      </c>
      <c r="V36" s="227" t="str">
        <f t="shared" ref="V36:V57" si="3">IF(2*Q36 &lt; 5,"Сингулярность",IF(AND(2*Q36 &gt;= 5, 2*Q36 &lt; 7),"Предбифуркация",IF(AND(2*Q36 &gt;= 7, 2*Q36&lt;= 8.28),"Бифуркация", IF(AND(2*Q36&gt; 8.28, 2*Q36 &lt; 20),"Стабилизация", IF(2*Q36 &gt;= 20,"Распад", "Н/Д")))))</f>
        <v>Сингулярность</v>
      </c>
      <c r="W36" s="140"/>
      <c r="X36" s="200" t="b">
        <f t="shared" ref="X36:X68" ca="1" si="4">RANDBETWEEN(U36,U37)&gt;0.5</f>
        <v>1</v>
      </c>
      <c r="Y36" s="202">
        <f>IF(U36&lt;360,360/INT(U36),U36)</f>
        <v>1.0588235294117647</v>
      </c>
      <c r="Z36" s="202">
        <f>IF(S36&lt;360,360/INT(S36),S36)</f>
        <v>1.348314606741573</v>
      </c>
      <c r="AA36" s="202">
        <f>IF(T36&lt;360,360/INT(T36),T36)</f>
        <v>2.4</v>
      </c>
      <c r="AB36" s="199">
        <f>(8*(U36/6)*(4/7))</f>
        <v>259.42857142857139</v>
      </c>
      <c r="AC36" s="199">
        <f t="shared" ref="AC36:AC67" si="5">AB36/137.036</f>
        <v>1.8931417396054422</v>
      </c>
      <c r="AD36" s="204">
        <f>SUMXMY2(S36:S37, T36:T37)/COUNT(U36:U37)</f>
        <v>13577.353571930251</v>
      </c>
      <c r="AE36" s="204">
        <f>ABS((T36-T37)/T36)*100</f>
        <v>1.7952817508272836</v>
      </c>
      <c r="AF36" s="204">
        <f>(U36-U38)/(P361-33)</f>
        <v>-2.1363636363636362</v>
      </c>
      <c r="AG36" s="204">
        <f t="shared" ref="AG36:AG58" si="6">U36/((Q36*2)-20)^AH36</f>
        <v>340.5</v>
      </c>
      <c r="AH36" s="205"/>
    </row>
    <row r="37" spans="1:47" s="169" customFormat="1" ht="18.3" customHeight="1" x14ac:dyDescent="0.55000000000000004">
      <c r="A37" s="166"/>
      <c r="B37" s="166"/>
      <c r="C37" s="166"/>
      <c r="D37" s="166"/>
      <c r="E37" s="168"/>
      <c r="F37" s="168"/>
      <c r="G37" s="166"/>
      <c r="H37" s="166"/>
      <c r="I37" s="166"/>
      <c r="J37" s="168"/>
      <c r="K37" s="168"/>
      <c r="L37" s="168"/>
      <c r="M37" s="168"/>
      <c r="N37" s="168"/>
      <c r="O37" s="168"/>
      <c r="P37" s="168"/>
      <c r="Q37" s="228">
        <v>2.1</v>
      </c>
      <c r="R37" s="228">
        <v>58</v>
      </c>
      <c r="S37" s="225">
        <f t="shared" si="1"/>
        <v>269.08992579018928</v>
      </c>
      <c r="T37" s="225">
        <f t="shared" si="2"/>
        <v>153.21500449249783</v>
      </c>
      <c r="U37" s="226">
        <f t="shared" ref="U37:U68" si="7">IF(2*Q37&lt; 5,340.5,IF(AND(2*Q37&gt;= 5, 2*Q37 &lt; 7),340.5 - 70.5 * (7 - 2*Q37)/2,IF(AND(2*Q37 &gt;= 7, 2*Q37 &lt; 8),340.5 - 128 * (2*Q37 - 7),IF(AND(2*Q37 &gt;= 8, 2*Q37 &lt; 8.28),212.5 - 5.357 * (2*Q37 - 8),IF(2*Q37 = 8.28,211,IF(AND(2*Q37 &gt; 8.28, 2*Q37 &lt; 20),180,IF(2*Q37 &gt;= 20,6 + 174 * EXP(-3.5 * (2*Q37 - 20)),"Ошибка")))))))</f>
        <v>340.5</v>
      </c>
      <c r="V37" s="227" t="str">
        <f t="shared" si="3"/>
        <v>Сингулярность</v>
      </c>
      <c r="W37" s="29" t="str">
        <f t="shared" ref="W37:W57" si="8">IF(AND(2*Q37 &gt;= 8.28, 2*Q37 &lt; 20),31 * EXP(-0.15 * (2*Q37 - 8.28)),"")</f>
        <v/>
      </c>
      <c r="X37" s="200" t="e">
        <f t="shared" ca="1" si="4"/>
        <v>#NUM!</v>
      </c>
      <c r="Y37" s="202">
        <f>IF(U37&lt;360,360/INT(U37),U37)</f>
        <v>1.0588235294117647</v>
      </c>
      <c r="Z37" s="202">
        <f t="shared" ref="Z37:Z68" si="9">IF(S37&lt;360,360/INT(S37),S37)</f>
        <v>1.3382899628252789</v>
      </c>
      <c r="AA37" s="202">
        <f t="shared" ref="AA37:AA68" si="10">IF(T37&lt;360,360/INT(T37),T37)</f>
        <v>2.3529411764705883</v>
      </c>
      <c r="AB37" s="199">
        <f t="shared" ref="AB36:AB68" si="11">(8*(U37/6)*(4/7))</f>
        <v>259.42857142857139</v>
      </c>
      <c r="AC37" s="199">
        <f t="shared" si="5"/>
        <v>1.8931417396054422</v>
      </c>
      <c r="AD37" s="204">
        <f t="shared" ref="AD37:AD68" si="12">SUMXMY2(S37:S38, T37:T38)/COUNT(U37:U38)</f>
        <v>13196.510538607405</v>
      </c>
      <c r="AE37" s="204">
        <f t="shared" ref="AE37:AE67" si="13">ABS((T37-T38)/T37)*100</f>
        <v>2.718487378738216</v>
      </c>
      <c r="AF37" s="204">
        <f t="shared" ref="AF37:AF68" si="14">(U37-U39)/(P362-33)</f>
        <v>-2.1363636363636362</v>
      </c>
      <c r="AG37" s="204">
        <f t="shared" si="6"/>
        <v>340.5</v>
      </c>
      <c r="AH37" s="205"/>
    </row>
    <row r="38" spans="1:47" s="190" customFormat="1" ht="18.3" customHeight="1" x14ac:dyDescent="0.55000000000000004">
      <c r="A38" s="166"/>
      <c r="B38" s="166"/>
      <c r="C38" s="166"/>
      <c r="D38" s="166"/>
      <c r="E38" s="168"/>
      <c r="F38" s="168"/>
      <c r="G38" s="166"/>
      <c r="H38" s="166"/>
      <c r="I38" s="166"/>
      <c r="J38" s="168"/>
      <c r="K38" s="168"/>
      <c r="L38" s="168"/>
      <c r="M38" s="168"/>
      <c r="N38" s="168"/>
      <c r="O38" s="168"/>
      <c r="P38" s="168"/>
      <c r="Q38" s="235">
        <v>2.5</v>
      </c>
      <c r="R38" s="235">
        <v>208</v>
      </c>
      <c r="S38" s="236">
        <f t="shared" si="1"/>
        <v>271.24858411256906</v>
      </c>
      <c r="T38" s="236">
        <f t="shared" si="2"/>
        <v>157.38013505195957</v>
      </c>
      <c r="U38" s="237">
        <f t="shared" si="7"/>
        <v>270</v>
      </c>
      <c r="V38" s="238" t="str">
        <f t="shared" si="3"/>
        <v>Предбифуркация</v>
      </c>
      <c r="W38" s="29"/>
      <c r="X38" s="200" t="b">
        <f t="shared" ca="1" si="4"/>
        <v>1</v>
      </c>
      <c r="Y38" s="202">
        <f t="shared" ref="Y38:Y67" si="15">IF(U38&lt;360,360/INT(U38),U38)</f>
        <v>1.3333333333333333</v>
      </c>
      <c r="Z38" s="202">
        <f t="shared" si="9"/>
        <v>1.3284132841328413</v>
      </c>
      <c r="AA38" s="202">
        <f t="shared" si="10"/>
        <v>2.2929936305732483</v>
      </c>
      <c r="AB38" s="199">
        <f t="shared" si="11"/>
        <v>205.71428571428569</v>
      </c>
      <c r="AC38" s="199">
        <f t="shared" si="5"/>
        <v>1.5011696613611438</v>
      </c>
      <c r="AD38" s="204">
        <f t="shared" si="12"/>
        <v>12966.023691468619</v>
      </c>
      <c r="AE38" s="204">
        <f t="shared" si="13"/>
        <v>0</v>
      </c>
      <c r="AF38" s="204">
        <f t="shared" si="14"/>
        <v>0.21363636363636399</v>
      </c>
      <c r="AG38" s="204">
        <f t="shared" si="6"/>
        <v>270</v>
      </c>
      <c r="AH38" s="205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</row>
    <row r="39" spans="1:47" s="169" customFormat="1" ht="18.3" customHeight="1" x14ac:dyDescent="0.55000000000000004">
      <c r="A39" s="166"/>
      <c r="B39" s="166"/>
      <c r="C39" s="166"/>
      <c r="D39" s="166"/>
      <c r="E39" s="168"/>
      <c r="F39" s="168"/>
      <c r="G39" s="166"/>
      <c r="H39" s="166"/>
      <c r="I39" s="166"/>
      <c r="J39" s="168"/>
      <c r="K39" s="168"/>
      <c r="L39" s="168"/>
      <c r="M39" s="168"/>
      <c r="N39" s="168"/>
      <c r="O39" s="168"/>
      <c r="P39" s="168"/>
      <c r="Q39" s="235">
        <v>2.5</v>
      </c>
      <c r="R39" s="235">
        <v>165</v>
      </c>
      <c r="S39" s="236">
        <f t="shared" si="1"/>
        <v>271.24858411256906</v>
      </c>
      <c r="T39" s="236">
        <f t="shared" si="2"/>
        <v>157.38013505195957</v>
      </c>
      <c r="U39" s="237">
        <f t="shared" si="7"/>
        <v>270</v>
      </c>
      <c r="V39" s="238" t="str">
        <f t="shared" si="3"/>
        <v>Предбифуркация</v>
      </c>
      <c r="W39" s="29"/>
      <c r="X39" s="200" t="b">
        <f t="shared" ca="1" si="4"/>
        <v>1</v>
      </c>
      <c r="Y39" s="202">
        <f t="shared" si="15"/>
        <v>1.3333333333333333</v>
      </c>
      <c r="Z39" s="202">
        <f t="shared" si="9"/>
        <v>1.3284132841328413</v>
      </c>
      <c r="AA39" s="202">
        <f t="shared" si="10"/>
        <v>2.2929936305732483</v>
      </c>
      <c r="AB39" s="199">
        <f t="shared" si="11"/>
        <v>205.71428571428569</v>
      </c>
      <c r="AC39" s="199">
        <f t="shared" si="5"/>
        <v>1.5011696613611438</v>
      </c>
      <c r="AD39" s="204">
        <f t="shared" si="12"/>
        <v>12919.28241244801</v>
      </c>
      <c r="AE39" s="204">
        <f t="shared" si="13"/>
        <v>0.53933797835587394</v>
      </c>
      <c r="AF39" s="204">
        <f t="shared" si="14"/>
        <v>0.21363636363636399</v>
      </c>
      <c r="AG39" s="204">
        <f t="shared" si="6"/>
        <v>270</v>
      </c>
      <c r="AH39" s="205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</row>
    <row r="40" spans="1:47" s="169" customFormat="1" ht="18.3" customHeight="1" x14ac:dyDescent="0.55000000000000004">
      <c r="A40" s="166"/>
      <c r="B40" s="166"/>
      <c r="C40" s="166"/>
      <c r="D40" s="166"/>
      <c r="E40" s="168"/>
      <c r="F40" s="168"/>
      <c r="G40" s="166"/>
      <c r="H40" s="166"/>
      <c r="I40" s="166"/>
      <c r="J40" s="168"/>
      <c r="K40" s="168"/>
      <c r="L40" s="168"/>
      <c r="M40" s="168"/>
      <c r="N40" s="168"/>
      <c r="O40" s="168"/>
      <c r="P40" s="168"/>
      <c r="Q40" s="235">
        <v>2.6</v>
      </c>
      <c r="R40" s="235">
        <v>73</v>
      </c>
      <c r="S40" s="236">
        <f t="shared" si="1"/>
        <v>271.68616749172213</v>
      </c>
      <c r="T40" s="236">
        <f t="shared" si="2"/>
        <v>158.22894589068255</v>
      </c>
      <c r="U40" s="237">
        <f t="shared" si="7"/>
        <v>277.05</v>
      </c>
      <c r="V40" s="238" t="str">
        <f t="shared" si="3"/>
        <v>Предбифуркация</v>
      </c>
      <c r="W40" s="29"/>
      <c r="X40" s="200" t="b">
        <f t="shared" ca="1" si="4"/>
        <v>1</v>
      </c>
      <c r="Y40" s="202">
        <f t="shared" si="15"/>
        <v>1.2996389891696751</v>
      </c>
      <c r="Z40" s="202">
        <f t="shared" si="9"/>
        <v>1.3284132841328413</v>
      </c>
      <c r="AA40" s="202">
        <f t="shared" si="10"/>
        <v>2.278481012658228</v>
      </c>
      <c r="AB40" s="199">
        <f t="shared" si="11"/>
        <v>211.08571428571429</v>
      </c>
      <c r="AC40" s="199">
        <f t="shared" si="5"/>
        <v>1.5403668691855739</v>
      </c>
      <c r="AD40" s="204">
        <f t="shared" si="12"/>
        <v>12872.541133427401</v>
      </c>
      <c r="AE40" s="204">
        <f t="shared" si="13"/>
        <v>0</v>
      </c>
      <c r="AF40" s="204">
        <f t="shared" si="14"/>
        <v>0.29909090909090924</v>
      </c>
      <c r="AG40" s="204">
        <f t="shared" si="6"/>
        <v>277.05</v>
      </c>
      <c r="AH40" s="205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</row>
    <row r="41" spans="1:47" ht="15.3" x14ac:dyDescent="0.55000000000000004">
      <c r="A41" s="159" t="s">
        <v>16</v>
      </c>
      <c r="B41" s="159"/>
      <c r="C41" s="159"/>
      <c r="D41" s="159"/>
      <c r="E41" s="7"/>
      <c r="F41" s="7"/>
      <c r="G41" s="159"/>
      <c r="H41" s="159"/>
      <c r="I41" s="159"/>
      <c r="J41" s="7"/>
      <c r="K41" s="7"/>
      <c r="L41" s="7"/>
      <c r="M41" s="7"/>
      <c r="N41" s="7"/>
      <c r="O41" s="7"/>
      <c r="P41" s="7"/>
      <c r="Q41" s="236">
        <v>2.6</v>
      </c>
      <c r="R41" s="236">
        <v>113</v>
      </c>
      <c r="S41" s="236">
        <f t="shared" si="1"/>
        <v>271.68616749172213</v>
      </c>
      <c r="T41" s="236">
        <f t="shared" si="2"/>
        <v>158.22894589068255</v>
      </c>
      <c r="U41" s="237">
        <f t="shared" si="7"/>
        <v>277.05</v>
      </c>
      <c r="V41" s="238" t="str">
        <f t="shared" si="3"/>
        <v>Предбифуркация</v>
      </c>
      <c r="W41" s="29" t="str">
        <f t="shared" si="8"/>
        <v/>
      </c>
      <c r="X41" s="200" t="b">
        <f t="shared" ca="1" si="4"/>
        <v>1</v>
      </c>
      <c r="Y41" s="202">
        <f t="shared" si="15"/>
        <v>1.2996389891696751</v>
      </c>
      <c r="Z41" s="202">
        <f t="shared" si="9"/>
        <v>1.3284132841328413</v>
      </c>
      <c r="AA41" s="202">
        <f t="shared" si="10"/>
        <v>2.278481012658228</v>
      </c>
      <c r="AB41" s="199">
        <f t="shared" si="11"/>
        <v>211.08571428571429</v>
      </c>
      <c r="AC41" s="199">
        <f t="shared" si="5"/>
        <v>1.5403668691855739</v>
      </c>
      <c r="AD41" s="204">
        <f t="shared" si="12"/>
        <v>12812.77012423019</v>
      </c>
      <c r="AE41" s="204">
        <f t="shared" si="13"/>
        <v>0.68746177523749286</v>
      </c>
      <c r="AF41" s="204">
        <f t="shared" si="14"/>
        <v>0.42727272727272625</v>
      </c>
      <c r="AG41" s="204">
        <f t="shared" si="6"/>
        <v>277.05</v>
      </c>
      <c r="AH41" s="205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spans="1:47" ht="15.3" x14ac:dyDescent="0.55000000000000004">
      <c r="A42" s="159" t="s">
        <v>19</v>
      </c>
      <c r="B42" s="159"/>
      <c r="C42" s="159"/>
      <c r="D42" s="159"/>
      <c r="E42" s="7"/>
      <c r="F42" s="7"/>
      <c r="G42" s="159"/>
      <c r="H42" s="159"/>
      <c r="I42" s="159"/>
      <c r="J42" s="7"/>
      <c r="K42" s="7"/>
      <c r="L42" s="7"/>
      <c r="M42" s="7"/>
      <c r="N42" s="7"/>
      <c r="O42" s="7"/>
      <c r="P42" s="7"/>
      <c r="Q42" s="239">
        <v>2.74</v>
      </c>
      <c r="R42" s="236">
        <v>270</v>
      </c>
      <c r="S42" s="236">
        <f t="shared" si="1"/>
        <v>272.24588684111552</v>
      </c>
      <c r="T42" s="236">
        <f t="shared" ref="T42:T68" si="16">ATAN2((0.5/2)*SIN(45*PI()/180), (Q42/2)*COS(45*PI()/180)) * 360/PI()</f>
        <v>159.31670941104221</v>
      </c>
      <c r="U42" s="237">
        <f t="shared" si="7"/>
        <v>286.92</v>
      </c>
      <c r="V42" s="238" t="str">
        <f t="shared" si="3"/>
        <v>Предбифуркация</v>
      </c>
      <c r="W42" s="29" t="str">
        <f t="shared" si="8"/>
        <v/>
      </c>
      <c r="X42" s="200" t="b">
        <f t="shared" ca="1" si="4"/>
        <v>1</v>
      </c>
      <c r="Y42" s="202">
        <f t="shared" si="15"/>
        <v>1.2587412587412588</v>
      </c>
      <c r="Z42" s="202">
        <f t="shared" si="9"/>
        <v>1.3235294117647058</v>
      </c>
      <c r="AA42" s="202">
        <f t="shared" si="10"/>
        <v>2.2641509433962264</v>
      </c>
      <c r="AB42" s="199">
        <f t="shared" si="11"/>
        <v>218.60571428571427</v>
      </c>
      <c r="AC42" s="199">
        <f t="shared" si="5"/>
        <v>1.5952429601397755</v>
      </c>
      <c r="AD42" s="204">
        <f t="shared" si="12"/>
        <v>12729.19644558357</v>
      </c>
      <c r="AE42" s="204">
        <f t="shared" si="13"/>
        <v>0.27238026680715671</v>
      </c>
      <c r="AF42" s="204">
        <f t="shared" si="14"/>
        <v>0.55545454545454498</v>
      </c>
      <c r="AG42" s="204">
        <f t="shared" si="6"/>
        <v>286.92</v>
      </c>
      <c r="AH42" s="205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spans="1:47" ht="15.3" x14ac:dyDescent="0.55000000000000004">
      <c r="A43" s="159" t="s">
        <v>28</v>
      </c>
      <c r="B43" s="159"/>
      <c r="C43" s="159"/>
      <c r="D43" s="159"/>
      <c r="E43" s="7"/>
      <c r="F43" s="7"/>
      <c r="G43" s="159"/>
      <c r="H43" s="159"/>
      <c r="I43" s="159"/>
      <c r="J43" s="7"/>
      <c r="K43" s="7"/>
      <c r="L43" s="7"/>
      <c r="M43" s="7"/>
      <c r="N43" s="7"/>
      <c r="O43" s="7"/>
      <c r="P43" s="7"/>
      <c r="Q43" s="239">
        <v>2.8</v>
      </c>
      <c r="R43" s="236">
        <v>131</v>
      </c>
      <c r="S43" s="236">
        <f t="shared" ref="S43:S57" si="17">(ATAN2(-(Q43/2)*SIN(1), (0.5/2)*COS(1)))*90</f>
        <v>272.46886185648941</v>
      </c>
      <c r="T43" s="236">
        <f t="shared" si="16"/>
        <v>159.75065668920439</v>
      </c>
      <c r="U43" s="237">
        <f t="shared" si="7"/>
        <v>291.14999999999998</v>
      </c>
      <c r="V43" s="238" t="str">
        <f t="shared" si="3"/>
        <v>Предбифуркация</v>
      </c>
      <c r="W43" s="29" t="str">
        <f t="shared" si="8"/>
        <v/>
      </c>
      <c r="X43" s="200" t="b">
        <f t="shared" ca="1" si="4"/>
        <v>1</v>
      </c>
      <c r="Y43" s="202">
        <f t="shared" si="15"/>
        <v>1.2371134020618557</v>
      </c>
      <c r="Z43" s="202">
        <f t="shared" si="9"/>
        <v>1.3235294117647058</v>
      </c>
      <c r="AA43" s="202">
        <f t="shared" si="10"/>
        <v>2.2641509433962264</v>
      </c>
      <c r="AB43" s="199">
        <f t="shared" si="11"/>
        <v>221.82857142857142</v>
      </c>
      <c r="AC43" s="199">
        <f t="shared" si="5"/>
        <v>1.6187612848344335</v>
      </c>
      <c r="AD43" s="204">
        <f t="shared" si="12"/>
        <v>12632.887948381489</v>
      </c>
      <c r="AE43" s="204">
        <f t="shared" si="13"/>
        <v>0.8292290762357204</v>
      </c>
      <c r="AF43" s="204">
        <f t="shared" si="14"/>
        <v>0.42727272727272797</v>
      </c>
      <c r="AG43" s="204">
        <f t="shared" si="6"/>
        <v>291.14999999999998</v>
      </c>
      <c r="AH43" s="205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1:47" s="187" customFormat="1" ht="15.3" x14ac:dyDescent="0.55000000000000004">
      <c r="A44" s="159"/>
      <c r="B44" s="159"/>
      <c r="C44" s="159"/>
      <c r="D44" s="159"/>
      <c r="E44" s="7"/>
      <c r="F44" s="7"/>
      <c r="G44" s="159"/>
      <c r="H44" s="159"/>
      <c r="I44" s="159"/>
      <c r="J44" s="7"/>
      <c r="K44" s="7"/>
      <c r="L44" s="7"/>
      <c r="M44" s="7"/>
      <c r="N44" s="7"/>
      <c r="O44" s="7"/>
      <c r="P44" s="7"/>
      <c r="Q44" s="239">
        <v>3</v>
      </c>
      <c r="R44" s="236">
        <v>60</v>
      </c>
      <c r="S44" s="236">
        <f t="shared" si="17"/>
        <v>273.14846618871792</v>
      </c>
      <c r="T44" s="236">
        <f t="shared" si="16"/>
        <v>161.07535558394878</v>
      </c>
      <c r="U44" s="237">
        <f t="shared" si="7"/>
        <v>305.25</v>
      </c>
      <c r="V44" s="238" t="str">
        <f t="shared" si="3"/>
        <v>Предбифуркация</v>
      </c>
      <c r="W44" s="29"/>
      <c r="X44" s="200" t="b">
        <f t="shared" ca="1" si="4"/>
        <v>1</v>
      </c>
      <c r="Y44" s="202">
        <f t="shared" si="15"/>
        <v>1.180327868852459</v>
      </c>
      <c r="Z44" s="202">
        <f t="shared" si="9"/>
        <v>1.3186813186813187</v>
      </c>
      <c r="AA44" s="202">
        <f t="shared" si="10"/>
        <v>2.2360248447204967</v>
      </c>
      <c r="AB44" s="199">
        <f t="shared" si="11"/>
        <v>232.57142857142856</v>
      </c>
      <c r="AC44" s="199">
        <f t="shared" si="5"/>
        <v>1.6971557004832931</v>
      </c>
      <c r="AD44" s="204">
        <f t="shared" si="12"/>
        <v>12560.382120628818</v>
      </c>
      <c r="AE44" s="204">
        <f t="shared" si="13"/>
        <v>0</v>
      </c>
      <c r="AF44" s="204">
        <f t="shared" si="14"/>
        <v>0.42727272727272797</v>
      </c>
      <c r="AG44" s="204">
        <f t="shared" si="6"/>
        <v>305.25</v>
      </c>
      <c r="AH44" s="205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spans="1:47" ht="15.3" x14ac:dyDescent="0.55000000000000004">
      <c r="A45" s="159"/>
      <c r="B45" s="159"/>
      <c r="C45" s="159"/>
      <c r="D45" s="159"/>
      <c r="E45" s="7"/>
      <c r="F45" s="7"/>
      <c r="G45" s="159">
        <v>3</v>
      </c>
      <c r="H45" s="159"/>
      <c r="I45" s="159"/>
      <c r="J45" s="7"/>
      <c r="K45" s="7"/>
      <c r="L45" s="7"/>
      <c r="M45" s="7"/>
      <c r="N45" s="7"/>
      <c r="O45" s="7"/>
      <c r="P45" s="7"/>
      <c r="Q45" s="239">
        <v>3</v>
      </c>
      <c r="R45" s="236">
        <v>200</v>
      </c>
      <c r="S45" s="236">
        <f t="shared" si="17"/>
        <v>273.14846618871792</v>
      </c>
      <c r="T45" s="236">
        <f t="shared" si="16"/>
        <v>161.07535558394878</v>
      </c>
      <c r="U45" s="237">
        <f t="shared" si="7"/>
        <v>305.25</v>
      </c>
      <c r="V45" s="238" t="str">
        <f t="shared" si="3"/>
        <v>Предбифуркация</v>
      </c>
      <c r="W45" s="29"/>
      <c r="X45" s="200" t="b">
        <f t="shared" ca="1" si="4"/>
        <v>1</v>
      </c>
      <c r="Y45" s="202">
        <f t="shared" si="15"/>
        <v>1.180327868852459</v>
      </c>
      <c r="Z45" s="202">
        <f t="shared" si="9"/>
        <v>1.3186813186813187</v>
      </c>
      <c r="AA45" s="202">
        <f t="shared" si="10"/>
        <v>2.2360248447204967</v>
      </c>
      <c r="AB45" s="199">
        <f t="shared" si="11"/>
        <v>232.57142857142856</v>
      </c>
      <c r="AC45" s="199">
        <f t="shared" si="5"/>
        <v>1.6971557004832931</v>
      </c>
      <c r="AD45" s="204">
        <f t="shared" si="12"/>
        <v>12496.911851767261</v>
      </c>
      <c r="AE45" s="204">
        <f t="shared" si="13"/>
        <v>0.72222476914194</v>
      </c>
      <c r="AF45" s="204">
        <f t="shared" si="14"/>
        <v>-0.21363636363636399</v>
      </c>
      <c r="AG45" s="204">
        <f t="shared" si="6"/>
        <v>305.25</v>
      </c>
      <c r="AH45" s="205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spans="1:47" s="171" customFormat="1" ht="15.3" x14ac:dyDescent="0.55000000000000004">
      <c r="A46" s="194"/>
      <c r="B46" s="194"/>
      <c r="C46" s="194"/>
      <c r="D46" s="194"/>
      <c r="E46" s="195"/>
      <c r="F46" s="195"/>
      <c r="G46" s="194"/>
      <c r="H46" s="194"/>
      <c r="I46" s="194"/>
      <c r="J46" s="195"/>
      <c r="K46" s="195"/>
      <c r="L46" s="195"/>
      <c r="M46" s="195"/>
      <c r="N46" s="195"/>
      <c r="O46" s="195"/>
      <c r="P46" s="195"/>
      <c r="Q46" s="239">
        <v>3.2</v>
      </c>
      <c r="R46" s="236">
        <v>239</v>
      </c>
      <c r="S46" s="236">
        <f t="shared" si="17"/>
        <v>273.74402499203092</v>
      </c>
      <c r="T46" s="236">
        <f t="shared" si="16"/>
        <v>162.23868169895951</v>
      </c>
      <c r="U46" s="237">
        <f t="shared" si="7"/>
        <v>319.35000000000002</v>
      </c>
      <c r="V46" s="238" t="str">
        <f t="shared" si="3"/>
        <v>Предбифуркация</v>
      </c>
      <c r="W46" s="29" t="str">
        <f t="shared" si="8"/>
        <v/>
      </c>
      <c r="X46" s="203" t="e">
        <f t="shared" ca="1" si="4"/>
        <v>#NUM!</v>
      </c>
      <c r="Y46" s="202">
        <f t="shared" si="15"/>
        <v>1.128526645768025</v>
      </c>
      <c r="Z46" s="202">
        <f t="shared" si="9"/>
        <v>1.3186813186813187</v>
      </c>
      <c r="AA46" s="202">
        <f t="shared" si="10"/>
        <v>2.2222222222222223</v>
      </c>
      <c r="AB46" s="199">
        <f t="shared" si="11"/>
        <v>243.31428571428572</v>
      </c>
      <c r="AC46" s="199">
        <f t="shared" si="5"/>
        <v>1.775550116132153</v>
      </c>
      <c r="AD46" s="204">
        <f t="shared" si="12"/>
        <v>12531.920908320721</v>
      </c>
      <c r="AE46" s="204">
        <f t="shared" si="13"/>
        <v>1.1116311743216287</v>
      </c>
      <c r="AF46" s="204">
        <f t="shared" si="14"/>
        <v>0.21363636363636226</v>
      </c>
      <c r="AG46" s="204">
        <f t="shared" si="6"/>
        <v>319.35000000000002</v>
      </c>
      <c r="AH46" s="20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</row>
    <row r="47" spans="1:47" ht="15.3" x14ac:dyDescent="0.55000000000000004">
      <c r="A47" s="159" t="s">
        <v>17</v>
      </c>
      <c r="B47" s="159"/>
      <c r="C47" s="159"/>
      <c r="D47" s="159"/>
      <c r="E47" s="7"/>
      <c r="F47" s="7"/>
      <c r="G47" s="159"/>
      <c r="H47" s="159"/>
      <c r="I47" s="159"/>
      <c r="J47" s="7"/>
      <c r="K47" s="7"/>
      <c r="L47" s="7"/>
      <c r="M47" s="7"/>
      <c r="N47" s="7"/>
      <c r="O47" s="7"/>
      <c r="P47" s="7"/>
      <c r="Q47" s="239">
        <v>2.9</v>
      </c>
      <c r="R47" s="236">
        <v>311</v>
      </c>
      <c r="S47" s="236">
        <f t="shared" si="17"/>
        <v>272.82023936314562</v>
      </c>
      <c r="T47" s="236">
        <f t="shared" si="16"/>
        <v>160.43518593638544</v>
      </c>
      <c r="U47" s="237">
        <f t="shared" si="7"/>
        <v>298.2</v>
      </c>
      <c r="V47" s="238" t="str">
        <f t="shared" si="3"/>
        <v>Предбифуркация</v>
      </c>
      <c r="W47" s="29" t="str">
        <f t="shared" si="8"/>
        <v/>
      </c>
      <c r="X47" s="200" t="b">
        <f t="shared" ca="1" si="4"/>
        <v>1</v>
      </c>
      <c r="Y47" s="202">
        <f t="shared" si="15"/>
        <v>1.2080536912751678</v>
      </c>
      <c r="Z47" s="202">
        <f t="shared" si="9"/>
        <v>1.3235294117647058</v>
      </c>
      <c r="AA47" s="202">
        <f t="shared" si="10"/>
        <v>2.25</v>
      </c>
      <c r="AB47" s="199">
        <f t="shared" si="11"/>
        <v>227.19999999999996</v>
      </c>
      <c r="AC47" s="199">
        <f t="shared" si="5"/>
        <v>1.6579584926588631</v>
      </c>
      <c r="AD47" s="204">
        <f t="shared" si="12"/>
        <v>12503.069160712053</v>
      </c>
      <c r="AE47" s="204">
        <f t="shared" si="13"/>
        <v>1.4544924678877049</v>
      </c>
      <c r="AF47" s="204">
        <f t="shared" si="14"/>
        <v>1.0681818181818181</v>
      </c>
      <c r="AG47" s="204">
        <f t="shared" si="6"/>
        <v>298.2</v>
      </c>
      <c r="AH47" s="205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spans="1:47" s="169" customFormat="1" ht="15.3" x14ac:dyDescent="0.55000000000000004">
      <c r="A48" s="166"/>
      <c r="B48" s="166"/>
      <c r="C48" s="166"/>
      <c r="D48" s="166"/>
      <c r="E48" s="168"/>
      <c r="F48" s="168"/>
      <c r="G48" s="166"/>
      <c r="H48" s="166"/>
      <c r="I48" s="166"/>
      <c r="J48" s="168"/>
      <c r="K48" s="168"/>
      <c r="L48" s="168"/>
      <c r="M48" s="168"/>
      <c r="N48" s="168"/>
      <c r="O48" s="168"/>
      <c r="P48" s="168"/>
      <c r="Q48" s="240">
        <v>3.3</v>
      </c>
      <c r="R48" s="241">
        <v>301</v>
      </c>
      <c r="S48" s="241">
        <f t="shared" si="17"/>
        <v>274.0149983460953</v>
      </c>
      <c r="T48" s="241">
        <f t="shared" si="16"/>
        <v>162.7687036316718</v>
      </c>
      <c r="U48" s="237">
        <f t="shared" si="7"/>
        <v>326.39999999999998</v>
      </c>
      <c r="V48" s="242" t="str">
        <f t="shared" si="3"/>
        <v>Предбифуркация</v>
      </c>
      <c r="W48" s="29" t="str">
        <f t="shared" si="8"/>
        <v/>
      </c>
      <c r="X48" s="200" t="b">
        <f t="shared" ca="1" si="4"/>
        <v>1</v>
      </c>
      <c r="Y48" s="202">
        <f>IF(U48&lt;360,360/INT(U48),U48)</f>
        <v>1.1042944785276074</v>
      </c>
      <c r="Z48" s="202">
        <f t="shared" si="9"/>
        <v>1.3138686131386861</v>
      </c>
      <c r="AA48" s="202">
        <f t="shared" si="10"/>
        <v>2.2222222222222223</v>
      </c>
      <c r="AB48" s="199">
        <f t="shared" si="11"/>
        <v>248.68571428571425</v>
      </c>
      <c r="AC48" s="199">
        <f t="shared" si="5"/>
        <v>1.8147473239565826</v>
      </c>
      <c r="AD48" s="204">
        <f t="shared" si="12"/>
        <v>12348.58544248822</v>
      </c>
      <c r="AE48" s="204">
        <f t="shared" si="13"/>
        <v>0.30689199404905398</v>
      </c>
      <c r="AF48" s="204">
        <f t="shared" si="14"/>
        <v>0.42727272727272797</v>
      </c>
      <c r="AG48" s="204">
        <f t="shared" si="6"/>
        <v>326.39999999999998</v>
      </c>
      <c r="AH48" s="205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</row>
    <row r="49" spans="1:47" ht="15.3" x14ac:dyDescent="0.55000000000000004">
      <c r="A49" s="7"/>
      <c r="B49" s="7"/>
      <c r="C49" s="7"/>
      <c r="D49" s="7"/>
      <c r="E49" s="7"/>
      <c r="F49" s="7"/>
      <c r="G49" s="159"/>
      <c r="H49" s="159"/>
      <c r="I49" s="159"/>
      <c r="J49" s="7"/>
      <c r="K49" s="7"/>
      <c r="L49" s="7"/>
      <c r="M49" s="7"/>
      <c r="N49" s="7"/>
      <c r="O49" s="7"/>
      <c r="P49" s="7"/>
      <c r="Q49" s="239">
        <v>3.4</v>
      </c>
      <c r="R49" s="236">
        <v>149</v>
      </c>
      <c r="S49" s="236">
        <f t="shared" si="17"/>
        <v>274.27017727214854</v>
      </c>
      <c r="T49" s="236">
        <f t="shared" si="16"/>
        <v>163.26822775193483</v>
      </c>
      <c r="U49" s="237">
        <f t="shared" si="7"/>
        <v>333.45</v>
      </c>
      <c r="V49" s="238" t="str">
        <f t="shared" si="3"/>
        <v>Предбифуркация</v>
      </c>
      <c r="W49" s="29" t="str">
        <f t="shared" si="8"/>
        <v/>
      </c>
      <c r="X49" s="200" t="b">
        <f t="shared" ca="1" si="4"/>
        <v>1</v>
      </c>
      <c r="Y49" s="202">
        <f t="shared" si="15"/>
        <v>1.0810810810810811</v>
      </c>
      <c r="Z49" s="202">
        <f t="shared" si="9"/>
        <v>1.3138686131386861</v>
      </c>
      <c r="AA49" s="202">
        <f t="shared" si="10"/>
        <v>2.2085889570552149</v>
      </c>
      <c r="AB49" s="199">
        <f t="shared" si="11"/>
        <v>254.05714285714282</v>
      </c>
      <c r="AC49" s="199">
        <f t="shared" si="5"/>
        <v>1.8539445317810124</v>
      </c>
      <c r="AD49" s="204">
        <f t="shared" si="12"/>
        <v>12295.835198896097</v>
      </c>
      <c r="AE49" s="204">
        <f t="shared" si="13"/>
        <v>0.28882994949251511</v>
      </c>
      <c r="AF49" s="204">
        <f t="shared" si="14"/>
        <v>-1.337878787878789</v>
      </c>
      <c r="AG49" s="204">
        <f t="shared" si="6"/>
        <v>333.45</v>
      </c>
      <c r="AH49" s="205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spans="1:47" s="187" customFormat="1" ht="15.3" x14ac:dyDescent="0.55000000000000004">
      <c r="A50" s="7"/>
      <c r="B50" s="7"/>
      <c r="C50" s="7"/>
      <c r="D50" s="7"/>
      <c r="E50" s="7"/>
      <c r="F50" s="7"/>
      <c r="G50" s="159"/>
      <c r="H50" s="159"/>
      <c r="I50" s="159"/>
      <c r="J50" s="7"/>
      <c r="K50" s="7"/>
      <c r="L50" s="7"/>
      <c r="M50" s="7"/>
      <c r="N50" s="7"/>
      <c r="O50" s="7"/>
      <c r="P50" s="7"/>
      <c r="Q50" s="243">
        <v>3.5</v>
      </c>
      <c r="R50" s="244">
        <v>340.5</v>
      </c>
      <c r="S50" s="244">
        <f t="shared" si="17"/>
        <v>274.51089982939737</v>
      </c>
      <c r="T50" s="244">
        <f t="shared" si="16"/>
        <v>163.73979529168807</v>
      </c>
      <c r="U50" s="245">
        <f t="shared" si="7"/>
        <v>340.5</v>
      </c>
      <c r="V50" s="246" t="str">
        <f t="shared" si="3"/>
        <v>Бифуркация</v>
      </c>
      <c r="W50" s="29" t="str">
        <f t="shared" si="8"/>
        <v/>
      </c>
      <c r="X50" s="203" t="e">
        <f ca="1">RANDBETWEEN(U50,U51)&gt;0.5</f>
        <v>#NUM!</v>
      </c>
      <c r="Y50" s="202">
        <f t="shared" si="15"/>
        <v>1.0588235294117647</v>
      </c>
      <c r="Z50" s="202">
        <f t="shared" si="9"/>
        <v>1.3138686131386861</v>
      </c>
      <c r="AA50" s="202">
        <f t="shared" si="10"/>
        <v>2.2085889570552149</v>
      </c>
      <c r="AB50" s="199">
        <f t="shared" si="11"/>
        <v>259.42857142857139</v>
      </c>
      <c r="AC50" s="199">
        <f t="shared" si="5"/>
        <v>1.8931417396054422</v>
      </c>
      <c r="AD50" s="204">
        <f t="shared" si="12"/>
        <v>12223.207543197461</v>
      </c>
      <c r="AE50" s="204">
        <f t="shared" si="13"/>
        <v>0.53017121630838737</v>
      </c>
      <c r="AF50" s="204">
        <f t="shared" si="14"/>
        <v>-3.8787878787878789</v>
      </c>
      <c r="AG50" s="204">
        <f t="shared" si="6"/>
        <v>340.5</v>
      </c>
      <c r="AH50" s="205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spans="1:47" s="169" customFormat="1" ht="15.3" x14ac:dyDescent="0.55000000000000004">
      <c r="A51" s="168"/>
      <c r="B51" s="168"/>
      <c r="C51" s="168"/>
      <c r="D51" s="168"/>
      <c r="E51" s="168"/>
      <c r="F51" s="168"/>
      <c r="G51" s="166"/>
      <c r="H51" s="166"/>
      <c r="I51" s="166"/>
      <c r="J51" s="168"/>
      <c r="K51" s="168"/>
      <c r="L51" s="168"/>
      <c r="M51" s="168"/>
      <c r="N51" s="168"/>
      <c r="O51" s="168"/>
      <c r="P51" s="168"/>
      <c r="Q51" s="247">
        <v>3.7</v>
      </c>
      <c r="R51" s="248">
        <v>258</v>
      </c>
      <c r="S51" s="248">
        <f t="shared" si="17"/>
        <v>274.95361457842029</v>
      </c>
      <c r="T51" s="248">
        <f t="shared" si="16"/>
        <v>164.60789655596687</v>
      </c>
      <c r="U51" s="245">
        <f t="shared" si="7"/>
        <v>289.29999999999995</v>
      </c>
      <c r="V51" s="249" t="str">
        <f t="shared" si="3"/>
        <v>Бифуркация</v>
      </c>
      <c r="W51" s="201" t="str">
        <f t="shared" si="8"/>
        <v/>
      </c>
      <c r="X51" s="203" t="e">
        <f t="shared" ca="1" si="4"/>
        <v>#NUM!</v>
      </c>
      <c r="Y51" s="202">
        <f t="shared" si="15"/>
        <v>1.2456747404844291</v>
      </c>
      <c r="Z51" s="202">
        <f t="shared" si="9"/>
        <v>1.3138686131386861</v>
      </c>
      <c r="AA51" s="202">
        <f t="shared" si="10"/>
        <v>2.1951219512195124</v>
      </c>
      <c r="AB51" s="199">
        <f t="shared" si="11"/>
        <v>220.41904761904757</v>
      </c>
      <c r="AC51" s="199">
        <f t="shared" si="5"/>
        <v>1.608475492710292</v>
      </c>
      <c r="AD51" s="204">
        <f t="shared" si="12"/>
        <v>12114.492713263959</v>
      </c>
      <c r="AE51" s="204">
        <f t="shared" si="13"/>
        <v>0.69381285474433996</v>
      </c>
      <c r="AF51" s="204">
        <f t="shared" si="14"/>
        <v>-2.3435060606060589</v>
      </c>
      <c r="AG51" s="204">
        <f t="shared" si="6"/>
        <v>289.29999999999995</v>
      </c>
      <c r="AH51" s="205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</row>
    <row r="52" spans="1:47" ht="15.3" x14ac:dyDescent="0.55000000000000004">
      <c r="A52" s="7"/>
      <c r="B52" s="7"/>
      <c r="C52" s="7"/>
      <c r="D52" s="7"/>
      <c r="E52" s="7"/>
      <c r="F52" s="7"/>
      <c r="G52" s="159"/>
      <c r="H52" s="159"/>
      <c r="I52" s="159"/>
      <c r="J52" s="7"/>
      <c r="K52" s="7"/>
      <c r="L52" s="7"/>
      <c r="M52" s="7"/>
      <c r="N52" s="7"/>
      <c r="O52" s="7"/>
      <c r="P52" s="7"/>
      <c r="Q52" s="243">
        <v>4</v>
      </c>
      <c r="R52" s="244">
        <v>212.5</v>
      </c>
      <c r="S52" s="244">
        <f t="shared" si="17"/>
        <v>275.53524837683375</v>
      </c>
      <c r="T52" s="244">
        <f t="shared" si="16"/>
        <v>165.74996730219644</v>
      </c>
      <c r="U52" s="245">
        <f t="shared" si="7"/>
        <v>212.5</v>
      </c>
      <c r="V52" s="246" t="str">
        <f t="shared" si="3"/>
        <v>Бифуркация</v>
      </c>
      <c r="W52" s="29" t="str">
        <f t="shared" si="8"/>
        <v/>
      </c>
      <c r="X52" s="203" t="e">
        <f t="shared" ca="1" si="4"/>
        <v>#NUM!</v>
      </c>
      <c r="Y52" s="202">
        <f t="shared" si="15"/>
        <v>1.6981132075471699</v>
      </c>
      <c r="Z52" s="202">
        <f t="shared" si="9"/>
        <v>1.3090909090909091</v>
      </c>
      <c r="AA52" s="202">
        <f t="shared" si="10"/>
        <v>2.1818181818181817</v>
      </c>
      <c r="AB52" s="199">
        <f t="shared" si="11"/>
        <v>161.9047619047619</v>
      </c>
      <c r="AC52" s="199">
        <f t="shared" si="5"/>
        <v>1.1814761223675669</v>
      </c>
      <c r="AD52" s="204">
        <f t="shared" si="12"/>
        <v>12043.421062308571</v>
      </c>
      <c r="AE52" s="204">
        <f t="shared" si="13"/>
        <v>0.10506860077790976</v>
      </c>
      <c r="AF52" s="204">
        <f t="shared" si="14"/>
        <v>-4.5454545454545456E-2</v>
      </c>
      <c r="AG52" s="204">
        <f t="shared" si="6"/>
        <v>212.5</v>
      </c>
      <c r="AH52" s="205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spans="1:47" ht="15.3" x14ac:dyDescent="0.55000000000000004">
      <c r="A53" s="159" t="s">
        <v>41</v>
      </c>
      <c r="B53" s="159"/>
      <c r="C53" s="159"/>
      <c r="D53" s="159"/>
      <c r="E53" s="160"/>
      <c r="F53" s="160"/>
      <c r="G53" s="160"/>
      <c r="H53" s="159"/>
      <c r="I53" s="159"/>
      <c r="J53" s="7"/>
      <c r="K53" s="7"/>
      <c r="L53" s="7"/>
      <c r="M53" s="7"/>
      <c r="N53" s="7"/>
      <c r="O53" s="7"/>
      <c r="P53" s="7"/>
      <c r="Q53" s="243">
        <v>4.05</v>
      </c>
      <c r="R53" s="244">
        <v>210.1</v>
      </c>
      <c r="S53" s="244">
        <f t="shared" si="17"/>
        <v>275.62386407032761</v>
      </c>
      <c r="T53" s="244">
        <f t="shared" si="16"/>
        <v>165.9241184736307</v>
      </c>
      <c r="U53" s="245">
        <f t="shared" si="7"/>
        <v>211.96430000000001</v>
      </c>
      <c r="V53" s="246" t="str">
        <f t="shared" si="3"/>
        <v>Бифуркация</v>
      </c>
      <c r="W53" s="29" t="str">
        <f t="shared" si="8"/>
        <v/>
      </c>
      <c r="X53" s="203" t="e">
        <f t="shared" ca="1" si="4"/>
        <v>#NUM!</v>
      </c>
      <c r="Y53" s="202">
        <f t="shared" si="15"/>
        <v>1.7061611374407584</v>
      </c>
      <c r="Z53" s="202">
        <f t="shared" si="9"/>
        <v>1.3090909090909091</v>
      </c>
      <c r="AA53" s="202">
        <f t="shared" si="10"/>
        <v>2.1818181818181817</v>
      </c>
      <c r="AB53" s="199">
        <f t="shared" si="11"/>
        <v>161.49660952380952</v>
      </c>
      <c r="AC53" s="199">
        <f t="shared" si="5"/>
        <v>1.1784976905616737</v>
      </c>
      <c r="AD53" s="204">
        <f t="shared" si="12"/>
        <v>12017.713194855896</v>
      </c>
      <c r="AE53" s="204">
        <f t="shared" si="13"/>
        <v>0.18262978661145124</v>
      </c>
      <c r="AF53" s="204">
        <f t="shared" si="14"/>
        <v>-2.922121212121238E-2</v>
      </c>
      <c r="AG53" s="204">
        <f t="shared" si="6"/>
        <v>211.96430000000001</v>
      </c>
      <c r="AH53" s="205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spans="1:47" s="187" customFormat="1" ht="15.3" x14ac:dyDescent="0.55000000000000004">
      <c r="A54" s="159" t="s">
        <v>38</v>
      </c>
      <c r="B54" s="159"/>
      <c r="C54" s="159"/>
      <c r="D54" s="159"/>
      <c r="E54" s="160"/>
      <c r="F54" s="160"/>
      <c r="G54" s="160"/>
      <c r="H54" s="159"/>
      <c r="I54" s="159"/>
      <c r="J54" s="7"/>
      <c r="K54" s="7"/>
      <c r="L54" s="7"/>
      <c r="M54" s="7"/>
      <c r="N54" s="7"/>
      <c r="O54" s="7"/>
      <c r="P54" s="7"/>
      <c r="Q54" s="243">
        <v>4.1399999999999997</v>
      </c>
      <c r="R54" s="244">
        <v>149</v>
      </c>
      <c r="S54" s="244">
        <f t="shared" si="17"/>
        <v>275.77801117457142</v>
      </c>
      <c r="T54" s="244">
        <f t="shared" si="16"/>
        <v>166.22714533713602</v>
      </c>
      <c r="U54" s="245">
        <f t="shared" si="7"/>
        <v>211</v>
      </c>
      <c r="V54" s="246" t="str">
        <f t="shared" si="3"/>
        <v>Бифуркация</v>
      </c>
      <c r="W54" s="29">
        <f t="shared" si="8"/>
        <v>31</v>
      </c>
      <c r="X54" s="203" t="b">
        <f t="shared" ca="1" si="4"/>
        <v>1</v>
      </c>
      <c r="Y54" s="202">
        <f t="shared" si="15"/>
        <v>1.7061611374407584</v>
      </c>
      <c r="Z54" s="202">
        <f t="shared" si="9"/>
        <v>1.3090909090909091</v>
      </c>
      <c r="AA54" s="202">
        <f t="shared" si="10"/>
        <v>2.1686746987951806</v>
      </c>
      <c r="AB54" s="199">
        <f t="shared" si="11"/>
        <v>160.76190476190473</v>
      </c>
      <c r="AC54" s="199">
        <f t="shared" si="5"/>
        <v>1.1731362909155603</v>
      </c>
      <c r="AD54" s="204">
        <f t="shared" si="12"/>
        <v>12001.39220573177</v>
      </c>
      <c r="AE54" s="204">
        <f t="shared" si="13"/>
        <v>0</v>
      </c>
      <c r="AF54" s="204">
        <f t="shared" si="14"/>
        <v>-0.93939393939393945</v>
      </c>
      <c r="AG54" s="204">
        <f t="shared" si="6"/>
        <v>211</v>
      </c>
      <c r="AH54" s="205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1:47" ht="15.3" x14ac:dyDescent="0.55000000000000004">
      <c r="A55" s="159"/>
      <c r="B55" s="159"/>
      <c r="C55" s="159"/>
      <c r="D55" s="159"/>
      <c r="E55" s="160"/>
      <c r="F55" s="160"/>
      <c r="G55" s="160"/>
      <c r="H55" s="159"/>
      <c r="I55" s="159"/>
      <c r="J55" s="7"/>
      <c r="K55" s="7"/>
      <c r="L55" s="7"/>
      <c r="M55" s="7"/>
      <c r="N55" s="7"/>
      <c r="O55" s="7"/>
      <c r="P55" s="7"/>
      <c r="Q55" s="243">
        <v>4.1399999999999997</v>
      </c>
      <c r="R55" s="244">
        <v>211</v>
      </c>
      <c r="S55" s="244">
        <f t="shared" si="17"/>
        <v>275.77801117457142</v>
      </c>
      <c r="T55" s="244">
        <f t="shared" si="16"/>
        <v>166.22714533713602</v>
      </c>
      <c r="U55" s="245">
        <f t="shared" si="7"/>
        <v>211</v>
      </c>
      <c r="V55" s="246" t="str">
        <f t="shared" si="3"/>
        <v>Бифуркация</v>
      </c>
      <c r="W55" s="29">
        <f t="shared" si="8"/>
        <v>31</v>
      </c>
      <c r="X55" s="203" t="e">
        <f t="shared" ca="1" si="4"/>
        <v>#NUM!</v>
      </c>
      <c r="Y55" s="202">
        <f t="shared" si="15"/>
        <v>1.7061611374407584</v>
      </c>
      <c r="Z55" s="202">
        <f t="shared" si="9"/>
        <v>1.3090909090909091</v>
      </c>
      <c r="AA55" s="202">
        <f t="shared" si="10"/>
        <v>2.1686746987951806</v>
      </c>
      <c r="AB55" s="199">
        <f t="shared" si="11"/>
        <v>160.76190476190473</v>
      </c>
      <c r="AC55" s="199">
        <f t="shared" si="5"/>
        <v>1.1731362909155603</v>
      </c>
      <c r="AD55" s="204">
        <f t="shared" si="12"/>
        <v>11956.455700237693</v>
      </c>
      <c r="AE55" s="204">
        <f t="shared" si="13"/>
        <v>0.5028417578630513</v>
      </c>
      <c r="AF55" s="204">
        <f t="shared" si="14"/>
        <v>-0.93939393939393945</v>
      </c>
      <c r="AG55" s="204">
        <f t="shared" si="6"/>
        <v>211</v>
      </c>
      <c r="AH55" s="205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spans="1:47" s="172" customFormat="1" ht="15.3" x14ac:dyDescent="0.55000000000000004">
      <c r="A56" s="191"/>
      <c r="B56" s="191"/>
      <c r="C56" s="191"/>
      <c r="D56" s="191"/>
      <c r="E56" s="192"/>
      <c r="F56" s="192"/>
      <c r="G56" s="192"/>
      <c r="H56" s="191"/>
      <c r="I56" s="191"/>
      <c r="J56" s="193"/>
      <c r="K56" s="193"/>
      <c r="L56" s="193"/>
      <c r="M56" s="193"/>
      <c r="N56" s="193"/>
      <c r="O56" s="193"/>
      <c r="P56" s="193"/>
      <c r="Q56" s="229">
        <v>4.41</v>
      </c>
      <c r="R56" s="230">
        <v>322</v>
      </c>
      <c r="S56" s="231">
        <f t="shared" si="17"/>
        <v>276.20291135472996</v>
      </c>
      <c r="T56" s="231">
        <f t="shared" si="16"/>
        <v>167.06300483679485</v>
      </c>
      <c r="U56" s="250">
        <f t="shared" si="7"/>
        <v>180</v>
      </c>
      <c r="V56" s="232" t="str">
        <f t="shared" si="3"/>
        <v>Стабилизация</v>
      </c>
      <c r="W56" s="201">
        <f t="shared" si="8"/>
        <v>28.588004434782846</v>
      </c>
      <c r="X56" s="200" t="b">
        <f t="shared" ca="1" si="4"/>
        <v>1</v>
      </c>
      <c r="Y56" s="202">
        <f t="shared" si="15"/>
        <v>2</v>
      </c>
      <c r="Z56" s="202">
        <f t="shared" si="9"/>
        <v>1.3043478260869565</v>
      </c>
      <c r="AA56" s="202">
        <f t="shared" si="10"/>
        <v>2.1556886227544911</v>
      </c>
      <c r="AB56" s="255">
        <f t="shared" si="11"/>
        <v>137.14285714285714</v>
      </c>
      <c r="AC56" s="199">
        <f t="shared" si="5"/>
        <v>1.0007797742407625</v>
      </c>
      <c r="AD56" s="204">
        <f t="shared" si="12"/>
        <v>11863.6045025288</v>
      </c>
      <c r="AE56" s="204">
        <f t="shared" si="13"/>
        <v>0.53501664596039578</v>
      </c>
      <c r="AF56" s="204">
        <f t="shared" si="14"/>
        <v>0</v>
      </c>
      <c r="AG56" s="204">
        <f t="shared" si="6"/>
        <v>180</v>
      </c>
      <c r="AH56" s="205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</row>
    <row r="57" spans="1:47" ht="15.3" x14ac:dyDescent="0.55000000000000004">
      <c r="A57" s="159" t="s">
        <v>18</v>
      </c>
      <c r="B57" s="159"/>
      <c r="C57" s="159"/>
      <c r="D57" s="159"/>
      <c r="E57" s="160"/>
      <c r="F57" s="160"/>
      <c r="G57" s="160"/>
      <c r="H57" s="7"/>
      <c r="I57" s="7"/>
      <c r="J57" s="7"/>
      <c r="K57" s="7"/>
      <c r="L57" s="7"/>
      <c r="M57" s="7"/>
      <c r="N57" s="7"/>
      <c r="O57" s="7"/>
      <c r="P57" s="7"/>
      <c r="Q57" s="233">
        <v>4.74</v>
      </c>
      <c r="R57" s="231">
        <v>166</v>
      </c>
      <c r="S57" s="231">
        <f t="shared" si="17"/>
        <v>276.65681884939255</v>
      </c>
      <c r="T57" s="231">
        <f t="shared" si="16"/>
        <v>167.95681972191332</v>
      </c>
      <c r="U57" s="250">
        <f t="shared" si="7"/>
        <v>180</v>
      </c>
      <c r="V57" s="234" t="str">
        <f t="shared" si="3"/>
        <v>Стабилизация</v>
      </c>
      <c r="W57" s="29">
        <f t="shared" si="8"/>
        <v>25.89337655374943</v>
      </c>
      <c r="X57" s="200" t="b">
        <f t="shared" ca="1" si="4"/>
        <v>1</v>
      </c>
      <c r="Y57" s="202">
        <f t="shared" si="15"/>
        <v>2</v>
      </c>
      <c r="Z57" s="202">
        <f t="shared" si="9"/>
        <v>1.3043478260869565</v>
      </c>
      <c r="AA57" s="202">
        <f t="shared" si="10"/>
        <v>2.1556886227544911</v>
      </c>
      <c r="AB57" s="255">
        <f t="shared" si="11"/>
        <v>137.14285714285714</v>
      </c>
      <c r="AC57" s="199">
        <f t="shared" si="5"/>
        <v>1.0007797742407625</v>
      </c>
      <c r="AD57" s="204">
        <f t="shared" si="12"/>
        <v>11765.931765298476</v>
      </c>
      <c r="AE57" s="204">
        <f t="shared" si="13"/>
        <v>0.55437072062820736</v>
      </c>
      <c r="AF57" s="204">
        <f t="shared" si="14"/>
        <v>0</v>
      </c>
      <c r="AG57" s="204">
        <f t="shared" si="6"/>
        <v>180</v>
      </c>
      <c r="AH57" s="205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spans="1:47" ht="15.3" x14ac:dyDescent="0.55000000000000004">
      <c r="A58" s="159" t="s">
        <v>39</v>
      </c>
      <c r="B58" s="159"/>
      <c r="C58" s="159"/>
      <c r="D58" s="159"/>
      <c r="E58" s="160"/>
      <c r="F58" s="160"/>
      <c r="G58" s="160"/>
      <c r="H58" s="7"/>
      <c r="I58" s="7"/>
      <c r="J58" s="7"/>
      <c r="K58" s="7"/>
      <c r="L58" s="7"/>
      <c r="M58" s="7"/>
      <c r="N58" s="7"/>
      <c r="O58" s="7"/>
      <c r="P58" s="7"/>
      <c r="Q58" s="233">
        <v>5.14</v>
      </c>
      <c r="R58" s="231">
        <v>170</v>
      </c>
      <c r="S58" s="231">
        <f t="shared" ref="S58:S68" si="18">(ATAN2(-(Q58/2)*SIN(1), (0.5/2)*COS(1)))*90</f>
        <v>277.12919864643322</v>
      </c>
      <c r="T58" s="231">
        <f t="shared" si="16"/>
        <v>168.88792315374991</v>
      </c>
      <c r="U58" s="250">
        <f t="shared" si="7"/>
        <v>180</v>
      </c>
      <c r="V58" s="234" t="str">
        <f t="shared" ref="V58:V68" si="19">IF(2*Q58 &lt; 5,"Сингулярность",IF(AND(2*Q58 &gt;= 5, 2*Q58 &lt; 7),"Предбифуркация",IF(AND(2*Q58 &gt;= 7, 2*Q58&lt;= 8.28),"Бифуркация", IF(AND(2*Q58&gt; 8.28, 2*Q58 &lt; 20),"Стабилизация", IF(2*Q58 &gt;= 20,"Распад", "Н/Д")))))</f>
        <v>Стабилизация</v>
      </c>
      <c r="W58" s="29">
        <f t="shared" ref="W58:W68" si="20">IF(AND(2*Q58 &gt;= 8.28, 2*Q58 &lt; 20),31 * EXP(-0.15 * (2*Q58 - 8.28)),"")</f>
        <v>22.965364841133255</v>
      </c>
      <c r="X58" s="200" t="b">
        <f t="shared" ca="1" si="4"/>
        <v>1</v>
      </c>
      <c r="Y58" s="202">
        <f t="shared" si="15"/>
        <v>2</v>
      </c>
      <c r="Z58" s="202">
        <f t="shared" si="9"/>
        <v>1.2996389891696751</v>
      </c>
      <c r="AA58" s="202">
        <f t="shared" si="10"/>
        <v>2.1428571428571428</v>
      </c>
      <c r="AB58" s="255">
        <f t="shared" si="11"/>
        <v>137.14285714285714</v>
      </c>
      <c r="AC58" s="199">
        <f t="shared" si="5"/>
        <v>1.0007797742407625</v>
      </c>
      <c r="AD58" s="204">
        <f t="shared" si="12"/>
        <v>11687.821292795066</v>
      </c>
      <c r="AE58" s="204">
        <f t="shared" si="13"/>
        <v>0.31495113775738853</v>
      </c>
      <c r="AF58" s="204">
        <f t="shared" si="14"/>
        <v>0</v>
      </c>
      <c r="AG58" s="204">
        <f t="shared" si="6"/>
        <v>180</v>
      </c>
      <c r="AH58" s="205">
        <f t="shared" ref="AH58" si="21" xml:space="preserve"> (LN(U59) - LN(U58)) / (LN((Q59*2)- 10) - LN((Q58*2) - 10))</f>
        <v>0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spans="1:47" ht="15.3" x14ac:dyDescent="0.55000000000000004">
      <c r="A59" s="159" t="s">
        <v>46</v>
      </c>
      <c r="B59" s="159"/>
      <c r="C59" s="159"/>
      <c r="D59" s="159"/>
      <c r="E59" s="160"/>
      <c r="F59" s="160"/>
      <c r="G59" s="160"/>
      <c r="H59" s="7"/>
      <c r="I59" s="7"/>
      <c r="J59" s="7"/>
      <c r="K59" s="7"/>
      <c r="L59" s="7"/>
      <c r="M59" s="7"/>
      <c r="N59" s="7"/>
      <c r="O59" s="7"/>
      <c r="P59" s="7"/>
      <c r="Q59" s="233">
        <v>5.4</v>
      </c>
      <c r="R59" s="231">
        <v>169</v>
      </c>
      <c r="S59" s="231">
        <f t="shared" si="18"/>
        <v>277.39885807614263</v>
      </c>
      <c r="T59" s="231">
        <f t="shared" si="16"/>
        <v>169.41983758925747</v>
      </c>
      <c r="U59" s="250">
        <f t="shared" si="7"/>
        <v>180</v>
      </c>
      <c r="V59" s="234" t="str">
        <f t="shared" si="19"/>
        <v>Стабилизация</v>
      </c>
      <c r="W59" s="29">
        <f t="shared" si="20"/>
        <v>21.242145520641976</v>
      </c>
      <c r="X59" s="200" t="b">
        <f t="shared" ca="1" si="4"/>
        <v>1</v>
      </c>
      <c r="Y59" s="202">
        <f t="shared" si="15"/>
        <v>2</v>
      </c>
      <c r="Z59" s="202">
        <f t="shared" si="9"/>
        <v>1.2996389891696751</v>
      </c>
      <c r="AA59" s="202">
        <f t="shared" si="10"/>
        <v>2.1301775147928996</v>
      </c>
      <c r="AB59" s="255">
        <f t="shared" si="11"/>
        <v>137.14285714285714</v>
      </c>
      <c r="AC59" s="199">
        <f t="shared" si="5"/>
        <v>1.0007797742407625</v>
      </c>
      <c r="AD59" s="204">
        <f t="shared" si="12"/>
        <v>11659.468865307166</v>
      </c>
      <c r="AE59" s="204">
        <f t="shared" si="13"/>
        <v>0</v>
      </c>
      <c r="AF59" s="204">
        <f t="shared" si="14"/>
        <v>0</v>
      </c>
      <c r="AG59" s="212" t="e">
        <f>U59/((Q59*2)-20)^AH59</f>
        <v>#DIV/0!</v>
      </c>
      <c r="AH59" s="211" t="e">
        <f xml:space="preserve"> (LN(U60) - LN(U59)) / (LN((Q60*2)- 10) - LN((Q59*2) - 10))</f>
        <v>#DIV/0!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spans="1:47" ht="15.3" x14ac:dyDescent="0.55000000000000004">
      <c r="A60" s="159"/>
      <c r="B60" s="159"/>
      <c r="C60" s="159"/>
      <c r="D60" s="159"/>
      <c r="E60" s="160"/>
      <c r="F60" s="160"/>
      <c r="G60" s="160"/>
      <c r="H60" s="7"/>
      <c r="I60" s="7"/>
      <c r="J60" s="7"/>
      <c r="K60" s="7"/>
      <c r="L60" s="7"/>
      <c r="M60" s="7"/>
      <c r="N60" s="7"/>
      <c r="O60" s="7"/>
      <c r="P60" s="7"/>
      <c r="Q60" s="233">
        <v>5.4</v>
      </c>
      <c r="R60" s="231">
        <v>187</v>
      </c>
      <c r="S60" s="231">
        <f t="shared" si="18"/>
        <v>277.39885807614263</v>
      </c>
      <c r="T60" s="231">
        <f t="shared" si="16"/>
        <v>169.41983758925747</v>
      </c>
      <c r="U60" s="250">
        <f t="shared" si="7"/>
        <v>180</v>
      </c>
      <c r="V60" s="234" t="str">
        <f t="shared" si="19"/>
        <v>Стабилизация</v>
      </c>
      <c r="W60" s="29">
        <f t="shared" si="20"/>
        <v>21.242145520641976</v>
      </c>
      <c r="X60" s="200" t="b">
        <f t="shared" ca="1" si="4"/>
        <v>1</v>
      </c>
      <c r="Y60" s="202">
        <f t="shared" si="15"/>
        <v>2</v>
      </c>
      <c r="Z60" s="202">
        <f t="shared" si="9"/>
        <v>1.2996389891696751</v>
      </c>
      <c r="AA60" s="202">
        <f t="shared" si="10"/>
        <v>2.1301775147928996</v>
      </c>
      <c r="AB60" s="255">
        <f t="shared" si="11"/>
        <v>137.14285714285714</v>
      </c>
      <c r="AC60" s="199">
        <f t="shared" si="5"/>
        <v>1.0007797742407625</v>
      </c>
      <c r="AD60" s="204">
        <f t="shared" si="12"/>
        <v>11651.291752375761</v>
      </c>
      <c r="AE60" s="204">
        <f t="shared" si="13"/>
        <v>9.0660930513001156E-2</v>
      </c>
      <c r="AF60" s="204">
        <f t="shared" si="14"/>
        <v>0</v>
      </c>
      <c r="AG60" s="204">
        <f t="shared" ref="AG60:AG68" si="22">U60/((Q60*2)-20)^AH60</f>
        <v>180</v>
      </c>
      <c r="AH60" s="205">
        <f t="shared" ref="AH60:AH67" si="23" xml:space="preserve"> (LN(U61) - LN(U60)) / (LN((Q61*2)- 10) - LN((Q60*2) - 10))</f>
        <v>0</v>
      </c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spans="1:47" ht="15.3" x14ac:dyDescent="0.55000000000000004">
      <c r="A61" s="159"/>
      <c r="B61" s="159"/>
      <c r="C61" s="159"/>
      <c r="D61" s="159"/>
      <c r="E61" s="160"/>
      <c r="F61" s="160"/>
      <c r="G61" s="160"/>
      <c r="H61" s="7"/>
      <c r="I61" s="7"/>
      <c r="J61" s="7"/>
      <c r="K61" s="7"/>
      <c r="L61" s="7"/>
      <c r="M61" s="7"/>
      <c r="N61" s="7"/>
      <c r="O61" s="7"/>
      <c r="P61" s="7"/>
      <c r="Q61" s="233">
        <v>5.48</v>
      </c>
      <c r="R61" s="231">
        <v>163</v>
      </c>
      <c r="S61" s="231">
        <f t="shared" si="18"/>
        <v>277.47670038410797</v>
      </c>
      <c r="T61" s="231">
        <f t="shared" si="16"/>
        <v>169.5734351904895</v>
      </c>
      <c r="U61" s="250">
        <f t="shared" si="7"/>
        <v>180</v>
      </c>
      <c r="V61" s="234" t="str">
        <f t="shared" si="19"/>
        <v>Стабилизация</v>
      </c>
      <c r="W61" s="29">
        <f t="shared" si="20"/>
        <v>20.738403116400743</v>
      </c>
      <c r="X61" s="200" t="b">
        <f t="shared" ca="1" si="4"/>
        <v>1</v>
      </c>
      <c r="Y61" s="202">
        <f t="shared" si="15"/>
        <v>2</v>
      </c>
      <c r="Z61" s="202">
        <f t="shared" si="9"/>
        <v>1.2996389891696751</v>
      </c>
      <c r="AA61" s="202">
        <f t="shared" si="10"/>
        <v>2.1301775147928996</v>
      </c>
      <c r="AB61" s="255">
        <f t="shared" si="11"/>
        <v>137.14285714285714</v>
      </c>
      <c r="AC61" s="199">
        <f t="shared" si="5"/>
        <v>1.0007797742407625</v>
      </c>
      <c r="AD61" s="204">
        <f t="shared" si="12"/>
        <v>11595.331066838968</v>
      </c>
      <c r="AE61" s="204">
        <f t="shared" si="13"/>
        <v>0.53031975618583305</v>
      </c>
      <c r="AF61" s="204">
        <f t="shared" si="14"/>
        <v>0</v>
      </c>
      <c r="AG61" s="204">
        <f t="shared" si="22"/>
        <v>180</v>
      </c>
      <c r="AH61" s="205">
        <f t="shared" si="23"/>
        <v>0</v>
      </c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spans="1:47" ht="15.3" x14ac:dyDescent="0.55000000000000004">
      <c r="A62" s="159" t="s">
        <v>40</v>
      </c>
      <c r="B62" s="159"/>
      <c r="C62" s="159"/>
      <c r="D62" s="159"/>
      <c r="E62" s="160"/>
      <c r="F62" s="160"/>
      <c r="G62" s="160"/>
      <c r="H62" s="7"/>
      <c r="I62" s="7"/>
      <c r="J62" s="7"/>
      <c r="K62" s="7"/>
      <c r="L62" s="7"/>
      <c r="M62" s="7"/>
      <c r="N62" s="7"/>
      <c r="O62" s="7"/>
      <c r="P62" s="7"/>
      <c r="Q62" s="233">
        <v>6</v>
      </c>
      <c r="R62" s="231">
        <v>172</v>
      </c>
      <c r="S62" s="231">
        <f t="shared" si="18"/>
        <v>277.93223222434955</v>
      </c>
      <c r="T62" s="231">
        <f t="shared" si="16"/>
        <v>170.47271661854765</v>
      </c>
      <c r="U62" s="250">
        <f t="shared" si="7"/>
        <v>180</v>
      </c>
      <c r="V62" s="234" t="str">
        <f t="shared" si="19"/>
        <v>Стабилизация</v>
      </c>
      <c r="W62" s="29">
        <f t="shared" si="20"/>
        <v>17.74293137985563</v>
      </c>
      <c r="X62" s="200" t="b">
        <f t="shared" ca="1" si="4"/>
        <v>1</v>
      </c>
      <c r="Y62" s="202">
        <f t="shared" si="15"/>
        <v>2</v>
      </c>
      <c r="Z62" s="202">
        <f t="shared" si="9"/>
        <v>1.2996389891696751</v>
      </c>
      <c r="AA62" s="202">
        <f t="shared" si="10"/>
        <v>2.1176470588235294</v>
      </c>
      <c r="AB62" s="255">
        <f t="shared" si="11"/>
        <v>137.14285714285714</v>
      </c>
      <c r="AC62" s="199">
        <f t="shared" si="5"/>
        <v>1.0007797742407625</v>
      </c>
      <c r="AD62" s="204">
        <f t="shared" si="12"/>
        <v>11487.790715659523</v>
      </c>
      <c r="AE62" s="204">
        <f t="shared" si="13"/>
        <v>0.6622031510795543</v>
      </c>
      <c r="AF62" s="204">
        <f t="shared" si="14"/>
        <v>0</v>
      </c>
      <c r="AG62" s="204">
        <f t="shared" si="22"/>
        <v>180</v>
      </c>
      <c r="AH62" s="205">
        <f t="shared" si="23"/>
        <v>0</v>
      </c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spans="1:47" s="169" customFormat="1" ht="15.3" x14ac:dyDescent="0.55000000000000004">
      <c r="A63" s="166"/>
      <c r="B63" s="166"/>
      <c r="C63" s="166"/>
      <c r="D63" s="166"/>
      <c r="E63" s="167"/>
      <c r="F63" s="167"/>
      <c r="G63" s="167"/>
      <c r="H63" s="168"/>
      <c r="I63" s="168"/>
      <c r="J63" s="168"/>
      <c r="K63" s="168"/>
      <c r="L63" s="168"/>
      <c r="M63" s="168"/>
      <c r="N63" s="168"/>
      <c r="O63" s="168"/>
      <c r="P63" s="168"/>
      <c r="Q63" s="229">
        <v>6.81</v>
      </c>
      <c r="R63" s="230">
        <v>23</v>
      </c>
      <c r="S63" s="230">
        <f t="shared" si="18"/>
        <v>278.50357516890233</v>
      </c>
      <c r="T63" s="230">
        <f t="shared" si="16"/>
        <v>171.60159231972659</v>
      </c>
      <c r="U63" s="250">
        <f t="shared" si="7"/>
        <v>180</v>
      </c>
      <c r="V63" s="232" t="str">
        <f t="shared" si="19"/>
        <v>Стабилизация</v>
      </c>
      <c r="W63" s="201">
        <f t="shared" si="20"/>
        <v>13.915275652024226</v>
      </c>
      <c r="X63" s="200" t="b">
        <f t="shared" ca="1" si="4"/>
        <v>1</v>
      </c>
      <c r="Y63" s="202">
        <f t="shared" si="15"/>
        <v>2</v>
      </c>
      <c r="Z63" s="202">
        <f t="shared" si="9"/>
        <v>1.2949640287769784</v>
      </c>
      <c r="AA63" s="202">
        <f t="shared" si="10"/>
        <v>2.1052631578947367</v>
      </c>
      <c r="AB63" s="255">
        <f t="shared" si="11"/>
        <v>137.14285714285714</v>
      </c>
      <c r="AC63" s="199">
        <f t="shared" si="5"/>
        <v>1.0007797742407625</v>
      </c>
      <c r="AD63" s="204">
        <f t="shared" si="12"/>
        <v>11416.03961943875</v>
      </c>
      <c r="AE63" s="204">
        <f t="shared" si="13"/>
        <v>0.1323846225741134</v>
      </c>
      <c r="AF63" s="204">
        <f t="shared" si="14"/>
        <v>0</v>
      </c>
      <c r="AG63" s="204">
        <f t="shared" si="22"/>
        <v>180</v>
      </c>
      <c r="AH63" s="205">
        <f t="shared" si="23"/>
        <v>0</v>
      </c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</row>
    <row r="64" spans="1:47" ht="15.3" x14ac:dyDescent="0.55000000000000004">
      <c r="A64" s="159" t="s">
        <v>42</v>
      </c>
      <c r="B64" s="159"/>
      <c r="C64" s="159"/>
      <c r="D64" s="159"/>
      <c r="E64" s="160"/>
      <c r="F64" s="160"/>
      <c r="G64" s="160"/>
      <c r="H64" s="7"/>
      <c r="I64" s="7"/>
      <c r="J64" s="7"/>
      <c r="K64" s="7"/>
      <c r="L64" s="7"/>
      <c r="M64" s="7"/>
      <c r="N64" s="7"/>
      <c r="O64" s="7"/>
      <c r="P64" s="7"/>
      <c r="Q64" s="233">
        <v>7</v>
      </c>
      <c r="R64" s="231">
        <v>340.5</v>
      </c>
      <c r="S64" s="231">
        <f t="shared" si="18"/>
        <v>278.61849114140921</v>
      </c>
      <c r="T64" s="231">
        <f t="shared" si="16"/>
        <v>171.82876644005023</v>
      </c>
      <c r="U64" s="250">
        <f t="shared" si="7"/>
        <v>180</v>
      </c>
      <c r="V64" s="234" t="str">
        <f t="shared" si="19"/>
        <v>Стабилизация</v>
      </c>
      <c r="W64" s="29">
        <f t="shared" si="20"/>
        <v>13.144286854502464</v>
      </c>
      <c r="X64" s="200" t="b">
        <f t="shared" ca="1" si="4"/>
        <v>1</v>
      </c>
      <c r="Y64" s="202">
        <f t="shared" si="15"/>
        <v>2</v>
      </c>
      <c r="Z64" s="202">
        <f t="shared" si="9"/>
        <v>1.2949640287769784</v>
      </c>
      <c r="AA64" s="202">
        <f t="shared" si="10"/>
        <v>2.1052631578947367</v>
      </c>
      <c r="AB64" s="255">
        <f t="shared" si="11"/>
        <v>137.14285714285714</v>
      </c>
      <c r="AC64" s="199">
        <f t="shared" si="5"/>
        <v>1.0007797742407625</v>
      </c>
      <c r="AD64" s="204">
        <f t="shared" si="12"/>
        <v>11395.620140600928</v>
      </c>
      <c r="AE64" s="204">
        <f t="shared" si="13"/>
        <v>9.2937575029905448E-2</v>
      </c>
      <c r="AF64" s="204">
        <f t="shared" si="14"/>
        <v>0</v>
      </c>
      <c r="AG64" s="204">
        <f t="shared" si="22"/>
        <v>180</v>
      </c>
      <c r="AH64" s="205">
        <f t="shared" si="23"/>
        <v>0</v>
      </c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spans="1:47" s="187" customFormat="1" ht="15.3" x14ac:dyDescent="0.55000000000000004">
      <c r="A65" s="160" t="s">
        <v>43</v>
      </c>
      <c r="B65" s="160"/>
      <c r="C65" s="160"/>
      <c r="D65" s="159"/>
      <c r="E65" s="160"/>
      <c r="F65" s="160"/>
      <c r="G65" s="160"/>
      <c r="H65" s="7"/>
      <c r="I65" s="7"/>
      <c r="J65" s="7"/>
      <c r="K65" s="7"/>
      <c r="L65" s="7"/>
      <c r="M65" s="7"/>
      <c r="N65" s="7"/>
      <c r="O65" s="7"/>
      <c r="P65" s="7"/>
      <c r="Q65" s="233">
        <v>7.14</v>
      </c>
      <c r="R65" s="231">
        <v>172</v>
      </c>
      <c r="S65" s="231">
        <f t="shared" si="18"/>
        <v>278.69926059774014</v>
      </c>
      <c r="T65" s="231">
        <f t="shared" si="16"/>
        <v>171.98845992878341</v>
      </c>
      <c r="U65" s="250">
        <f t="shared" si="7"/>
        <v>180</v>
      </c>
      <c r="V65" s="234" t="str">
        <f t="shared" si="19"/>
        <v>Стабилизация</v>
      </c>
      <c r="W65" s="29">
        <f t="shared" si="20"/>
        <v>12.603659451958574</v>
      </c>
      <c r="X65" s="200" t="b">
        <f t="shared" ca="1" si="4"/>
        <v>1</v>
      </c>
      <c r="Y65" s="202">
        <f t="shared" si="15"/>
        <v>2</v>
      </c>
      <c r="Z65" s="202">
        <f t="shared" si="9"/>
        <v>1.2949640287769784</v>
      </c>
      <c r="AA65" s="202">
        <f t="shared" si="10"/>
        <v>2.1052631578947367</v>
      </c>
      <c r="AB65" s="255">
        <f t="shared" si="11"/>
        <v>137.14285714285714</v>
      </c>
      <c r="AC65" s="199">
        <f t="shared" si="5"/>
        <v>1.0007797742407625</v>
      </c>
      <c r="AD65" s="204">
        <f t="shared" si="12"/>
        <v>11387.194979409815</v>
      </c>
      <c r="AE65" s="204">
        <f t="shared" si="13"/>
        <v>0</v>
      </c>
      <c r="AF65" s="204">
        <f t="shared" si="14"/>
        <v>0</v>
      </c>
      <c r="AG65" s="212" t="e">
        <f t="shared" si="22"/>
        <v>#DIV/0!</v>
      </c>
      <c r="AH65" s="211" t="e">
        <f xml:space="preserve"> (LN(U66) - LN(U65)) / (LN((Q66*2)- 10) - LN((Q65*2) - 10))</f>
        <v>#DIV/0!</v>
      </c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spans="1:47" ht="15.3" x14ac:dyDescent="0.55000000000000004">
      <c r="A66" s="159" t="s">
        <v>44</v>
      </c>
      <c r="B66" s="159"/>
      <c r="C66" s="159"/>
      <c r="D66" s="159"/>
      <c r="E66" s="160"/>
      <c r="F66" s="160"/>
      <c r="G66" s="160"/>
      <c r="H66" s="7"/>
      <c r="I66" s="7"/>
      <c r="J66" s="7"/>
      <c r="K66" s="7"/>
      <c r="L66" s="7"/>
      <c r="M66" s="7"/>
      <c r="N66" s="7"/>
      <c r="O66" s="7"/>
      <c r="P66" s="7"/>
      <c r="Q66" s="233">
        <v>7.14</v>
      </c>
      <c r="R66" s="231">
        <v>188</v>
      </c>
      <c r="S66" s="231">
        <f t="shared" si="18"/>
        <v>278.69926059774014</v>
      </c>
      <c r="T66" s="231">
        <f t="shared" si="16"/>
        <v>171.98845992878341</v>
      </c>
      <c r="U66" s="250">
        <f t="shared" si="7"/>
        <v>180</v>
      </c>
      <c r="V66" s="234" t="str">
        <f t="shared" si="19"/>
        <v>Стабилизация</v>
      </c>
      <c r="W66" s="29">
        <f t="shared" si="20"/>
        <v>12.603659451958574</v>
      </c>
      <c r="X66" s="200" t="e">
        <f ca="1">RANDBETWEEN(U66,U68)&gt;0.5</f>
        <v>#NUM!</v>
      </c>
      <c r="Y66" s="202">
        <f t="shared" si="15"/>
        <v>2</v>
      </c>
      <c r="Z66" s="202">
        <f t="shared" si="9"/>
        <v>1.2949640287769784</v>
      </c>
      <c r="AA66" s="202">
        <f t="shared" si="10"/>
        <v>2.1052631578947367</v>
      </c>
      <c r="AB66" s="255">
        <f t="shared" si="11"/>
        <v>137.14285714285714</v>
      </c>
      <c r="AC66" s="199">
        <f t="shared" si="5"/>
        <v>1.0007797742407625</v>
      </c>
      <c r="AD66" s="204">
        <f t="shared" si="12"/>
        <v>11267.136613482868</v>
      </c>
      <c r="AE66" s="204">
        <f t="shared" si="13"/>
        <v>1.3295831708359831</v>
      </c>
      <c r="AF66" s="204">
        <f t="shared" si="14"/>
        <v>-5.2557766763665636</v>
      </c>
      <c r="AG66" s="204">
        <f t="shared" si="22"/>
        <v>180</v>
      </c>
      <c r="AH66" s="205">
        <f t="shared" si="23"/>
        <v>0</v>
      </c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spans="1:47" ht="15.3" x14ac:dyDescent="0.55000000000000004">
      <c r="A67" s="159"/>
      <c r="B67" s="159"/>
      <c r="C67" s="159"/>
      <c r="D67" s="159"/>
      <c r="E67" s="160"/>
      <c r="F67" s="160"/>
      <c r="G67" s="160"/>
      <c r="H67" s="7"/>
      <c r="I67" s="7"/>
      <c r="J67" s="7"/>
      <c r="K67" s="7"/>
      <c r="L67" s="7"/>
      <c r="M67" s="7"/>
      <c r="N67" s="7"/>
      <c r="O67" s="7"/>
      <c r="P67" s="7"/>
      <c r="Q67" s="252">
        <v>10</v>
      </c>
      <c r="R67" s="253">
        <v>6</v>
      </c>
      <c r="S67" s="253">
        <f t="shared" si="18"/>
        <v>279.85491415224743</v>
      </c>
      <c r="T67" s="253">
        <f t="shared" si="16"/>
        <v>174.27518954777651</v>
      </c>
      <c r="U67" s="251">
        <f t="shared" si="7"/>
        <v>180</v>
      </c>
      <c r="V67" s="254" t="str">
        <f t="shared" si="19"/>
        <v>Распад</v>
      </c>
      <c r="W67" s="29" t="str">
        <f t="shared" si="20"/>
        <v/>
      </c>
      <c r="X67" s="200" t="e">
        <f ca="1">RANDBETWEEN(U67,U69)&gt;0.5</f>
        <v>#NUM!</v>
      </c>
      <c r="Y67" s="202">
        <f t="shared" si="15"/>
        <v>2</v>
      </c>
      <c r="Z67" s="202">
        <f t="shared" si="9"/>
        <v>1.2903225806451613</v>
      </c>
      <c r="AA67" s="202"/>
      <c r="AB67" s="255">
        <f t="shared" si="11"/>
        <v>137.14285714285714</v>
      </c>
      <c r="AC67" s="199">
        <f t="shared" si="5"/>
        <v>1.0007797742407625</v>
      </c>
      <c r="AD67" s="204">
        <f t="shared" si="12"/>
        <v>11124.459768448047</v>
      </c>
      <c r="AE67" s="204">
        <f t="shared" si="13"/>
        <v>0.24858178121817182</v>
      </c>
      <c r="AF67" s="204">
        <f t="shared" si="14"/>
        <v>-5.4545454545454541</v>
      </c>
      <c r="AG67" s="212" t="e">
        <f t="shared" si="22"/>
        <v>#DIV/0!</v>
      </c>
      <c r="AH67" s="211">
        <f t="shared" si="23"/>
        <v>-21.809634534144788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spans="1:47" ht="15.3" x14ac:dyDescent="0.55000000000000004">
      <c r="A68" s="159" t="s">
        <v>45</v>
      </c>
      <c r="B68" s="159"/>
      <c r="C68" s="159"/>
      <c r="D68" s="159"/>
      <c r="E68" s="160"/>
      <c r="F68" s="160"/>
      <c r="G68" s="160"/>
      <c r="H68" s="7"/>
      <c r="I68" s="7"/>
      <c r="J68" s="7"/>
      <c r="K68" s="7"/>
      <c r="L68" s="7"/>
      <c r="M68" s="7"/>
      <c r="N68" s="7"/>
      <c r="O68" s="7"/>
      <c r="P68" s="7"/>
      <c r="Q68" s="252">
        <v>10.82</v>
      </c>
      <c r="R68" s="253">
        <v>6</v>
      </c>
      <c r="S68" s="253">
        <f t="shared" si="18"/>
        <v>280.07368145684723</v>
      </c>
      <c r="T68" s="253">
        <f t="shared" si="16"/>
        <v>174.70840591817571</v>
      </c>
      <c r="U68" s="251">
        <f t="shared" si="7"/>
        <v>6.5593696799033943</v>
      </c>
      <c r="V68" s="254" t="str">
        <f t="shared" si="19"/>
        <v>Распад</v>
      </c>
      <c r="W68" s="29" t="str">
        <f t="shared" si="20"/>
        <v/>
      </c>
      <c r="X68" s="200" t="e">
        <f t="shared" ca="1" si="4"/>
        <v>#NUM!</v>
      </c>
      <c r="Y68" s="202"/>
      <c r="Z68" s="202">
        <f t="shared" si="9"/>
        <v>1.2857142857142858</v>
      </c>
      <c r="AA68" s="202">
        <f t="shared" si="10"/>
        <v>2.0689655172413794</v>
      </c>
      <c r="AB68" s="199">
        <f t="shared" si="11"/>
        <v>4.9976149942121095</v>
      </c>
      <c r="AC68" s="199">
        <f t="shared" ref="AC68" si="24">AB68/137.036</f>
        <v>3.6469358374530123E-2</v>
      </c>
      <c r="AD68" s="204">
        <f t="shared" si="12"/>
        <v>11101.841289340169</v>
      </c>
      <c r="AE68" s="204"/>
      <c r="AF68" s="204">
        <f t="shared" si="14"/>
        <v>-0.19876877817889074</v>
      </c>
      <c r="AG68" s="204">
        <f t="shared" si="22"/>
        <v>6.5593696799033943</v>
      </c>
      <c r="AH68" s="205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spans="1:47" ht="15.3" x14ac:dyDescent="0.55000000000000004">
      <c r="A69" s="159" t="s">
        <v>48</v>
      </c>
      <c r="B69" s="159"/>
      <c r="C69" s="159"/>
      <c r="D69" s="159"/>
      <c r="E69" s="160"/>
      <c r="F69" s="160"/>
      <c r="G69" s="160"/>
      <c r="H69" s="7"/>
      <c r="I69" s="7"/>
      <c r="J69" s="7"/>
      <c r="K69" s="7"/>
      <c r="L69" s="7"/>
      <c r="M69" s="7"/>
      <c r="N69" s="7"/>
      <c r="O69" s="7"/>
      <c r="P69" s="7"/>
      <c r="X69" s="149"/>
      <c r="Y69" s="149"/>
      <c r="Z69" s="145"/>
      <c r="AA69" s="145"/>
      <c r="AB69" s="145"/>
      <c r="AC69" s="145"/>
      <c r="AD69" s="145"/>
      <c r="AE69" s="145"/>
      <c r="AF69" s="145"/>
      <c r="AG69" s="196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spans="1:47" ht="15.3" x14ac:dyDescent="0.55000000000000004">
      <c r="A70" s="159" t="s">
        <v>49</v>
      </c>
      <c r="B70" s="159"/>
      <c r="C70" s="159"/>
      <c r="D70" s="159"/>
      <c r="E70" s="160"/>
      <c r="F70" s="160"/>
      <c r="G70" s="160"/>
      <c r="H70" s="7"/>
      <c r="I70" s="7"/>
      <c r="J70" s="7"/>
      <c r="K70" s="7"/>
      <c r="L70" s="7"/>
      <c r="M70" s="7"/>
      <c r="N70" s="7"/>
      <c r="O70" s="7"/>
      <c r="P70" s="7"/>
      <c r="X70" s="7"/>
      <c r="Y70" s="149"/>
      <c r="Z70" s="145"/>
      <c r="AA70" s="145"/>
      <c r="AB70" s="145"/>
      <c r="AC70" s="145"/>
      <c r="AD70" s="145"/>
      <c r="AE70" s="145"/>
      <c r="AF70" s="145"/>
      <c r="AG70" s="196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spans="1:47" ht="15.3" x14ac:dyDescent="0.55000000000000004">
      <c r="A71" s="159" t="s">
        <v>50</v>
      </c>
      <c r="B71" s="159"/>
      <c r="C71" s="159"/>
      <c r="D71" s="159"/>
      <c r="E71" s="160"/>
      <c r="F71" s="160"/>
      <c r="G71" s="160"/>
      <c r="H71" s="7"/>
      <c r="I71" s="7"/>
      <c r="J71" s="7"/>
      <c r="K71" s="7"/>
      <c r="L71" s="7"/>
      <c r="M71" s="7"/>
      <c r="N71" s="7"/>
      <c r="O71" s="7"/>
      <c r="P71" s="7"/>
      <c r="Q71" t="s">
        <v>30</v>
      </c>
      <c r="X71" s="7"/>
      <c r="Y71" s="149"/>
      <c r="Z71" s="145"/>
      <c r="AA71" s="145"/>
      <c r="AB71" s="145"/>
      <c r="AC71" s="145"/>
      <c r="AD71" s="145"/>
      <c r="AE71" s="145"/>
      <c r="AF71" s="145"/>
      <c r="AG71" s="196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spans="1:47" ht="58.5" customHeight="1" x14ac:dyDescent="0.55000000000000004">
      <c r="A72" s="163" t="s">
        <v>47</v>
      </c>
      <c r="B72" s="163"/>
      <c r="C72" s="163"/>
      <c r="D72" s="163"/>
      <c r="E72" s="164"/>
      <c r="F72" s="164"/>
      <c r="G72" s="164"/>
      <c r="H72" s="165"/>
      <c r="I72" s="165"/>
      <c r="J72" s="7"/>
      <c r="K72" s="7"/>
      <c r="L72" s="7"/>
      <c r="M72" s="7"/>
      <c r="N72" s="7"/>
      <c r="O72" s="7"/>
      <c r="P72" s="7"/>
      <c r="Q72" s="257" t="s">
        <v>35</v>
      </c>
      <c r="R72" s="257"/>
      <c r="S72" s="259" t="s">
        <v>77</v>
      </c>
      <c r="T72" s="259"/>
      <c r="U72" s="259"/>
      <c r="V72" s="259"/>
      <c r="W72" s="259"/>
      <c r="X72" s="259"/>
      <c r="Y72" s="259"/>
      <c r="Z72" s="259"/>
      <c r="AA72" s="259"/>
      <c r="AB72" s="145"/>
      <c r="AC72" s="145"/>
      <c r="AD72" s="145"/>
      <c r="AE72" s="145"/>
      <c r="AF72" s="145"/>
      <c r="AG72" s="144"/>
    </row>
    <row r="73" spans="1:47" ht="30.3" customHeight="1" x14ac:dyDescent="0.55000000000000004">
      <c r="A73" s="159" t="s">
        <v>53</v>
      </c>
      <c r="B73" s="159"/>
      <c r="C73" s="159"/>
      <c r="D73" s="159"/>
      <c r="E73" s="160"/>
      <c r="F73" s="160"/>
      <c r="G73" s="160"/>
      <c r="H73" s="7"/>
      <c r="I73" s="7"/>
      <c r="J73" s="7"/>
      <c r="K73" s="7"/>
      <c r="L73" s="7"/>
      <c r="M73" s="7"/>
      <c r="N73" s="7"/>
      <c r="O73" s="7"/>
      <c r="P73" s="7"/>
      <c r="Q73" s="139" t="s">
        <v>36</v>
      </c>
      <c r="S73" s="258" t="s">
        <v>32</v>
      </c>
      <c r="T73" s="258"/>
      <c r="U73" s="258"/>
      <c r="V73" s="258"/>
      <c r="W73" s="258"/>
      <c r="X73" s="258"/>
      <c r="Y73" s="149"/>
      <c r="Z73" s="145"/>
      <c r="AA73" s="145"/>
      <c r="AB73" s="145"/>
      <c r="AC73" s="145"/>
      <c r="AD73" s="145"/>
      <c r="AE73" s="145"/>
      <c r="AF73" s="145"/>
      <c r="AG73" s="144"/>
    </row>
    <row r="74" spans="1:47" ht="15.3" x14ac:dyDescent="0.55000000000000004">
      <c r="A74" s="159" t="s">
        <v>51</v>
      </c>
      <c r="B74" s="159"/>
      <c r="C74" s="159"/>
      <c r="D74" s="159"/>
      <c r="E74" s="160"/>
      <c r="F74" s="160"/>
      <c r="G74" s="160"/>
      <c r="H74" s="7"/>
      <c r="I74" s="7"/>
      <c r="J74" s="7"/>
      <c r="K74" s="7"/>
      <c r="L74" s="7"/>
      <c r="M74" s="7"/>
      <c r="N74" s="7"/>
      <c r="O74" s="7"/>
      <c r="P74" s="7"/>
      <c r="Q74" s="256" t="s">
        <v>37</v>
      </c>
      <c r="R74" s="256"/>
      <c r="S74" s="257" t="s">
        <v>34</v>
      </c>
      <c r="T74" s="257"/>
      <c r="U74" s="257"/>
      <c r="V74" s="257"/>
      <c r="W74" s="257"/>
      <c r="X74" s="257"/>
      <c r="Y74" s="149"/>
      <c r="Z74" s="145"/>
      <c r="AA74" s="145"/>
      <c r="AB74" s="145"/>
      <c r="AC74" s="145"/>
      <c r="AD74" s="145"/>
      <c r="AE74" s="145"/>
      <c r="AF74" s="145"/>
      <c r="AG74" s="144"/>
    </row>
    <row r="75" spans="1:47" ht="15.3" x14ac:dyDescent="0.55000000000000004">
      <c r="A75" s="159" t="s">
        <v>52</v>
      </c>
      <c r="B75" s="159"/>
      <c r="C75" s="159"/>
      <c r="D75" s="159"/>
      <c r="E75" s="160"/>
      <c r="F75" s="160"/>
      <c r="G75" s="160"/>
      <c r="H75" s="7"/>
      <c r="I75" s="7"/>
      <c r="J75" s="7"/>
      <c r="K75" s="7"/>
      <c r="L75" s="7"/>
      <c r="M75" s="7"/>
      <c r="N75" s="7"/>
      <c r="O75" s="7"/>
      <c r="P75" s="7"/>
      <c r="Q75" s="154"/>
      <c r="R75" s="155"/>
      <c r="S75" s="155"/>
      <c r="T75" s="155"/>
      <c r="U75" s="156"/>
      <c r="V75" s="157"/>
      <c r="W75" s="157"/>
      <c r="X75" s="149"/>
      <c r="Y75" s="149"/>
      <c r="Z75" s="145"/>
      <c r="AA75" s="145"/>
      <c r="AB75" s="145"/>
      <c r="AC75" s="145"/>
      <c r="AD75" s="145"/>
      <c r="AE75" s="145"/>
      <c r="AF75" s="145"/>
      <c r="AG75" s="144"/>
    </row>
    <row r="76" spans="1:47" ht="15.3" x14ac:dyDescent="0.55000000000000004">
      <c r="A76" s="159"/>
      <c r="B76" s="159"/>
      <c r="C76" s="159"/>
      <c r="D76" s="159"/>
      <c r="E76" s="7"/>
      <c r="F76" s="160"/>
      <c r="G76" s="160"/>
      <c r="H76" s="7"/>
      <c r="I76" s="7"/>
      <c r="J76" s="7"/>
      <c r="K76" s="7"/>
      <c r="L76" s="7"/>
      <c r="M76" s="7"/>
      <c r="N76" s="7"/>
      <c r="O76" s="7"/>
      <c r="P76" s="7"/>
      <c r="Q76" s="154"/>
      <c r="R76" s="155"/>
      <c r="S76" s="155"/>
      <c r="T76" s="155"/>
      <c r="U76" s="156"/>
      <c r="V76" s="157"/>
      <c r="W76" s="157"/>
      <c r="X76" s="149"/>
      <c r="Y76" s="149"/>
      <c r="Z76" s="145"/>
      <c r="AA76" s="145"/>
      <c r="AB76" s="145"/>
      <c r="AC76" s="145"/>
      <c r="AD76" s="145"/>
      <c r="AE76" s="145"/>
      <c r="AF76" s="145"/>
      <c r="AG76" s="144"/>
    </row>
    <row r="77" spans="1:47" ht="15.3" x14ac:dyDescent="0.55000000000000004">
      <c r="A77" s="159" t="s">
        <v>54</v>
      </c>
      <c r="B77" s="159"/>
      <c r="C77" s="159"/>
      <c r="D77" s="159"/>
      <c r="E77" s="160"/>
      <c r="F77" s="160"/>
      <c r="G77" s="160"/>
      <c r="H77" s="7"/>
      <c r="I77" s="7"/>
      <c r="J77" s="159"/>
      <c r="K77" s="7"/>
      <c r="L77" s="7"/>
      <c r="M77" s="7"/>
      <c r="N77" s="7"/>
      <c r="O77" s="7"/>
      <c r="P77" s="7"/>
      <c r="Q77" s="154"/>
      <c r="R77" s="155"/>
      <c r="S77" s="155"/>
      <c r="T77" s="155"/>
      <c r="U77" s="156"/>
      <c r="V77" s="157"/>
      <c r="W77" s="157"/>
      <c r="X77" s="149"/>
      <c r="Y77" s="149"/>
      <c r="Z77" s="145"/>
      <c r="AA77" s="145"/>
      <c r="AB77" s="145"/>
      <c r="AC77" s="145"/>
      <c r="AD77" s="145"/>
      <c r="AE77" s="145"/>
      <c r="AF77" s="145"/>
      <c r="AG77" s="144"/>
    </row>
    <row r="78" spans="1:47" x14ac:dyDescent="0.55000000000000004">
      <c r="A78" s="160" t="s">
        <v>29</v>
      </c>
      <c r="B78" s="160"/>
      <c r="C78" s="160"/>
      <c r="D78" s="160"/>
      <c r="E78" s="160"/>
      <c r="F78" s="160"/>
      <c r="G78" s="160"/>
      <c r="H78" s="7"/>
      <c r="I78" s="7"/>
      <c r="J78" s="7"/>
      <c r="K78" s="7"/>
      <c r="L78" s="7"/>
      <c r="M78" s="7"/>
      <c r="N78" s="7"/>
      <c r="O78" s="7"/>
      <c r="P78" s="7"/>
      <c r="Q78" s="154"/>
      <c r="R78" s="155"/>
      <c r="S78" s="155"/>
      <c r="T78" s="155"/>
      <c r="U78" s="156"/>
      <c r="V78" s="157"/>
      <c r="W78" s="157"/>
      <c r="X78" s="149"/>
      <c r="Y78" s="149"/>
      <c r="Z78" s="145"/>
      <c r="AA78" s="145"/>
      <c r="AB78" s="145"/>
      <c r="AC78" s="145"/>
      <c r="AD78" s="145"/>
      <c r="AE78" s="145"/>
      <c r="AF78" s="145"/>
      <c r="AG78" s="144"/>
    </row>
    <row r="79" spans="1:47" ht="15.6" x14ac:dyDescent="0.6">
      <c r="A79" s="160" t="s">
        <v>55</v>
      </c>
      <c r="B79" s="160"/>
      <c r="C79" s="160"/>
      <c r="D79" s="160"/>
      <c r="E79" s="160"/>
      <c r="F79" s="160"/>
      <c r="G79" s="160"/>
      <c r="H79" s="7"/>
      <c r="I79" s="7"/>
      <c r="J79" s="7"/>
      <c r="K79" s="159"/>
      <c r="L79" s="131"/>
      <c r="M79" s="132"/>
      <c r="N79" s="132"/>
      <c r="Q79" s="158"/>
      <c r="R79" s="158"/>
      <c r="S79" s="158"/>
      <c r="T79" s="158"/>
      <c r="U79" s="158"/>
      <c r="V79" s="158"/>
      <c r="W79" s="158"/>
      <c r="X79" s="149"/>
      <c r="Y79" s="149"/>
      <c r="Z79" s="145"/>
      <c r="AA79" s="145"/>
      <c r="AB79" s="145"/>
      <c r="AC79" s="145"/>
      <c r="AD79" s="145"/>
      <c r="AE79" s="145"/>
      <c r="AF79" s="145"/>
      <c r="AG79" s="144"/>
    </row>
    <row r="80" spans="1:47" ht="15.6" x14ac:dyDescent="0.6">
      <c r="A80" s="159"/>
      <c r="B80" s="159"/>
      <c r="C80" s="159"/>
      <c r="D80" s="159"/>
      <c r="E80" s="7"/>
      <c r="F80" s="7"/>
      <c r="G80" s="7"/>
      <c r="H80" s="7"/>
      <c r="I80" s="7"/>
      <c r="J80" s="159"/>
      <c r="K80" s="159"/>
      <c r="L80" s="131"/>
      <c r="M80" s="132"/>
      <c r="N80" s="132"/>
      <c r="Q80" s="154"/>
      <c r="R80" s="155"/>
      <c r="S80" s="155"/>
      <c r="T80" s="155"/>
      <c r="U80" s="156"/>
      <c r="V80" s="157"/>
      <c r="W80" s="157"/>
      <c r="X80" s="149"/>
      <c r="Y80" s="149"/>
      <c r="Z80" s="145"/>
      <c r="AA80" s="145"/>
      <c r="AB80" s="145"/>
      <c r="AC80" s="145"/>
      <c r="AD80" s="145"/>
      <c r="AE80" s="145"/>
      <c r="AF80" s="145"/>
      <c r="AG80" s="144"/>
    </row>
    <row r="81" spans="1:33" ht="15.6" x14ac:dyDescent="0.6">
      <c r="K81" s="131"/>
      <c r="L81" s="131"/>
      <c r="M81" s="132"/>
      <c r="N81" s="132"/>
      <c r="Q81" s="158"/>
      <c r="R81" s="158"/>
      <c r="S81" s="158"/>
      <c r="T81" s="158"/>
      <c r="U81" s="158"/>
      <c r="V81" s="158"/>
      <c r="W81" s="158"/>
      <c r="X81" s="149"/>
      <c r="Y81" s="149"/>
      <c r="Z81" s="145"/>
      <c r="AA81" s="145"/>
      <c r="AB81" s="145"/>
      <c r="AC81" s="145"/>
      <c r="AD81" s="145"/>
      <c r="AE81" s="145"/>
      <c r="AF81" s="145"/>
      <c r="AG81" s="144"/>
    </row>
    <row r="82" spans="1:33" ht="15.6" x14ac:dyDescent="0.6">
      <c r="K82" s="131"/>
      <c r="L82" s="131"/>
      <c r="M82" s="132"/>
      <c r="N82" s="132"/>
      <c r="Q82" s="154"/>
      <c r="R82" s="155"/>
      <c r="S82" s="155"/>
      <c r="T82" s="155"/>
      <c r="U82" s="156"/>
      <c r="V82" s="157"/>
      <c r="W82" s="157"/>
      <c r="X82" s="149"/>
      <c r="Y82" s="149"/>
      <c r="Z82" s="145"/>
      <c r="AA82" s="145"/>
      <c r="AB82" s="145"/>
      <c r="AC82" s="145"/>
      <c r="AD82" s="145"/>
      <c r="AE82" s="145"/>
      <c r="AF82" s="145"/>
      <c r="AG82" s="144"/>
    </row>
    <row r="83" spans="1:33" ht="15.6" x14ac:dyDescent="0.6">
      <c r="A83" s="131"/>
      <c r="B83" s="131"/>
      <c r="C83" s="131"/>
      <c r="D83" s="131"/>
      <c r="J83" s="131"/>
      <c r="K83" s="131"/>
      <c r="L83" s="131"/>
      <c r="M83" s="132"/>
      <c r="N83" s="132"/>
      <c r="Q83" s="154"/>
      <c r="R83" s="155"/>
      <c r="S83" s="155"/>
      <c r="T83" s="155"/>
      <c r="U83" s="156"/>
      <c r="V83" s="157"/>
      <c r="W83" s="157"/>
      <c r="X83" s="149"/>
      <c r="Y83" s="149"/>
      <c r="Z83" s="145"/>
      <c r="AA83" s="145"/>
      <c r="AB83" s="145"/>
      <c r="AC83" s="145"/>
      <c r="AD83" s="145"/>
      <c r="AE83" s="145"/>
      <c r="AF83" s="145"/>
      <c r="AG83" s="144"/>
    </row>
    <row r="84" spans="1:33" ht="15.6" x14ac:dyDescent="0.6">
      <c r="A84" s="131"/>
      <c r="B84" s="131"/>
      <c r="C84" s="131"/>
      <c r="D84" s="131"/>
      <c r="J84" s="131"/>
      <c r="K84" s="131"/>
      <c r="L84" s="131"/>
      <c r="M84" s="132"/>
      <c r="N84" s="132"/>
      <c r="Q84" s="154"/>
      <c r="R84" s="155"/>
      <c r="S84" s="155"/>
      <c r="T84" s="155"/>
      <c r="U84" s="156"/>
      <c r="V84" s="157"/>
      <c r="W84" s="157"/>
      <c r="X84" s="149"/>
      <c r="Y84" s="149"/>
      <c r="Z84" s="145"/>
      <c r="AA84" s="145"/>
      <c r="AB84" s="145"/>
      <c r="AC84" s="145"/>
      <c r="AD84" s="145"/>
      <c r="AE84" s="145"/>
      <c r="AF84" s="145"/>
      <c r="AG84" s="144"/>
    </row>
    <row r="85" spans="1:33" ht="15.6" x14ac:dyDescent="0.6">
      <c r="M85" s="132"/>
      <c r="N85" s="132"/>
      <c r="Q85" s="158"/>
      <c r="R85" s="158"/>
      <c r="S85" s="158"/>
      <c r="T85" s="158"/>
      <c r="U85" s="158"/>
      <c r="V85" s="158"/>
      <c r="W85" s="158"/>
      <c r="X85" s="149"/>
      <c r="Y85" s="149"/>
      <c r="Z85" s="145"/>
      <c r="AA85" s="145"/>
      <c r="AB85" s="145"/>
      <c r="AC85" s="145"/>
      <c r="AD85" s="145"/>
      <c r="AE85" s="145"/>
      <c r="AF85" s="145"/>
      <c r="AG85" s="144"/>
    </row>
    <row r="86" spans="1:33" ht="15.6" x14ac:dyDescent="0.6">
      <c r="M86" s="132"/>
      <c r="N86" s="132"/>
      <c r="Z86" s="143"/>
      <c r="AA86" s="143"/>
      <c r="AB86" s="143"/>
      <c r="AC86" s="143"/>
      <c r="AD86" s="143"/>
      <c r="AE86" s="143"/>
      <c r="AF86" s="143"/>
    </row>
    <row r="87" spans="1:33" ht="15.6" x14ac:dyDescent="0.6">
      <c r="M87" s="132"/>
      <c r="N87" s="132"/>
    </row>
    <row r="88" spans="1:33" ht="41.4" customHeight="1" x14ac:dyDescent="0.6">
      <c r="M88" s="132"/>
      <c r="N88" s="132"/>
    </row>
    <row r="89" spans="1:33" ht="27" customHeight="1" x14ac:dyDescent="0.6">
      <c r="M89" s="132"/>
      <c r="N89" s="132"/>
    </row>
    <row r="90" spans="1:33" ht="15.6" x14ac:dyDescent="0.6">
      <c r="M90" s="132"/>
      <c r="N90" s="132"/>
    </row>
    <row r="91" spans="1:33" ht="15.6" x14ac:dyDescent="0.6">
      <c r="M91" s="132"/>
      <c r="N91" s="132"/>
      <c r="O91" s="256"/>
      <c r="P91" s="256"/>
      <c r="Q91" s="256"/>
      <c r="R91" s="256"/>
      <c r="S91" s="256"/>
      <c r="T91" s="256"/>
      <c r="U91" s="256"/>
      <c r="V91" s="256"/>
    </row>
    <row r="92" spans="1:33" ht="15.6" x14ac:dyDescent="0.6">
      <c r="M92" s="132"/>
      <c r="N92" s="132"/>
      <c r="O92" s="256"/>
      <c r="P92" s="256"/>
    </row>
    <row r="93" spans="1:33" ht="15.6" x14ac:dyDescent="0.6">
      <c r="M93" s="132"/>
      <c r="N93" s="132"/>
    </row>
    <row r="94" spans="1:33" ht="15.6" x14ac:dyDescent="0.6">
      <c r="M94" s="132"/>
      <c r="N94" s="132"/>
    </row>
    <row r="95" spans="1:33" ht="15.6" x14ac:dyDescent="0.6">
      <c r="M95" s="132"/>
      <c r="N95" s="132"/>
    </row>
  </sheetData>
  <mergeCells count="22">
    <mergeCell ref="AG32:AH32"/>
    <mergeCell ref="AD33:AD34"/>
    <mergeCell ref="AE33:AE34"/>
    <mergeCell ref="AF33:AF34"/>
    <mergeCell ref="O91:P91"/>
    <mergeCell ref="Q91:V91"/>
    <mergeCell ref="AB33:AC33"/>
    <mergeCell ref="Y33:AA33"/>
    <mergeCell ref="Q33:Q34"/>
    <mergeCell ref="R33:R34"/>
    <mergeCell ref="S33:S34"/>
    <mergeCell ref="T33:T34"/>
    <mergeCell ref="U33:U34"/>
    <mergeCell ref="V33:V34"/>
    <mergeCell ref="W33:W34"/>
    <mergeCell ref="X33:X34"/>
    <mergeCell ref="O92:P92"/>
    <mergeCell ref="Q72:R72"/>
    <mergeCell ref="S73:X73"/>
    <mergeCell ref="Q74:R74"/>
    <mergeCell ref="S74:X74"/>
    <mergeCell ref="S72:AA72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DB8-65F2-4ABE-B707-8C7210CEE88D}">
  <dimension ref="B3:AM47"/>
  <sheetViews>
    <sheetView zoomScale="30" zoomScaleNormal="30" workbookViewId="0">
      <selection activeCell="AE34" sqref="AE34"/>
    </sheetView>
  </sheetViews>
  <sheetFormatPr defaultRowHeight="14.4" x14ac:dyDescent="0.55000000000000004"/>
  <cols>
    <col min="3" max="3" width="10.5234375" customWidth="1"/>
    <col min="4" max="5" width="16.7890625" customWidth="1"/>
    <col min="6" max="6" width="13.578125" customWidth="1"/>
    <col min="7" max="7" width="15.7890625" customWidth="1"/>
    <col min="8" max="8" width="15.3671875" customWidth="1"/>
    <col min="9" max="9" width="13.578125" customWidth="1"/>
    <col min="21" max="21" width="13.05078125" customWidth="1"/>
    <col min="22" max="22" width="15.89453125" customWidth="1"/>
    <col min="23" max="23" width="19.578125" customWidth="1"/>
    <col min="24" max="24" width="16.20703125" customWidth="1"/>
    <col min="25" max="25" width="21.47265625" hidden="1" customWidth="1"/>
    <col min="26" max="26" width="22.9453125" hidden="1" customWidth="1"/>
    <col min="27" max="27" width="21.15625" customWidth="1"/>
    <col min="28" max="28" width="16.62890625" customWidth="1"/>
    <col min="29" max="29" width="15.05078125" customWidth="1"/>
    <col min="30" max="30" width="24.5234375" customWidth="1"/>
  </cols>
  <sheetData>
    <row r="3" spans="3:39" x14ac:dyDescent="0.55000000000000004">
      <c r="U3" s="153"/>
      <c r="V3" s="143"/>
      <c r="W3" s="143"/>
      <c r="X3" s="143"/>
      <c r="Y3" s="143"/>
      <c r="Z3" s="143"/>
      <c r="AA3" s="143"/>
      <c r="AB3" s="143"/>
      <c r="AC3" s="7"/>
      <c r="AD3" s="7"/>
    </row>
    <row r="4" spans="3:39" x14ac:dyDescent="0.55000000000000004">
      <c r="U4" s="153"/>
      <c r="V4" s="143"/>
      <c r="W4" s="143"/>
      <c r="X4" s="143"/>
      <c r="Y4" s="143"/>
      <c r="Z4" s="143"/>
      <c r="AA4" s="143"/>
      <c r="AB4" s="143"/>
      <c r="AC4" s="7"/>
      <c r="AD4" s="7"/>
    </row>
    <row r="5" spans="3:39" ht="54.6" customHeight="1" x14ac:dyDescent="0.55000000000000004">
      <c r="C5" s="133" t="s">
        <v>58</v>
      </c>
      <c r="D5" s="133" t="s">
        <v>60</v>
      </c>
      <c r="E5" s="133" t="s">
        <v>61</v>
      </c>
      <c r="F5" s="133" t="s">
        <v>24</v>
      </c>
      <c r="G5" s="138" t="s">
        <v>31</v>
      </c>
      <c r="H5" s="141" t="s">
        <v>33</v>
      </c>
      <c r="I5" s="142"/>
      <c r="U5" s="153"/>
      <c r="V5" s="175"/>
      <c r="W5" s="143"/>
      <c r="X5" s="175"/>
      <c r="Y5" s="175"/>
      <c r="Z5" s="175"/>
      <c r="AA5" s="175"/>
      <c r="AB5" s="213"/>
      <c r="AC5" s="142"/>
      <c r="AD5" s="143"/>
      <c r="AE5" s="7"/>
      <c r="AF5" s="7"/>
      <c r="AG5" s="7"/>
      <c r="AH5" s="7"/>
      <c r="AI5" s="7"/>
      <c r="AJ5" s="7"/>
      <c r="AK5" s="7"/>
      <c r="AL5" s="7"/>
      <c r="AM5" s="7"/>
    </row>
    <row r="6" spans="3:39" ht="15.3" x14ac:dyDescent="0.55000000000000004">
      <c r="C6" s="140">
        <v>1</v>
      </c>
      <c r="D6" s="140"/>
      <c r="E6" s="140"/>
      <c r="F6" s="140">
        <v>5</v>
      </c>
      <c r="G6" s="140">
        <v>6</v>
      </c>
      <c r="H6" s="146">
        <v>7</v>
      </c>
      <c r="I6" s="148"/>
      <c r="U6" s="153"/>
      <c r="V6" s="148"/>
      <c r="W6" s="143"/>
      <c r="X6" s="148"/>
      <c r="Y6" s="148"/>
      <c r="Z6" s="148"/>
      <c r="AA6" s="148"/>
      <c r="AB6" s="148"/>
      <c r="AC6" s="148"/>
      <c r="AD6" s="143"/>
      <c r="AE6" s="197"/>
      <c r="AF6" s="197"/>
      <c r="AG6" s="163"/>
      <c r="AH6" s="159"/>
      <c r="AI6" s="7"/>
      <c r="AJ6" s="7"/>
      <c r="AK6" s="7"/>
      <c r="AL6" s="7"/>
      <c r="AM6" s="7"/>
    </row>
    <row r="7" spans="3:39" ht="15.3" x14ac:dyDescent="0.55000000000000004">
      <c r="C7" s="140"/>
      <c r="D7" s="140"/>
      <c r="E7" s="140"/>
      <c r="F7" s="140"/>
      <c r="G7" s="140"/>
      <c r="H7" s="146"/>
      <c r="I7" s="148"/>
      <c r="U7" s="153"/>
      <c r="V7" s="148"/>
      <c r="W7" s="143"/>
      <c r="X7" s="148"/>
      <c r="Y7" s="148"/>
      <c r="Z7" s="148"/>
      <c r="AA7" s="148"/>
      <c r="AB7" s="148"/>
      <c r="AC7" s="148"/>
      <c r="AD7" s="143"/>
      <c r="AE7" s="197"/>
      <c r="AF7" s="197"/>
      <c r="AG7" s="163"/>
      <c r="AH7" s="159"/>
      <c r="AI7" s="7"/>
      <c r="AJ7" s="7"/>
      <c r="AK7" s="7"/>
      <c r="AL7" s="7"/>
      <c r="AM7" s="7"/>
    </row>
    <row r="8" spans="3:39" ht="15.3" x14ac:dyDescent="0.55000000000000004">
      <c r="C8" s="182">
        <v>1.9</v>
      </c>
      <c r="D8" s="182">
        <v>51</v>
      </c>
      <c r="E8" s="182">
        <v>51</v>
      </c>
      <c r="F8" s="162">
        <f t="shared" ref="F8:F17" si="0">IF(2*C8&lt; 5,340.5,IF(AND(2*C8&gt;= 5, 2*C8 &lt; 7),340.5 - 70.5 * (7 - 2*C8)/2,IF(AND(2*C8 &gt;= 7, 2*C8 &lt; 8),340.5 - 128 * (2*C8 - 7),IF(AND(2*C8 &gt;= 8, 2*C8 &lt; 8.28),212.5 - 5.357 * (2*C8 - 8),IF(2*C8 = 8.28,211,IF(AND(2*C8 &gt; 8.28, 2*C8 &lt; 20),180,IF(2*C8 &gt;= 20,6 + 174 * EXP(-3.5 * (2*C8 - 20)),"Ошибка")))))))</f>
        <v>340.5</v>
      </c>
      <c r="G8" s="173" t="str">
        <f t="shared" ref="G8:G17" si="1">IF(2*C8 &lt; 5,"Сингулярность",IF(AND(2*C8 &gt;= 5, 2*C8 &lt; 7),"Предбифуркация",IF(AND(2*C8 &gt;= 7, 2*C8&lt;= 8.28),"Бифуркация", IF(AND(2*C8&gt; 8.28, 2*C8 &lt; 20),"Стабилизация", IF(2*C8 &gt;= 20,"Распад", "Н/Д")))))</f>
        <v>Сингулярность</v>
      </c>
      <c r="H8" s="146"/>
      <c r="I8" s="148"/>
      <c r="U8" s="153"/>
      <c r="V8" s="214"/>
      <c r="W8" s="143"/>
      <c r="X8" s="214"/>
      <c r="Y8" s="214"/>
      <c r="Z8" s="214"/>
      <c r="AA8" s="215"/>
      <c r="AB8" s="216"/>
      <c r="AC8" s="148"/>
      <c r="AD8" s="143"/>
      <c r="AE8" s="159"/>
      <c r="AF8" s="159"/>
      <c r="AG8" s="159"/>
      <c r="AH8" s="159"/>
      <c r="AI8" s="7"/>
      <c r="AJ8" s="7"/>
      <c r="AK8" s="7"/>
      <c r="AL8" s="7"/>
      <c r="AM8" s="7"/>
    </row>
    <row r="9" spans="3:39" ht="15.3" x14ac:dyDescent="0.55000000000000004">
      <c r="C9" s="177">
        <v>2.1</v>
      </c>
      <c r="D9" s="177">
        <v>58</v>
      </c>
      <c r="E9" s="177">
        <v>58</v>
      </c>
      <c r="F9" s="162">
        <f t="shared" si="0"/>
        <v>340.5</v>
      </c>
      <c r="G9" s="173" t="str">
        <f t="shared" si="1"/>
        <v>Сингулярность</v>
      </c>
      <c r="H9" s="174" t="str">
        <f>IF(AND(2*C9 &gt;= 8.28, 2*C9 &lt; 20),31 * EXP(-0.15 * (2*C9 - 8.28)),"")</f>
        <v/>
      </c>
      <c r="I9" s="175"/>
      <c r="U9" s="153"/>
      <c r="V9" s="217"/>
      <c r="W9" s="143"/>
      <c r="X9" s="217"/>
      <c r="Y9" s="217"/>
      <c r="Z9" s="217"/>
      <c r="AA9" s="215"/>
      <c r="AB9" s="216"/>
      <c r="AC9" s="216"/>
      <c r="AD9" s="143"/>
      <c r="AE9" s="163"/>
      <c r="AF9" s="163"/>
      <c r="AG9" s="159"/>
      <c r="AH9" s="159"/>
      <c r="AI9" s="7"/>
      <c r="AJ9" s="7"/>
      <c r="AK9" s="7"/>
      <c r="AL9" s="7"/>
      <c r="AM9" s="7"/>
    </row>
    <row r="10" spans="3:39" ht="14.1" customHeight="1" x14ac:dyDescent="0.55000000000000004">
      <c r="C10" s="183">
        <v>2.5</v>
      </c>
      <c r="D10" s="183">
        <v>165</v>
      </c>
      <c r="E10" s="183">
        <v>208</v>
      </c>
      <c r="F10" s="184">
        <f t="shared" si="0"/>
        <v>270</v>
      </c>
      <c r="G10" s="185" t="str">
        <f t="shared" si="1"/>
        <v>Предбифуркация</v>
      </c>
      <c r="H10" s="174"/>
      <c r="I10" s="175"/>
      <c r="U10" s="153"/>
      <c r="V10" s="218"/>
      <c r="W10" s="143"/>
      <c r="X10" s="218"/>
      <c r="Y10" s="218"/>
      <c r="Z10" s="218"/>
      <c r="AA10" s="215"/>
      <c r="AB10" s="219"/>
      <c r="AC10" s="216"/>
      <c r="AD10" s="143"/>
      <c r="AE10" s="159"/>
      <c r="AF10" s="159"/>
      <c r="AG10" s="159"/>
      <c r="AH10" s="159"/>
      <c r="AI10" s="7"/>
      <c r="AJ10" s="7"/>
      <c r="AK10" s="7"/>
      <c r="AL10" s="7"/>
      <c r="AM10" s="7"/>
    </row>
    <row r="11" spans="3:39" ht="20.100000000000001" customHeight="1" x14ac:dyDescent="0.55000000000000004">
      <c r="C11" s="183">
        <v>2.6</v>
      </c>
      <c r="D11" s="183">
        <v>73</v>
      </c>
      <c r="E11" s="183">
        <v>113</v>
      </c>
      <c r="F11" s="184">
        <f t="shared" si="0"/>
        <v>277.05</v>
      </c>
      <c r="G11" s="185" t="str">
        <f t="shared" si="1"/>
        <v>Предбифуркация</v>
      </c>
      <c r="H11" s="174"/>
      <c r="I11" s="175"/>
      <c r="U11" s="153"/>
      <c r="V11" s="218"/>
      <c r="W11" s="143"/>
      <c r="X11" s="218"/>
      <c r="Y11" s="218"/>
      <c r="Z11" s="218"/>
      <c r="AA11" s="215"/>
      <c r="AB11" s="219"/>
      <c r="AC11" s="216"/>
      <c r="AD11" s="143"/>
      <c r="AE11" s="159"/>
      <c r="AF11" s="159"/>
      <c r="AG11" s="159"/>
      <c r="AH11" s="159"/>
      <c r="AI11" s="7"/>
      <c r="AJ11" s="7"/>
      <c r="AK11" s="7"/>
      <c r="AL11" s="7"/>
      <c r="AM11" s="7"/>
    </row>
    <row r="12" spans="3:39" ht="15.3" x14ac:dyDescent="0.55000000000000004">
      <c r="C12" s="186">
        <v>3</v>
      </c>
      <c r="D12" s="186">
        <v>60</v>
      </c>
      <c r="E12" s="186">
        <v>200</v>
      </c>
      <c r="F12" s="184">
        <f t="shared" si="0"/>
        <v>305.25</v>
      </c>
      <c r="G12" s="185" t="str">
        <f t="shared" si="1"/>
        <v>Предбифуркация</v>
      </c>
      <c r="H12" s="174"/>
      <c r="I12" s="149"/>
      <c r="U12" s="153"/>
      <c r="V12" s="220"/>
      <c r="W12" s="143"/>
      <c r="X12" s="220"/>
      <c r="Y12" s="220"/>
      <c r="Z12" s="220"/>
      <c r="AA12" s="215"/>
      <c r="AB12" s="219"/>
      <c r="AC12" s="216"/>
      <c r="AD12" s="143"/>
      <c r="AE12" s="163"/>
      <c r="AF12" s="159"/>
      <c r="AG12" s="159"/>
      <c r="AH12" s="159"/>
      <c r="AI12" s="7"/>
      <c r="AJ12" s="7"/>
      <c r="AK12" s="7"/>
      <c r="AL12" s="7"/>
      <c r="AM12" s="7"/>
    </row>
    <row r="13" spans="3:39" ht="15.3" x14ac:dyDescent="0.55000000000000004">
      <c r="C13" s="161">
        <v>4.1399999999999997</v>
      </c>
      <c r="D13" s="161">
        <v>149</v>
      </c>
      <c r="E13" s="161">
        <v>211</v>
      </c>
      <c r="F13" s="162">
        <f t="shared" si="0"/>
        <v>211</v>
      </c>
      <c r="G13" s="173" t="str">
        <f t="shared" si="1"/>
        <v>Бифуркация</v>
      </c>
      <c r="H13" s="174">
        <f>IF(AND(2*C13 &gt;= 8.28, 2*C13 &lt; 20),31 * EXP(-0.15 * (2*C13 - 8.28)),"")</f>
        <v>31</v>
      </c>
      <c r="I13" s="149"/>
      <c r="U13" s="153"/>
      <c r="V13" s="221"/>
      <c r="W13" s="143"/>
      <c r="X13" s="221"/>
      <c r="Y13" s="221"/>
      <c r="Z13" s="221"/>
      <c r="AA13" s="215"/>
      <c r="AB13" s="216"/>
      <c r="AC13" s="216"/>
      <c r="AD13" s="143"/>
      <c r="AE13" s="159"/>
      <c r="AF13" s="159"/>
      <c r="AG13" s="159"/>
      <c r="AH13" s="159"/>
      <c r="AI13" s="7"/>
      <c r="AJ13" s="7"/>
      <c r="AK13" s="7"/>
      <c r="AL13" s="7"/>
      <c r="AM13" s="7"/>
    </row>
    <row r="14" spans="3:39" ht="15.3" x14ac:dyDescent="0.55000000000000004">
      <c r="C14" s="161">
        <v>5.14</v>
      </c>
      <c r="D14" s="161">
        <v>170</v>
      </c>
      <c r="E14" s="161">
        <v>211</v>
      </c>
      <c r="F14" s="162">
        <f t="shared" si="0"/>
        <v>180</v>
      </c>
      <c r="G14" s="173" t="str">
        <f t="shared" si="1"/>
        <v>Стабилизация</v>
      </c>
      <c r="H14" s="174">
        <f>IF(AND(2*C14 &gt;= 8.28, 2*C14 &lt; 20),31 * EXP(-0.15 * (2*C14 - 8.28)),"")</f>
        <v>22.965364841133255</v>
      </c>
      <c r="I14" s="149"/>
      <c r="U14" s="153"/>
      <c r="V14" s="221"/>
      <c r="W14" s="143"/>
      <c r="X14" s="221"/>
      <c r="Y14" s="221"/>
      <c r="Z14" s="221"/>
      <c r="AA14" s="215"/>
      <c r="AB14" s="216"/>
      <c r="AC14" s="216"/>
      <c r="AD14" s="143"/>
      <c r="AE14" s="159"/>
      <c r="AF14" s="159"/>
      <c r="AG14" s="159"/>
      <c r="AH14" s="159"/>
      <c r="AI14" s="7"/>
      <c r="AJ14" s="7"/>
      <c r="AK14" s="7"/>
      <c r="AL14" s="7"/>
      <c r="AM14" s="7"/>
    </row>
    <row r="15" spans="3:39" ht="15.3" x14ac:dyDescent="0.55000000000000004">
      <c r="C15" s="179">
        <v>5.4</v>
      </c>
      <c r="D15" s="179">
        <v>169</v>
      </c>
      <c r="E15" s="179">
        <v>187</v>
      </c>
      <c r="F15" s="178">
        <f t="shared" si="0"/>
        <v>180</v>
      </c>
      <c r="G15" s="180" t="str">
        <f t="shared" si="1"/>
        <v>Стабилизация</v>
      </c>
      <c r="H15" s="181">
        <f>IF(AND(2*C15 &gt;= 8.28, 2*C15 &lt; 20),31 * EXP(-0.15 * (2*C15 - 8.28)),"")</f>
        <v>21.242145520641976</v>
      </c>
      <c r="I15" s="149"/>
      <c r="U15" s="153"/>
      <c r="V15" s="222"/>
      <c r="W15" s="143"/>
      <c r="X15" s="222"/>
      <c r="Y15" s="222"/>
      <c r="Z15" s="222"/>
      <c r="AA15" s="215"/>
      <c r="AB15" s="223"/>
      <c r="AC15" s="223"/>
      <c r="AD15" s="143"/>
      <c r="AE15" s="159"/>
      <c r="AF15" s="159"/>
      <c r="AG15" s="159"/>
      <c r="AH15" s="159"/>
      <c r="AI15" s="7"/>
      <c r="AJ15" s="7"/>
      <c r="AK15" s="7"/>
      <c r="AL15" s="7"/>
      <c r="AM15" s="7"/>
    </row>
    <row r="16" spans="3:39" x14ac:dyDescent="0.55000000000000004">
      <c r="C16" s="179">
        <v>7.14</v>
      </c>
      <c r="D16" s="179">
        <v>172</v>
      </c>
      <c r="E16" s="179">
        <v>188</v>
      </c>
      <c r="F16" s="178">
        <f t="shared" si="0"/>
        <v>180</v>
      </c>
      <c r="G16" s="180" t="str">
        <f t="shared" si="1"/>
        <v>Стабилизация</v>
      </c>
      <c r="H16" s="181">
        <f>IF(AND(2*C16 &gt;= 8.28, 2*C16 &lt; 20),31 * EXP(-0.15 * (2*C16 - 8.28)),"")</f>
        <v>12.603659451958574</v>
      </c>
      <c r="I16" s="149"/>
      <c r="U16" s="153"/>
      <c r="V16" s="222"/>
      <c r="W16" s="143"/>
      <c r="X16" s="222"/>
      <c r="Y16" s="222"/>
      <c r="Z16" s="222"/>
      <c r="AA16" s="215"/>
      <c r="AB16" s="223"/>
      <c r="AC16" s="223"/>
      <c r="AD16" s="143"/>
      <c r="AE16" s="7"/>
      <c r="AF16" s="7"/>
      <c r="AG16" s="7"/>
      <c r="AH16" s="7"/>
      <c r="AI16" s="7"/>
      <c r="AJ16" s="7"/>
      <c r="AK16" s="7"/>
      <c r="AL16" s="7"/>
      <c r="AM16" s="7"/>
    </row>
    <row r="17" spans="3:39" x14ac:dyDescent="0.55000000000000004">
      <c r="C17" s="161">
        <v>10.82</v>
      </c>
      <c r="D17" s="161">
        <v>6</v>
      </c>
      <c r="E17" s="179"/>
      <c r="F17" s="178">
        <f t="shared" si="0"/>
        <v>6.5593696799033943</v>
      </c>
      <c r="G17" s="173" t="str">
        <f t="shared" si="1"/>
        <v>Распад</v>
      </c>
      <c r="H17" s="147" t="str">
        <f>IF(AND(2*C17 &gt;= 8.28, 2*C17 &lt; 20),31 * EXP(-0.15 * (2*C17 - 8.28)),"")</f>
        <v/>
      </c>
      <c r="U17" s="153"/>
      <c r="V17" s="221"/>
      <c r="W17" s="143"/>
      <c r="X17" s="221"/>
      <c r="Y17" s="221"/>
      <c r="Z17" s="222"/>
      <c r="AA17" s="215"/>
      <c r="AB17" s="216"/>
      <c r="AC17" s="149"/>
      <c r="AD17" s="143"/>
      <c r="AE17" s="7"/>
      <c r="AF17" s="7"/>
      <c r="AG17" s="7"/>
      <c r="AH17" s="7"/>
      <c r="AI17" s="7"/>
      <c r="AJ17" s="7"/>
      <c r="AK17" s="7"/>
      <c r="AL17" s="7"/>
      <c r="AM17" s="7"/>
    </row>
    <row r="18" spans="3:39" x14ac:dyDescent="0.55000000000000004">
      <c r="U18" s="153"/>
      <c r="V18" s="143"/>
      <c r="W18" s="143"/>
      <c r="X18" s="143"/>
      <c r="Y18" s="143"/>
      <c r="Z18" s="143"/>
      <c r="AA18" s="143"/>
      <c r="AB18" s="143"/>
      <c r="AC18" s="143"/>
      <c r="AD18" s="143"/>
      <c r="AE18" s="7"/>
      <c r="AF18" s="7"/>
      <c r="AG18" s="7"/>
      <c r="AH18" s="7"/>
      <c r="AI18" s="7"/>
      <c r="AJ18" s="7"/>
      <c r="AK18" s="7"/>
      <c r="AL18" s="7"/>
      <c r="AM18" s="7"/>
    </row>
    <row r="19" spans="3:39" x14ac:dyDescent="0.55000000000000004">
      <c r="U19" s="153"/>
      <c r="V19" s="143"/>
      <c r="W19" s="143"/>
      <c r="X19" s="143"/>
      <c r="Y19" s="143"/>
      <c r="Z19" s="143"/>
      <c r="AA19" s="143"/>
      <c r="AB19" s="143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3:39" x14ac:dyDescent="0.55000000000000004"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3:39" x14ac:dyDescent="0.55000000000000004"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3:39" x14ac:dyDescent="0.55000000000000004"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31" spans="3:39" x14ac:dyDescent="0.55000000000000004"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</row>
    <row r="32" spans="3:39" x14ac:dyDescent="0.55000000000000004"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</row>
    <row r="33" spans="2:35" x14ac:dyDescent="0.55000000000000004"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</row>
    <row r="34" spans="2:35" ht="43.2" x14ac:dyDescent="0.55000000000000004">
      <c r="C34" s="133" t="s">
        <v>58</v>
      </c>
      <c r="D34" s="133" t="s">
        <v>60</v>
      </c>
      <c r="E34" s="133" t="s">
        <v>61</v>
      </c>
      <c r="F34" s="133" t="s">
        <v>24</v>
      </c>
      <c r="G34" s="138" t="s">
        <v>31</v>
      </c>
      <c r="H34" s="141" t="s">
        <v>33</v>
      </c>
      <c r="I34" s="163"/>
      <c r="R34" s="131"/>
      <c r="W34" s="143"/>
      <c r="X34" s="175"/>
      <c r="Y34" s="175"/>
      <c r="Z34" s="175"/>
      <c r="AA34" s="175"/>
      <c r="AB34" s="213"/>
      <c r="AC34" s="142"/>
      <c r="AD34" s="143"/>
      <c r="AE34" s="143"/>
      <c r="AF34" s="143"/>
      <c r="AG34" s="143"/>
      <c r="AH34" s="143"/>
      <c r="AI34" s="143"/>
    </row>
    <row r="35" spans="2:35" ht="15.3" x14ac:dyDescent="0.55000000000000004">
      <c r="C35" s="140">
        <v>1</v>
      </c>
      <c r="D35" s="140"/>
      <c r="E35" s="140"/>
      <c r="F35" s="140">
        <v>5</v>
      </c>
      <c r="G35" s="140">
        <v>6</v>
      </c>
      <c r="H35" s="146">
        <v>7</v>
      </c>
      <c r="I35" s="159"/>
      <c r="R35" s="131"/>
      <c r="W35" s="143"/>
      <c r="X35" s="148"/>
      <c r="Y35" s="148"/>
      <c r="Z35" s="148"/>
      <c r="AA35" s="148"/>
      <c r="AB35" s="148"/>
      <c r="AC35" s="148"/>
      <c r="AD35" s="143"/>
      <c r="AE35" s="143"/>
      <c r="AF35" s="143"/>
      <c r="AG35" s="143"/>
      <c r="AH35" s="143"/>
      <c r="AI35" s="143"/>
    </row>
    <row r="36" spans="2:35" ht="15.3" x14ac:dyDescent="0.55000000000000004">
      <c r="B36">
        <v>1</v>
      </c>
      <c r="C36" s="182">
        <v>1.9</v>
      </c>
      <c r="D36" s="182">
        <v>51</v>
      </c>
      <c r="E36" s="182">
        <v>51</v>
      </c>
      <c r="F36" s="162">
        <f t="shared" ref="F36:F47" si="2">IF(2*C36&lt; 5,340.5,IF(AND(2*C36&gt;= 5, 2*C36 &lt; 7),340.5 - 70.5 * (7 - 2*C36)/2,IF(AND(2*C36 &gt;= 7, 2*C36 &lt; 8),340.5 - 128 * (2*C36 - 7),IF(AND(2*C36 &gt;= 8, 2*C36 &lt; 8.28),212.5 - 5.357 * (2*C36 - 8),IF(2*C36 = 8.28,211,IF(AND(2*C36 &gt; 8.28, 2*C36 &lt; 20),180,IF(2*C36 &gt;= 20,6 + 174 * EXP(-3.5 * (2*C36 - 20)),"Ошибка")))))))</f>
        <v>340.5</v>
      </c>
      <c r="G36" s="173" t="str">
        <f t="shared" ref="G36:G47" si="3">IF(2*C36 &lt; 5,"Сингулярность",IF(AND(2*C36 &gt;= 5, 2*C36 &lt; 7),"Предбифуркация",IF(AND(2*C36 &gt;= 7, 2*C36&lt;= 8.28),"Бифуркация", IF(AND(2*C36&gt; 8.28, 2*C36 &lt; 20),"Стабилизация", IF(2*C36 &gt;= 20,"Распад", "Н/Д")))))</f>
        <v>Сингулярность</v>
      </c>
      <c r="H36" s="146"/>
      <c r="R36" s="131"/>
      <c r="W36" s="143"/>
      <c r="X36" s="214"/>
      <c r="Y36" s="214"/>
      <c r="Z36" s="214"/>
      <c r="AA36" s="215"/>
      <c r="AB36" s="216"/>
      <c r="AC36" s="148"/>
      <c r="AD36" s="143"/>
      <c r="AE36" s="143"/>
      <c r="AF36" s="143"/>
      <c r="AG36" s="143"/>
      <c r="AH36" s="143"/>
      <c r="AI36" s="143"/>
    </row>
    <row r="37" spans="2:35" ht="15.3" x14ac:dyDescent="0.55000000000000004">
      <c r="B37">
        <v>2</v>
      </c>
      <c r="C37" s="177">
        <v>2.1</v>
      </c>
      <c r="D37" s="177">
        <v>58</v>
      </c>
      <c r="E37" s="177">
        <v>58</v>
      </c>
      <c r="F37" s="162">
        <f t="shared" si="2"/>
        <v>340.5</v>
      </c>
      <c r="G37" s="173" t="str">
        <f t="shared" si="3"/>
        <v>Сингулярность</v>
      </c>
      <c r="H37" s="174" t="str">
        <f>IF(AND(2*C37 &gt;= 8.28, 2*C37 &lt; 20),31 * EXP(-0.15 * (2*C37 - 8.28)),"")</f>
        <v/>
      </c>
      <c r="I37" s="159"/>
      <c r="R37" s="131"/>
      <c r="W37" s="143"/>
      <c r="X37" s="217"/>
      <c r="Y37" s="217"/>
      <c r="Z37" s="217"/>
      <c r="AA37" s="215"/>
      <c r="AB37" s="216"/>
      <c r="AC37" s="216"/>
      <c r="AD37" s="143"/>
      <c r="AE37" s="143"/>
      <c r="AF37" s="143"/>
      <c r="AG37" s="143"/>
      <c r="AH37" s="143"/>
      <c r="AI37" s="143"/>
    </row>
    <row r="38" spans="2:35" ht="15.3" x14ac:dyDescent="0.55000000000000004">
      <c r="B38">
        <v>3</v>
      </c>
      <c r="C38" s="183">
        <v>2.5</v>
      </c>
      <c r="D38" s="183">
        <v>165</v>
      </c>
      <c r="E38" s="183">
        <v>208</v>
      </c>
      <c r="F38" s="162">
        <f t="shared" si="2"/>
        <v>270</v>
      </c>
      <c r="G38" s="185" t="str">
        <f t="shared" si="3"/>
        <v>Предбифуркация</v>
      </c>
      <c r="H38" s="174"/>
      <c r="I38" s="159"/>
      <c r="R38" s="131"/>
      <c r="W38" s="143"/>
      <c r="X38" s="218"/>
      <c r="Y38" s="218"/>
      <c r="Z38" s="218"/>
      <c r="AA38" s="215"/>
      <c r="AB38" s="219"/>
      <c r="AC38" s="216"/>
      <c r="AD38" s="143"/>
      <c r="AE38" s="143"/>
      <c r="AF38" s="143"/>
      <c r="AG38" s="143"/>
      <c r="AH38" s="143"/>
      <c r="AI38" s="143"/>
    </row>
    <row r="39" spans="2:35" ht="15.3" x14ac:dyDescent="0.55000000000000004">
      <c r="B39">
        <v>4</v>
      </c>
      <c r="C39" s="183">
        <v>2.6</v>
      </c>
      <c r="D39" s="183">
        <v>73</v>
      </c>
      <c r="E39" s="183">
        <v>113</v>
      </c>
      <c r="F39" s="162">
        <f t="shared" si="2"/>
        <v>277.05</v>
      </c>
      <c r="G39" s="185" t="str">
        <f t="shared" si="3"/>
        <v>Предбифуркация</v>
      </c>
      <c r="H39" s="174"/>
      <c r="I39" s="159"/>
      <c r="R39" s="131"/>
      <c r="W39" s="143"/>
      <c r="X39" s="218"/>
      <c r="Y39" s="218"/>
      <c r="Z39" s="218"/>
      <c r="AA39" s="215"/>
      <c r="AB39" s="219"/>
      <c r="AC39" s="216"/>
      <c r="AD39" s="143"/>
      <c r="AE39" s="143"/>
      <c r="AF39" s="143"/>
      <c r="AG39" s="143"/>
      <c r="AH39" s="143"/>
      <c r="AI39" s="143"/>
    </row>
    <row r="40" spans="2:35" ht="15.3" x14ac:dyDescent="0.55000000000000004">
      <c r="B40">
        <v>5</v>
      </c>
      <c r="C40" s="186">
        <v>3</v>
      </c>
      <c r="D40" s="186">
        <v>60</v>
      </c>
      <c r="E40" s="186">
        <v>200</v>
      </c>
      <c r="F40" s="162">
        <f t="shared" si="2"/>
        <v>305.25</v>
      </c>
      <c r="G40" s="185" t="str">
        <f t="shared" si="3"/>
        <v>Предбифуркация</v>
      </c>
      <c r="H40" s="174"/>
      <c r="I40" s="159"/>
      <c r="R40" s="131"/>
      <c r="W40" s="143"/>
      <c r="X40" s="220"/>
      <c r="Y40" s="220"/>
      <c r="Z40" s="220"/>
      <c r="AA40" s="215"/>
      <c r="AB40" s="219"/>
      <c r="AC40" s="216"/>
      <c r="AD40" s="143"/>
      <c r="AE40" s="143"/>
      <c r="AF40" s="143"/>
      <c r="AG40" s="143"/>
      <c r="AH40" s="143"/>
      <c r="AI40" s="143"/>
    </row>
    <row r="41" spans="2:35" ht="15.3" x14ac:dyDescent="0.55000000000000004">
      <c r="B41">
        <v>6</v>
      </c>
      <c r="C41" s="188">
        <v>3.5</v>
      </c>
      <c r="D41" s="188">
        <v>340.5</v>
      </c>
      <c r="E41" s="188">
        <v>249</v>
      </c>
      <c r="F41" s="162">
        <f t="shared" si="2"/>
        <v>340.5</v>
      </c>
      <c r="G41" s="189" t="str">
        <f t="shared" si="3"/>
        <v>Бифуркация</v>
      </c>
      <c r="H41" s="174" t="str">
        <f t="shared" ref="H41:H42" si="4">IF(AND(2*C41 &gt;= 8.28, 2*C41 &lt; 20),31 * EXP(-0.15 * (2*C41 - 8.28)),"")</f>
        <v/>
      </c>
      <c r="I41" s="159"/>
      <c r="R41" s="131"/>
      <c r="W41" s="143"/>
      <c r="X41" s="220"/>
      <c r="Y41" s="220"/>
      <c r="Z41" s="220"/>
      <c r="AA41" s="215"/>
      <c r="AB41" s="219"/>
      <c r="AC41" s="216"/>
      <c r="AD41" s="143"/>
      <c r="AE41" s="143"/>
      <c r="AF41" s="143"/>
      <c r="AG41" s="143"/>
      <c r="AH41" s="143"/>
      <c r="AI41" s="143"/>
    </row>
    <row r="42" spans="2:35" ht="15.3" x14ac:dyDescent="0.55000000000000004">
      <c r="B42">
        <v>7</v>
      </c>
      <c r="C42" s="186">
        <v>4</v>
      </c>
      <c r="D42" s="186">
        <v>212.5</v>
      </c>
      <c r="E42" s="186">
        <v>249</v>
      </c>
      <c r="F42" s="162">
        <f t="shared" si="2"/>
        <v>212.5</v>
      </c>
      <c r="G42" s="185" t="str">
        <f t="shared" si="3"/>
        <v>Бифуркация</v>
      </c>
      <c r="H42" s="174" t="str">
        <f t="shared" si="4"/>
        <v/>
      </c>
      <c r="I42" s="159"/>
      <c r="R42" s="131"/>
      <c r="W42" s="143"/>
      <c r="X42" s="220"/>
      <c r="Y42" s="220"/>
      <c r="Z42" s="220"/>
      <c r="AA42" s="215"/>
      <c r="AB42" s="219"/>
      <c r="AC42" s="216"/>
      <c r="AD42" s="143"/>
      <c r="AE42" s="143"/>
      <c r="AF42" s="143"/>
      <c r="AG42" s="143"/>
      <c r="AH42" s="143"/>
      <c r="AI42" s="143"/>
    </row>
    <row r="43" spans="2:35" ht="15.3" x14ac:dyDescent="0.55000000000000004">
      <c r="B43">
        <v>8</v>
      </c>
      <c r="C43" s="161">
        <v>4.1399999999999997</v>
      </c>
      <c r="D43" s="161">
        <v>149</v>
      </c>
      <c r="E43" s="161">
        <v>211</v>
      </c>
      <c r="F43" s="162">
        <f t="shared" si="2"/>
        <v>211</v>
      </c>
      <c r="G43" s="173" t="str">
        <f t="shared" si="3"/>
        <v>Бифуркация</v>
      </c>
      <c r="H43" s="174">
        <f>IF(AND(2*C43 &gt;= 8.28, 2*C43 &lt; 20),31 * EXP(-0.15 * (2*C43 - 8.28)),"")</f>
        <v>31</v>
      </c>
      <c r="I43" s="159"/>
      <c r="R43" s="131"/>
      <c r="W43" s="143"/>
      <c r="X43" s="221"/>
      <c r="Y43" s="221"/>
      <c r="Z43" s="221"/>
      <c r="AA43" s="215"/>
      <c r="AB43" s="216"/>
      <c r="AC43" s="216"/>
      <c r="AD43" s="143"/>
      <c r="AE43" s="143"/>
      <c r="AF43" s="143"/>
      <c r="AG43" s="143"/>
      <c r="AH43" s="143"/>
      <c r="AI43" s="143"/>
    </row>
    <row r="44" spans="2:35" ht="15.3" x14ac:dyDescent="0.55000000000000004">
      <c r="B44">
        <v>9</v>
      </c>
      <c r="C44" s="161">
        <v>5.14</v>
      </c>
      <c r="D44" s="161">
        <v>170</v>
      </c>
      <c r="E44" s="161">
        <v>211</v>
      </c>
      <c r="F44" s="162">
        <f t="shared" si="2"/>
        <v>180</v>
      </c>
      <c r="G44" s="173" t="str">
        <f t="shared" si="3"/>
        <v>Стабилизация</v>
      </c>
      <c r="H44" s="174">
        <f>IF(AND(2*C44 &gt;= 8.28, 2*C44 &lt; 20),31 * EXP(-0.15 * (2*C44 - 8.28)),"")</f>
        <v>22.965364841133255</v>
      </c>
      <c r="I44" s="159"/>
      <c r="R44" s="131"/>
      <c r="W44" s="143"/>
      <c r="X44" s="221"/>
      <c r="Y44" s="221"/>
      <c r="Z44" s="221"/>
      <c r="AA44" s="215"/>
      <c r="AB44" s="216"/>
      <c r="AC44" s="216"/>
      <c r="AD44" s="143"/>
      <c r="AE44" s="143"/>
      <c r="AF44" s="143"/>
      <c r="AG44" s="143"/>
      <c r="AH44" s="143"/>
      <c r="AI44" s="143"/>
    </row>
    <row r="45" spans="2:35" x14ac:dyDescent="0.55000000000000004">
      <c r="B45">
        <v>10</v>
      </c>
      <c r="C45" s="179">
        <v>5.4</v>
      </c>
      <c r="D45" s="179">
        <v>169</v>
      </c>
      <c r="E45" s="179">
        <v>187</v>
      </c>
      <c r="F45" s="162">
        <f t="shared" si="2"/>
        <v>180</v>
      </c>
      <c r="G45" s="180" t="str">
        <f t="shared" si="3"/>
        <v>Стабилизация</v>
      </c>
      <c r="H45" s="181">
        <f>IF(AND(2*C45 &gt;= 8.28, 2*C45 &lt; 20),31 * EXP(-0.15 * (2*C45 - 8.28)),"")</f>
        <v>21.242145520641976</v>
      </c>
      <c r="W45" s="143"/>
      <c r="X45" s="222"/>
      <c r="Y45" s="222"/>
      <c r="Z45" s="222"/>
      <c r="AA45" s="215"/>
      <c r="AB45" s="223"/>
      <c r="AC45" s="223"/>
      <c r="AD45" s="143"/>
      <c r="AE45" s="143"/>
      <c r="AF45" s="143"/>
      <c r="AG45" s="143"/>
      <c r="AH45" s="143"/>
      <c r="AI45" s="143"/>
    </row>
    <row r="46" spans="2:35" x14ac:dyDescent="0.55000000000000004">
      <c r="B46">
        <v>11</v>
      </c>
      <c r="C46" s="179">
        <v>7.14</v>
      </c>
      <c r="D46" s="179">
        <v>172</v>
      </c>
      <c r="E46" s="179">
        <v>188</v>
      </c>
      <c r="F46" s="162">
        <f t="shared" si="2"/>
        <v>180</v>
      </c>
      <c r="G46" s="180" t="str">
        <f t="shared" si="3"/>
        <v>Стабилизация</v>
      </c>
      <c r="H46" s="181">
        <f>IF(AND(2*C46 &gt;= 8.28, 2*C46 &lt; 20),31 * EXP(-0.15 * (2*C46 - 8.28)),"")</f>
        <v>12.603659451958574</v>
      </c>
      <c r="W46" s="143"/>
      <c r="X46" s="222"/>
      <c r="Y46" s="222"/>
      <c r="Z46" s="222"/>
      <c r="AA46" s="215"/>
      <c r="AB46" s="223"/>
      <c r="AC46" s="223"/>
      <c r="AD46" s="143"/>
      <c r="AE46" s="143"/>
      <c r="AF46" s="143"/>
      <c r="AG46" s="143"/>
      <c r="AH46" s="143"/>
      <c r="AI46" s="143"/>
    </row>
    <row r="47" spans="2:35" x14ac:dyDescent="0.55000000000000004">
      <c r="B47">
        <v>12</v>
      </c>
      <c r="C47" s="161">
        <v>10.82</v>
      </c>
      <c r="D47" s="161">
        <v>6</v>
      </c>
      <c r="E47" s="179"/>
      <c r="F47" s="162">
        <f t="shared" si="2"/>
        <v>6.5593696799033943</v>
      </c>
      <c r="G47" s="173" t="str">
        <f t="shared" si="3"/>
        <v>Распад</v>
      </c>
      <c r="H47" s="147" t="str">
        <f>IF(AND(2*C47 &gt;= 8.28, 2*C47 &lt; 20),31 * EXP(-0.15 * (2*C47 - 8.28)),"")</f>
        <v/>
      </c>
      <c r="W47" s="143"/>
      <c r="X47" s="221"/>
      <c r="Y47" s="221"/>
      <c r="Z47" s="222"/>
      <c r="AA47" s="215"/>
      <c r="AB47" s="216"/>
      <c r="AC47" s="149"/>
      <c r="AD47" s="143"/>
      <c r="AE47" s="143"/>
      <c r="AF47" s="143"/>
      <c r="AG47" s="143"/>
      <c r="AH47" s="143"/>
      <c r="AI47" s="14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Лист1</vt:lpstr>
      <vt:lpstr>Лист 2</vt:lpstr>
      <vt:lpstr>Лист 3</vt:lpstr>
      <vt:lpstr>Анализ</vt:lpstr>
      <vt:lpstr>'Лист 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2025-07-30T18:46:42Z</dcterms:modified>
</cp:coreProperties>
</file>