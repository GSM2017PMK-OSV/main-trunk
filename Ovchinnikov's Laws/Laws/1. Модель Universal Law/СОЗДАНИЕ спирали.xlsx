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User2\Desktop\Законы Овчииникова\Законы\Эксперимент\Спираль\Построение спирали\"/>
    </mc:Choice>
  </mc:AlternateContent>
  <xr:revisionPtr revIDLastSave="0" documentId="13_ncr:1_{D608B325-92B5-4FF8-9639-147FB427AD55}" xr6:coauthVersionLast="47" xr6:coauthVersionMax="47" xr10:uidLastSave="{00000000-0000-0000-0000-000000000000}"/>
  <bookViews>
    <workbookView xWindow="-96" yWindow="-96" windowWidth="17472" windowHeight="10992" activeTab="1" xr2:uid="{00000000-000D-0000-FFFF-FFFF00000000}"/>
  </bookViews>
  <sheets>
    <sheet name="0,5" sheetId="1" r:id="rId1"/>
    <sheet name="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" i="2" l="1"/>
  <c r="L5" i="2"/>
  <c r="L6" i="2"/>
  <c r="L7" i="2"/>
  <c r="L8" i="2"/>
  <c r="L9" i="2"/>
  <c r="L10" i="2"/>
  <c r="L11" i="2"/>
  <c r="L12" i="2"/>
  <c r="L13" i="2"/>
  <c r="L14" i="2"/>
  <c r="L15" i="2"/>
  <c r="L16" i="2"/>
  <c r="L17" i="2"/>
  <c r="L18" i="2"/>
  <c r="L19" i="2"/>
  <c r="L20" i="2"/>
  <c r="L21" i="2"/>
  <c r="L22" i="2"/>
  <c r="L23" i="2"/>
  <c r="L24" i="2"/>
  <c r="L25" i="2"/>
  <c r="L26" i="2"/>
  <c r="L27" i="2"/>
  <c r="L28" i="2"/>
  <c r="L29" i="2"/>
  <c r="L30" i="2"/>
  <c r="L31" i="2"/>
  <c r="L32" i="2"/>
  <c r="K4" i="2"/>
  <c r="K5" i="2"/>
  <c r="K6" i="2"/>
  <c r="K7" i="2"/>
  <c r="K8" i="2"/>
  <c r="K9" i="2"/>
  <c r="K10" i="2"/>
  <c r="K11" i="2"/>
  <c r="K12" i="2"/>
  <c r="K13" i="2"/>
  <c r="K14" i="2"/>
  <c r="K15" i="2"/>
  <c r="K16" i="2"/>
  <c r="K17" i="2"/>
  <c r="K18" i="2"/>
  <c r="K19" i="2"/>
  <c r="K20" i="2"/>
  <c r="K21" i="2"/>
  <c r="K22" i="2"/>
  <c r="K23" i="2"/>
  <c r="K24" i="2"/>
  <c r="K25" i="2"/>
  <c r="K26" i="2"/>
  <c r="K27" i="2"/>
  <c r="K28" i="2"/>
  <c r="K29" i="2"/>
  <c r="K30" i="2"/>
  <c r="K31" i="2"/>
  <c r="K32" i="2"/>
  <c r="J4" i="2"/>
  <c r="J5" i="2"/>
  <c r="J6" i="2"/>
  <c r="J7" i="2"/>
  <c r="J8" i="2"/>
  <c r="J9" i="2"/>
  <c r="J10" i="2"/>
  <c r="J11" i="2"/>
  <c r="J12" i="2"/>
  <c r="J13" i="2"/>
  <c r="J14" i="2"/>
  <c r="J15" i="2"/>
  <c r="J16" i="2"/>
  <c r="J17" i="2"/>
  <c r="J18" i="2"/>
  <c r="J19" i="2"/>
  <c r="J20" i="2"/>
  <c r="J21" i="2"/>
  <c r="J22" i="2"/>
  <c r="J23" i="2"/>
  <c r="J24" i="2"/>
  <c r="J25" i="2"/>
  <c r="J26" i="2"/>
  <c r="J27" i="2"/>
  <c r="J28" i="2"/>
  <c r="J29" i="2"/>
  <c r="J30" i="2"/>
  <c r="J31" i="2"/>
  <c r="J32" i="2"/>
  <c r="I4" i="2"/>
  <c r="I5" i="2"/>
  <c r="I6" i="2"/>
  <c r="I7" i="2"/>
  <c r="I8" i="2"/>
  <c r="I9" i="2"/>
  <c r="I10" i="2"/>
  <c r="I11" i="2"/>
  <c r="I12" i="2"/>
  <c r="I13" i="2"/>
  <c r="I14" i="2"/>
  <c r="I15" i="2"/>
  <c r="I16" i="2"/>
  <c r="I17" i="2"/>
  <c r="I18" i="2"/>
  <c r="I19" i="2"/>
  <c r="I20" i="2"/>
  <c r="I21" i="2"/>
  <c r="I22" i="2"/>
  <c r="I23" i="2"/>
  <c r="I24" i="2"/>
  <c r="I25" i="2"/>
  <c r="I26" i="2"/>
  <c r="I27" i="2"/>
  <c r="I28" i="2"/>
  <c r="I29" i="2"/>
  <c r="I30" i="2"/>
  <c r="I31" i="2"/>
  <c r="I32" i="2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J32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I31" i="1"/>
  <c r="I32" i="1"/>
  <c r="L3" i="2"/>
  <c r="K3" i="2"/>
  <c r="J3" i="2"/>
  <c r="I3" i="2"/>
  <c r="L3" i="1" l="1"/>
  <c r="K3" i="1"/>
  <c r="J3" i="1"/>
  <c r="I3" i="1"/>
  <c r="O8" i="2"/>
  <c r="O17" i="2"/>
  <c r="O18" i="2"/>
  <c r="O19" i="2"/>
  <c r="O29" i="2"/>
  <c r="O30" i="2"/>
  <c r="M29" i="1"/>
  <c r="O14" i="1"/>
  <c r="O23" i="1"/>
  <c r="R31" i="2"/>
  <c r="M31" i="2"/>
  <c r="H29" i="2"/>
  <c r="S29" i="2" s="1"/>
  <c r="E32" i="2"/>
  <c r="G32" i="2" s="1"/>
  <c r="B32" i="2"/>
  <c r="Q32" i="2" s="1"/>
  <c r="E31" i="2"/>
  <c r="G31" i="2" s="1"/>
  <c r="B31" i="2"/>
  <c r="Q31" i="2" s="1"/>
  <c r="E30" i="2"/>
  <c r="H30" i="2" s="1"/>
  <c r="S30" i="2" s="1"/>
  <c r="B30" i="2"/>
  <c r="R30" i="2" s="1"/>
  <c r="E29" i="2"/>
  <c r="B29" i="2"/>
  <c r="R29" i="2" s="1"/>
  <c r="E28" i="2"/>
  <c r="G28" i="2" s="1"/>
  <c r="B28" i="2"/>
  <c r="R28" i="2" s="1"/>
  <c r="E27" i="2"/>
  <c r="G27" i="2" s="1"/>
  <c r="B27" i="2"/>
  <c r="R27" i="2" s="1"/>
  <c r="E26" i="2"/>
  <c r="G26" i="2" s="1"/>
  <c r="B26" i="2"/>
  <c r="Q26" i="2" s="1"/>
  <c r="E25" i="2"/>
  <c r="H25" i="2" s="1"/>
  <c r="B25" i="2"/>
  <c r="M25" i="2" s="1"/>
  <c r="E24" i="2"/>
  <c r="G24" i="2" s="1"/>
  <c r="B24" i="2"/>
  <c r="M24" i="2" s="1"/>
  <c r="E23" i="2"/>
  <c r="H23" i="2" s="1"/>
  <c r="B23" i="2"/>
  <c r="O23" i="2" s="1"/>
  <c r="E22" i="2"/>
  <c r="F22" i="2" s="1"/>
  <c r="B22" i="2"/>
  <c r="M22" i="2" s="1"/>
  <c r="C21" i="2"/>
  <c r="E21" i="2" s="1"/>
  <c r="H21" i="2" s="1"/>
  <c r="S21" i="2" s="1"/>
  <c r="B21" i="2"/>
  <c r="M21" i="2" s="1"/>
  <c r="C20" i="2"/>
  <c r="E20" i="2" s="1"/>
  <c r="H20" i="2" s="1"/>
  <c r="B20" i="2"/>
  <c r="M20" i="2" s="1"/>
  <c r="C19" i="2"/>
  <c r="E19" i="2" s="1"/>
  <c r="H19" i="2" s="1"/>
  <c r="B19" i="2"/>
  <c r="Q19" i="2" s="1"/>
  <c r="C18" i="2"/>
  <c r="E18" i="2" s="1"/>
  <c r="H18" i="2" s="1"/>
  <c r="B18" i="2"/>
  <c r="M18" i="2" s="1"/>
  <c r="C17" i="2"/>
  <c r="E17" i="2" s="1"/>
  <c r="H17" i="2" s="1"/>
  <c r="S17" i="2" s="1"/>
  <c r="B17" i="2"/>
  <c r="Q17" i="2" s="1"/>
  <c r="C16" i="2"/>
  <c r="E16" i="2" s="1"/>
  <c r="H16" i="2" s="1"/>
  <c r="B16" i="2"/>
  <c r="N16" i="2" s="1"/>
  <c r="C15" i="2"/>
  <c r="E15" i="2" s="1"/>
  <c r="H15" i="2" s="1"/>
  <c r="B15" i="2"/>
  <c r="O15" i="2" s="1"/>
  <c r="C14" i="2"/>
  <c r="E14" i="2" s="1"/>
  <c r="H14" i="2" s="1"/>
  <c r="B14" i="2"/>
  <c r="O14" i="2" s="1"/>
  <c r="C13" i="2"/>
  <c r="E13" i="2" s="1"/>
  <c r="H13" i="2" s="1"/>
  <c r="B13" i="2"/>
  <c r="R13" i="2" s="1"/>
  <c r="C12" i="2"/>
  <c r="E12" i="2" s="1"/>
  <c r="H12" i="2" s="1"/>
  <c r="B12" i="2"/>
  <c r="R12" i="2" s="1"/>
  <c r="C11" i="2"/>
  <c r="E11" i="2" s="1"/>
  <c r="H11" i="2" s="1"/>
  <c r="S11" i="2" s="1"/>
  <c r="B11" i="2"/>
  <c r="R11" i="2" s="1"/>
  <c r="C10" i="2"/>
  <c r="E10" i="2" s="1"/>
  <c r="H10" i="2" s="1"/>
  <c r="B10" i="2"/>
  <c r="R10" i="2" s="1"/>
  <c r="C9" i="2"/>
  <c r="E9" i="2" s="1"/>
  <c r="H9" i="2" s="1"/>
  <c r="S9" i="2" s="1"/>
  <c r="B9" i="2"/>
  <c r="N9" i="2" s="1"/>
  <c r="C8" i="2"/>
  <c r="E8" i="2" s="1"/>
  <c r="H8" i="2" s="1"/>
  <c r="B8" i="2"/>
  <c r="R8" i="2" s="1"/>
  <c r="C7" i="2"/>
  <c r="E7" i="2" s="1"/>
  <c r="H7" i="2" s="1"/>
  <c r="B7" i="2"/>
  <c r="R7" i="2" s="1"/>
  <c r="C6" i="2"/>
  <c r="E6" i="2" s="1"/>
  <c r="H6" i="2" s="1"/>
  <c r="B6" i="2"/>
  <c r="Q6" i="2" s="1"/>
  <c r="C5" i="2"/>
  <c r="E5" i="2" s="1"/>
  <c r="H5" i="2" s="1"/>
  <c r="S5" i="2" s="1"/>
  <c r="B5" i="2"/>
  <c r="R5" i="2" s="1"/>
  <c r="C4" i="2"/>
  <c r="E4" i="2" s="1"/>
  <c r="H4" i="2" s="1"/>
  <c r="B4" i="2"/>
  <c r="Q4" i="2" s="1"/>
  <c r="C3" i="2"/>
  <c r="B3" i="2"/>
  <c r="E22" i="1"/>
  <c r="F22" i="1" s="1"/>
  <c r="E23" i="1"/>
  <c r="F23" i="1" s="1"/>
  <c r="E24" i="1"/>
  <c r="F24" i="1" s="1"/>
  <c r="E25" i="1"/>
  <c r="F25" i="1" s="1"/>
  <c r="E26" i="1"/>
  <c r="H26" i="1" s="1"/>
  <c r="E27" i="1"/>
  <c r="H27" i="1" s="1"/>
  <c r="E28" i="1"/>
  <c r="F28" i="1" s="1"/>
  <c r="E29" i="1"/>
  <c r="F29" i="1" s="1"/>
  <c r="E30" i="1"/>
  <c r="F30" i="1" s="1"/>
  <c r="E31" i="1"/>
  <c r="F31" i="1" s="1"/>
  <c r="E32" i="1"/>
  <c r="F32" i="1" s="1"/>
  <c r="H29" i="1"/>
  <c r="H31" i="1"/>
  <c r="H32" i="1"/>
  <c r="G29" i="1"/>
  <c r="C21" i="1"/>
  <c r="E21" i="1" s="1"/>
  <c r="F21" i="1" s="1"/>
  <c r="C20" i="1"/>
  <c r="E20" i="1" s="1"/>
  <c r="F20" i="1" s="1"/>
  <c r="C19" i="1"/>
  <c r="E19" i="1" s="1"/>
  <c r="F19" i="1" s="1"/>
  <c r="C18" i="1"/>
  <c r="E18" i="1" s="1"/>
  <c r="F18" i="1" s="1"/>
  <c r="C17" i="1"/>
  <c r="E17" i="1" s="1"/>
  <c r="F17" i="1" s="1"/>
  <c r="C16" i="1"/>
  <c r="E16" i="1" s="1"/>
  <c r="F16" i="1" s="1"/>
  <c r="C15" i="1"/>
  <c r="E15" i="1" s="1"/>
  <c r="F15" i="1" s="1"/>
  <c r="C14" i="1"/>
  <c r="E14" i="1" s="1"/>
  <c r="G14" i="1" s="1"/>
  <c r="C13" i="1"/>
  <c r="E13" i="1" s="1"/>
  <c r="F13" i="1" s="1"/>
  <c r="C12" i="1"/>
  <c r="E12" i="1" s="1"/>
  <c r="G12" i="1" s="1"/>
  <c r="C11" i="1"/>
  <c r="E11" i="1" s="1"/>
  <c r="F11" i="1" s="1"/>
  <c r="C10" i="1"/>
  <c r="E10" i="1" s="1"/>
  <c r="C9" i="1"/>
  <c r="E9" i="1" s="1"/>
  <c r="C8" i="1"/>
  <c r="E8" i="1" s="1"/>
  <c r="H8" i="1" s="1"/>
  <c r="C7" i="1"/>
  <c r="E7" i="1" s="1"/>
  <c r="C6" i="1"/>
  <c r="E6" i="1" s="1"/>
  <c r="C5" i="1"/>
  <c r="E5" i="1" s="1"/>
  <c r="C4" i="1"/>
  <c r="E4" i="1" s="1"/>
  <c r="F4" i="1" s="1"/>
  <c r="B32" i="1"/>
  <c r="N32" i="1" s="1"/>
  <c r="B31" i="1"/>
  <c r="Q31" i="1" s="1"/>
  <c r="B30" i="1"/>
  <c r="Q30" i="1" s="1"/>
  <c r="B29" i="1"/>
  <c r="N29" i="1" s="1"/>
  <c r="B28" i="1"/>
  <c r="O28" i="1" s="1"/>
  <c r="B27" i="1"/>
  <c r="Q27" i="1" s="1"/>
  <c r="B26" i="1"/>
  <c r="M26" i="1" s="1"/>
  <c r="B25" i="1"/>
  <c r="M25" i="1" s="1"/>
  <c r="B24" i="1"/>
  <c r="Q24" i="1" s="1"/>
  <c r="B23" i="1"/>
  <c r="M23" i="1" s="1"/>
  <c r="B22" i="1"/>
  <c r="M22" i="1" s="1"/>
  <c r="B21" i="1"/>
  <c r="M21" i="1" s="1"/>
  <c r="B20" i="1"/>
  <c r="O20" i="1" s="1"/>
  <c r="B19" i="1"/>
  <c r="Q19" i="1" s="1"/>
  <c r="B18" i="1"/>
  <c r="O18" i="1" s="1"/>
  <c r="B17" i="1"/>
  <c r="O17" i="1" s="1"/>
  <c r="B16" i="1"/>
  <c r="O16" i="1" s="1"/>
  <c r="B15" i="1"/>
  <c r="O15" i="1" s="1"/>
  <c r="B14" i="1"/>
  <c r="Q14" i="1" s="1"/>
  <c r="B13" i="1"/>
  <c r="Q13" i="1" s="1"/>
  <c r="B12" i="1"/>
  <c r="Q12" i="1" s="1"/>
  <c r="B11" i="1"/>
  <c r="N11" i="1" s="1"/>
  <c r="B10" i="1"/>
  <c r="N10" i="1" s="1"/>
  <c r="B9" i="1"/>
  <c r="Q9" i="1" s="1"/>
  <c r="B8" i="1"/>
  <c r="Q8" i="1" s="1"/>
  <c r="B7" i="1"/>
  <c r="N7" i="1" s="1"/>
  <c r="B6" i="1"/>
  <c r="O6" i="1" s="1"/>
  <c r="B5" i="1"/>
  <c r="Q5" i="1" s="1"/>
  <c r="B4" i="1"/>
  <c r="N3" i="1" s="1"/>
  <c r="C3" i="1"/>
  <c r="B3" i="1"/>
  <c r="Q3" i="1" s="1"/>
  <c r="O25" i="2" l="1"/>
  <c r="S16" i="2"/>
  <c r="O16" i="2"/>
  <c r="O7" i="2"/>
  <c r="S20" i="2"/>
  <c r="S7" i="2"/>
  <c r="O11" i="2"/>
  <c r="N22" i="2"/>
  <c r="H31" i="2"/>
  <c r="S31" i="2" s="1"/>
  <c r="Q10" i="2"/>
  <c r="M11" i="2"/>
  <c r="O10" i="2"/>
  <c r="O5" i="2"/>
  <c r="S18" i="2"/>
  <c r="S4" i="2"/>
  <c r="N25" i="2"/>
  <c r="P25" i="2" s="1"/>
  <c r="R22" i="2"/>
  <c r="M32" i="2"/>
  <c r="M10" i="2"/>
  <c r="N21" i="2"/>
  <c r="P21" i="2" s="1"/>
  <c r="R32" i="2"/>
  <c r="R21" i="2"/>
  <c r="Q15" i="2"/>
  <c r="S23" i="2"/>
  <c r="R25" i="2"/>
  <c r="S15" i="2"/>
  <c r="M17" i="2"/>
  <c r="R20" i="2"/>
  <c r="M16" i="2"/>
  <c r="S12" i="2"/>
  <c r="M13" i="2"/>
  <c r="O13" i="2"/>
  <c r="S13" i="2"/>
  <c r="S14" i="2"/>
  <c r="N31" i="2"/>
  <c r="P31" i="2" s="1"/>
  <c r="O9" i="2"/>
  <c r="S8" i="2"/>
  <c r="S10" i="2"/>
  <c r="Q18" i="2"/>
  <c r="O4" i="2"/>
  <c r="O32" i="2"/>
  <c r="N24" i="2"/>
  <c r="P24" i="2" s="1"/>
  <c r="S19" i="2"/>
  <c r="N20" i="2"/>
  <c r="P20" i="2" s="1"/>
  <c r="Q30" i="2"/>
  <c r="Q16" i="2"/>
  <c r="O31" i="2"/>
  <c r="H22" i="2"/>
  <c r="S22" i="2" s="1"/>
  <c r="S6" i="2"/>
  <c r="Q13" i="2"/>
  <c r="M9" i="2"/>
  <c r="Q12" i="2"/>
  <c r="T12" i="2" s="1"/>
  <c r="S25" i="2"/>
  <c r="N32" i="2"/>
  <c r="Q11" i="2"/>
  <c r="O12" i="2"/>
  <c r="M12" i="2"/>
  <c r="N26" i="2"/>
  <c r="Q8" i="2"/>
  <c r="H27" i="2"/>
  <c r="S27" i="2" s="1"/>
  <c r="N19" i="2"/>
  <c r="O26" i="2"/>
  <c r="R26" i="2"/>
  <c r="T26" i="2" s="1"/>
  <c r="N12" i="2"/>
  <c r="P12" i="2" s="1"/>
  <c r="R19" i="2"/>
  <c r="T19" i="2" s="1"/>
  <c r="M30" i="2"/>
  <c r="M29" i="2"/>
  <c r="O22" i="2"/>
  <c r="G22" i="2"/>
  <c r="O28" i="2"/>
  <c r="F28" i="2"/>
  <c r="O24" i="2"/>
  <c r="M19" i="2"/>
  <c r="O21" i="2"/>
  <c r="O6" i="2"/>
  <c r="H28" i="2"/>
  <c r="S28" i="2" s="1"/>
  <c r="O27" i="2"/>
  <c r="N13" i="2"/>
  <c r="O20" i="2"/>
  <c r="M6" i="1"/>
  <c r="M5" i="1"/>
  <c r="O5" i="1"/>
  <c r="N27" i="1"/>
  <c r="N6" i="1"/>
  <c r="N28" i="1"/>
  <c r="Q29" i="1"/>
  <c r="M7" i="1"/>
  <c r="Q28" i="1"/>
  <c r="M27" i="1"/>
  <c r="O24" i="1"/>
  <c r="M8" i="1"/>
  <c r="N16" i="1"/>
  <c r="Q16" i="1"/>
  <c r="Q7" i="1"/>
  <c r="Q17" i="1"/>
  <c r="Q6" i="1"/>
  <c r="S6" i="1" s="1"/>
  <c r="N15" i="1"/>
  <c r="G30" i="1"/>
  <c r="O27" i="1"/>
  <c r="P27" i="1" s="1"/>
  <c r="R27" i="1" s="1"/>
  <c r="S27" i="1" s="1"/>
  <c r="O13" i="1"/>
  <c r="N26" i="1"/>
  <c r="O12" i="1"/>
  <c r="N25" i="1"/>
  <c r="Q26" i="1"/>
  <c r="O8" i="1"/>
  <c r="N24" i="1"/>
  <c r="O19" i="1"/>
  <c r="Q25" i="1"/>
  <c r="O7" i="1"/>
  <c r="N20" i="1"/>
  <c r="N19" i="1"/>
  <c r="P6" i="1"/>
  <c r="R6" i="1" s="1"/>
  <c r="H30" i="1"/>
  <c r="Q15" i="1"/>
  <c r="M28" i="1"/>
  <c r="P28" i="1" s="1"/>
  <c r="R28" i="1" s="1"/>
  <c r="S28" i="1" s="1"/>
  <c r="N5" i="1"/>
  <c r="P5" i="1" s="1"/>
  <c r="R5" i="1" s="1"/>
  <c r="S5" i="1" s="1"/>
  <c r="O30" i="1"/>
  <c r="M18" i="1"/>
  <c r="P18" i="1" s="1"/>
  <c r="R18" i="1" s="1"/>
  <c r="Q20" i="1"/>
  <c r="M3" i="1"/>
  <c r="M19" i="1"/>
  <c r="O29" i="1"/>
  <c r="P29" i="1" s="1"/>
  <c r="R29" i="1" s="1"/>
  <c r="S29" i="1" s="1"/>
  <c r="M17" i="1"/>
  <c r="M30" i="1"/>
  <c r="M20" i="1"/>
  <c r="O4" i="1"/>
  <c r="M16" i="1"/>
  <c r="M15" i="1"/>
  <c r="N22" i="1"/>
  <c r="O10" i="1"/>
  <c r="O31" i="1"/>
  <c r="O11" i="1"/>
  <c r="O32" i="1"/>
  <c r="N23" i="1"/>
  <c r="P23" i="1" s="1"/>
  <c r="R23" i="1" s="1"/>
  <c r="Q23" i="1"/>
  <c r="N21" i="1"/>
  <c r="Q21" i="1"/>
  <c r="M13" i="1"/>
  <c r="O26" i="1"/>
  <c r="M4" i="1"/>
  <c r="M11" i="1"/>
  <c r="N18" i="1"/>
  <c r="O9" i="1"/>
  <c r="Q22" i="1"/>
  <c r="M14" i="1"/>
  <c r="M12" i="1"/>
  <c r="Q18" i="1"/>
  <c r="O25" i="1"/>
  <c r="P25" i="1" s="1"/>
  <c r="R25" i="1" s="1"/>
  <c r="M32" i="1"/>
  <c r="M10" i="1"/>
  <c r="N17" i="1"/>
  <c r="P17" i="1" s="1"/>
  <c r="R17" i="1" s="1"/>
  <c r="M31" i="1"/>
  <c r="M9" i="1"/>
  <c r="N12" i="1"/>
  <c r="N4" i="1"/>
  <c r="Q11" i="1"/>
  <c r="Q32" i="1"/>
  <c r="Q10" i="1"/>
  <c r="M24" i="1"/>
  <c r="N31" i="1"/>
  <c r="N9" i="1"/>
  <c r="O22" i="1"/>
  <c r="N14" i="1"/>
  <c r="O21" i="1"/>
  <c r="P21" i="1" s="1"/>
  <c r="R21" i="1" s="1"/>
  <c r="S21" i="1" s="1"/>
  <c r="N13" i="1"/>
  <c r="Q4" i="1"/>
  <c r="G32" i="1"/>
  <c r="N30" i="1"/>
  <c r="N8" i="1"/>
  <c r="G31" i="1"/>
  <c r="R24" i="2"/>
  <c r="N23" i="2"/>
  <c r="Q14" i="2"/>
  <c r="H26" i="2"/>
  <c r="S26" i="2" s="1"/>
  <c r="M14" i="2"/>
  <c r="R23" i="2"/>
  <c r="N18" i="2"/>
  <c r="P18" i="2" s="1"/>
  <c r="R18" i="2"/>
  <c r="M4" i="2"/>
  <c r="N17" i="2"/>
  <c r="Q9" i="2"/>
  <c r="R17" i="2"/>
  <c r="T17" i="2" s="1"/>
  <c r="M15" i="2"/>
  <c r="M8" i="2"/>
  <c r="N15" i="2"/>
  <c r="Q29" i="2"/>
  <c r="Q7" i="2"/>
  <c r="T7" i="2" s="1"/>
  <c r="R15" i="2"/>
  <c r="R14" i="2"/>
  <c r="M28" i="2"/>
  <c r="Q27" i="2"/>
  <c r="M27" i="2"/>
  <c r="M26" i="2"/>
  <c r="N4" i="2"/>
  <c r="N11" i="2"/>
  <c r="P11" i="2" s="1"/>
  <c r="Q25" i="2"/>
  <c r="R4" i="2"/>
  <c r="R16" i="2"/>
  <c r="T16" i="2" s="1"/>
  <c r="M7" i="2"/>
  <c r="Q28" i="2"/>
  <c r="T28" i="2" s="1"/>
  <c r="M6" i="2"/>
  <c r="N10" i="2"/>
  <c r="Q24" i="2"/>
  <c r="M23" i="2"/>
  <c r="N30" i="2"/>
  <c r="N8" i="2"/>
  <c r="Q22" i="2"/>
  <c r="N14" i="2"/>
  <c r="P16" i="2"/>
  <c r="Q23" i="2"/>
  <c r="N29" i="2"/>
  <c r="N7" i="2"/>
  <c r="Q21" i="2"/>
  <c r="H24" i="2"/>
  <c r="S24" i="2" s="1"/>
  <c r="Q5" i="2"/>
  <c r="T5" i="2" s="1"/>
  <c r="R9" i="2"/>
  <c r="N28" i="2"/>
  <c r="N6" i="2"/>
  <c r="Q20" i="2"/>
  <c r="R6" i="2"/>
  <c r="M5" i="2"/>
  <c r="H32" i="2"/>
  <c r="S32" i="2" s="1"/>
  <c r="N27" i="2"/>
  <c r="N5" i="2"/>
  <c r="G9" i="2"/>
  <c r="F9" i="2"/>
  <c r="G8" i="2"/>
  <c r="F8" i="2"/>
  <c r="G14" i="2"/>
  <c r="G6" i="2"/>
  <c r="F6" i="2"/>
  <c r="F11" i="2"/>
  <c r="G11" i="2"/>
  <c r="F16" i="2"/>
  <c r="G16" i="2"/>
  <c r="G19" i="2"/>
  <c r="G12" i="2"/>
  <c r="F12" i="2"/>
  <c r="G17" i="2"/>
  <c r="F17" i="2"/>
  <c r="F13" i="2"/>
  <c r="G13" i="2"/>
  <c r="F19" i="2"/>
  <c r="G7" i="2"/>
  <c r="F7" i="2"/>
  <c r="G18" i="2"/>
  <c r="F18" i="2"/>
  <c r="F14" i="2"/>
  <c r="N3" i="2"/>
  <c r="O3" i="2"/>
  <c r="M3" i="2"/>
  <c r="F4" i="2"/>
  <c r="G4" i="2"/>
  <c r="F20" i="2"/>
  <c r="G20" i="2"/>
  <c r="G5" i="2"/>
  <c r="F5" i="2"/>
  <c r="G10" i="2"/>
  <c r="F10" i="2"/>
  <c r="G15" i="2"/>
  <c r="F15" i="2"/>
  <c r="F21" i="2"/>
  <c r="G21" i="2"/>
  <c r="D3" i="2"/>
  <c r="E3" i="2" s="1"/>
  <c r="H3" i="2" s="1"/>
  <c r="F29" i="2"/>
  <c r="G29" i="2"/>
  <c r="F31" i="2"/>
  <c r="G23" i="2"/>
  <c r="F25" i="2"/>
  <c r="F27" i="2"/>
  <c r="F32" i="2"/>
  <c r="F23" i="2"/>
  <c r="G25" i="2"/>
  <c r="Q3" i="2"/>
  <c r="F26" i="2"/>
  <c r="F30" i="2"/>
  <c r="G30" i="2"/>
  <c r="T31" i="2"/>
  <c r="T10" i="2"/>
  <c r="F24" i="2"/>
  <c r="O3" i="1"/>
  <c r="H9" i="1"/>
  <c r="F9" i="1"/>
  <c r="G9" i="1"/>
  <c r="G6" i="1"/>
  <c r="F6" i="1"/>
  <c r="G10" i="1"/>
  <c r="H10" i="1"/>
  <c r="F10" i="1"/>
  <c r="H5" i="1"/>
  <c r="G5" i="1"/>
  <c r="F5" i="1"/>
  <c r="G7" i="1"/>
  <c r="F7" i="1"/>
  <c r="G27" i="1"/>
  <c r="G4" i="1"/>
  <c r="H4" i="1"/>
  <c r="G26" i="1"/>
  <c r="H28" i="1"/>
  <c r="F27" i="1"/>
  <c r="F26" i="1"/>
  <c r="D3" i="1"/>
  <c r="E3" i="1" s="1"/>
  <c r="H3" i="1" s="1"/>
  <c r="G18" i="1"/>
  <c r="G17" i="1"/>
  <c r="G16" i="1"/>
  <c r="G15" i="1"/>
  <c r="G13" i="1"/>
  <c r="F14" i="1"/>
  <c r="F12" i="1"/>
  <c r="H11" i="1"/>
  <c r="G11" i="1"/>
  <c r="G28" i="1"/>
  <c r="G8" i="1"/>
  <c r="F8" i="1"/>
  <c r="H7" i="1"/>
  <c r="H6" i="1"/>
  <c r="H24" i="1"/>
  <c r="H22" i="1"/>
  <c r="H21" i="1"/>
  <c r="H25" i="1"/>
  <c r="H23" i="1"/>
  <c r="H20" i="1"/>
  <c r="H19" i="1"/>
  <c r="H18" i="1"/>
  <c r="G25" i="1"/>
  <c r="H17" i="1"/>
  <c r="G24" i="1"/>
  <c r="H16" i="1"/>
  <c r="G23" i="1"/>
  <c r="H15" i="1"/>
  <c r="G22" i="1"/>
  <c r="H14" i="1"/>
  <c r="G21" i="1"/>
  <c r="H13" i="1"/>
  <c r="G20" i="1"/>
  <c r="H12" i="1"/>
  <c r="G19" i="1"/>
  <c r="P13" i="2" l="1"/>
  <c r="P32" i="2"/>
  <c r="P22" i="2"/>
  <c r="T4" i="2"/>
  <c r="P29" i="2"/>
  <c r="P8" i="2"/>
  <c r="P10" i="2"/>
  <c r="P17" i="2"/>
  <c r="P4" i="2"/>
  <c r="P3" i="2"/>
  <c r="R3" i="2" s="1"/>
  <c r="T24" i="2"/>
  <c r="P19" i="2"/>
  <c r="P9" i="2"/>
  <c r="P30" i="2"/>
  <c r="P6" i="2"/>
  <c r="P5" i="2"/>
  <c r="P7" i="2"/>
  <c r="T14" i="2"/>
  <c r="P14" i="2"/>
  <c r="T9" i="2"/>
  <c r="P27" i="2"/>
  <c r="P3" i="1"/>
  <c r="R3" i="1" s="1"/>
  <c r="S3" i="1" s="1"/>
  <c r="S17" i="1"/>
  <c r="P8" i="1"/>
  <c r="R8" i="1" s="1"/>
  <c r="S8" i="1" s="1"/>
  <c r="P15" i="1"/>
  <c r="R15" i="1" s="1"/>
  <c r="P16" i="1"/>
  <c r="R16" i="1" s="1"/>
  <c r="S16" i="1" s="1"/>
  <c r="P7" i="1"/>
  <c r="R7" i="1" s="1"/>
  <c r="S7" i="1" s="1"/>
  <c r="P30" i="1"/>
  <c r="R30" i="1" s="1"/>
  <c r="S30" i="1" s="1"/>
  <c r="P22" i="1"/>
  <c r="R22" i="1" s="1"/>
  <c r="S18" i="1"/>
  <c r="P20" i="1"/>
  <c r="R20" i="1" s="1"/>
  <c r="S20" i="1" s="1"/>
  <c r="S22" i="1"/>
  <c r="P10" i="1"/>
  <c r="R10" i="1" s="1"/>
  <c r="S10" i="1" s="1"/>
  <c r="P26" i="1"/>
  <c r="R26" i="1" s="1"/>
  <c r="S23" i="1"/>
  <c r="P32" i="1"/>
  <c r="R32" i="1" s="1"/>
  <c r="S32" i="1" s="1"/>
  <c r="S25" i="1"/>
  <c r="P12" i="1"/>
  <c r="R12" i="1" s="1"/>
  <c r="S12" i="1" s="1"/>
  <c r="S26" i="1"/>
  <c r="P24" i="1"/>
  <c r="R24" i="1" s="1"/>
  <c r="S24" i="1" s="1"/>
  <c r="P19" i="1"/>
  <c r="R19" i="1" s="1"/>
  <c r="S19" i="1" s="1"/>
  <c r="P14" i="1"/>
  <c r="R14" i="1" s="1"/>
  <c r="S14" i="1" s="1"/>
  <c r="P31" i="1"/>
  <c r="R31" i="1" s="1"/>
  <c r="S31" i="1" s="1"/>
  <c r="P4" i="1"/>
  <c r="R4" i="1" s="1"/>
  <c r="S4" i="1" s="1"/>
  <c r="P13" i="1"/>
  <c r="R13" i="1" s="1"/>
  <c r="P11" i="1"/>
  <c r="R11" i="1" s="1"/>
  <c r="P9" i="1"/>
  <c r="R9" i="1" s="1"/>
  <c r="S9" i="1" s="1"/>
  <c r="S13" i="1"/>
  <c r="S11" i="1"/>
  <c r="S15" i="1"/>
  <c r="P26" i="2"/>
  <c r="P15" i="2"/>
  <c r="P23" i="2"/>
  <c r="P28" i="2"/>
  <c r="G3" i="2"/>
  <c r="F3" i="2"/>
  <c r="T11" i="2"/>
  <c r="T30" i="2"/>
  <c r="T22" i="2"/>
  <c r="T18" i="2"/>
  <c r="T27" i="2"/>
  <c r="T15" i="2"/>
  <c r="T29" i="2"/>
  <c r="T25" i="2"/>
  <c r="T32" i="2"/>
  <c r="T3" i="2"/>
  <c r="T20" i="2"/>
  <c r="T23" i="2"/>
  <c r="T8" i="2"/>
  <c r="T6" i="2"/>
  <c r="T21" i="2"/>
  <c r="T13" i="2"/>
  <c r="G3" i="1"/>
  <c r="F3" i="1"/>
</calcChain>
</file>

<file path=xl/sharedStrings.xml><?xml version="1.0" encoding="utf-8"?>
<sst xmlns="http://schemas.openxmlformats.org/spreadsheetml/2006/main" count="38" uniqueCount="16">
  <si>
    <t>ПИ</t>
  </si>
  <si>
    <t>МАХ</t>
  </si>
  <si>
    <t>2ПИ</t>
  </si>
  <si>
    <t>2ПИ(А)/МАКС</t>
  </si>
  <si>
    <t>Безразмерный угол</t>
  </si>
  <si>
    <t>Число</t>
  </si>
  <si>
    <t>Х</t>
  </si>
  <si>
    <t>Y</t>
  </si>
  <si>
    <t>Z</t>
  </si>
  <si>
    <t>F</t>
  </si>
  <si>
    <t>Кривизна F</t>
  </si>
  <si>
    <t>G</t>
  </si>
  <si>
    <t>Кручение</t>
  </si>
  <si>
    <t>Физические значения</t>
  </si>
  <si>
    <t>Z(θ=2π)</t>
  </si>
  <si>
    <t>Параметрические уравнения спирали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</si>
</sst>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"/>
    <numFmt numFmtId="165" formatCode="0.000"/>
  </numFmts>
  <fonts count="1" x14ac:knownFonts="1"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B0F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45">
    <xf numFmtId="0" fontId="0" fillId="0" borderId="0" xfId="0"/>
    <xf numFmtId="0" fontId="0" fillId="2" borderId="0" xfId="0" applyFill="1"/>
    <xf numFmtId="0" fontId="0" fillId="0" borderId="1" xfId="0" applyBorder="1"/>
    <xf numFmtId="165" fontId="0" fillId="2" borderId="0" xfId="0" applyNumberFormat="1" applyFill="1"/>
    <xf numFmtId="0" fontId="0" fillId="3" borderId="0" xfId="0" applyFill="1"/>
    <xf numFmtId="165" fontId="0" fillId="3" borderId="0" xfId="0" applyNumberFormat="1" applyFill="1"/>
    <xf numFmtId="0" fontId="0" fillId="3" borderId="1" xfId="0" applyFill="1" applyBorder="1"/>
    <xf numFmtId="0" fontId="0" fillId="0" borderId="2" xfId="0" applyBorder="1"/>
    <xf numFmtId="0" fontId="0" fillId="0" borderId="0" xfId="0" applyBorder="1"/>
    <xf numFmtId="0" fontId="0" fillId="3" borderId="4" xfId="0" applyFill="1" applyBorder="1"/>
    <xf numFmtId="165" fontId="0" fillId="3" borderId="0" xfId="0" applyNumberFormat="1" applyFill="1" applyBorder="1"/>
    <xf numFmtId="165" fontId="0" fillId="2" borderId="0" xfId="0" applyNumberFormat="1" applyFill="1" applyBorder="1"/>
    <xf numFmtId="164" fontId="0" fillId="2" borderId="0" xfId="0" applyNumberFormat="1" applyFill="1" applyBorder="1"/>
    <xf numFmtId="165" fontId="0" fillId="0" borderId="0" xfId="0" applyNumberFormat="1"/>
    <xf numFmtId="0" fontId="0" fillId="0" borderId="3" xfId="0" applyBorder="1" applyAlignment="1">
      <alignment horizontal="center"/>
    </xf>
    <xf numFmtId="0" fontId="0" fillId="3" borderId="3" xfId="0" applyFill="1" applyBorder="1" applyAlignment="1">
      <alignment horizontal="center"/>
    </xf>
    <xf numFmtId="165" fontId="0" fillId="3" borderId="3" xfId="0" applyNumberFormat="1" applyFill="1" applyBorder="1" applyAlignment="1">
      <alignment horizontal="center"/>
    </xf>
    <xf numFmtId="0" fontId="0" fillId="4" borderId="5" xfId="0" applyFill="1" applyBorder="1"/>
    <xf numFmtId="0" fontId="0" fillId="4" borderId="6" xfId="0" applyFill="1" applyBorder="1"/>
    <xf numFmtId="165" fontId="0" fillId="4" borderId="6" xfId="0" applyNumberFormat="1" applyFill="1" applyBorder="1"/>
    <xf numFmtId="164" fontId="0" fillId="4" borderId="6" xfId="0" applyNumberFormat="1" applyFill="1" applyBorder="1"/>
    <xf numFmtId="165" fontId="0" fillId="4" borderId="7" xfId="0" applyNumberFormat="1" applyFill="1" applyBorder="1"/>
    <xf numFmtId="0" fontId="0" fillId="4" borderId="0" xfId="0" applyFill="1"/>
    <xf numFmtId="0" fontId="0" fillId="4" borderId="3" xfId="0" applyFill="1" applyBorder="1" applyAlignment="1">
      <alignment horizontal="center"/>
    </xf>
    <xf numFmtId="0" fontId="0" fillId="4" borderId="0" xfId="0" applyFill="1" applyBorder="1"/>
    <xf numFmtId="0" fontId="0" fillId="4" borderId="2" xfId="0" applyFill="1" applyBorder="1"/>
    <xf numFmtId="0" fontId="0" fillId="4" borderId="1" xfId="0" applyFill="1" applyBorder="1"/>
    <xf numFmtId="165" fontId="0" fillId="4" borderId="3" xfId="0" applyNumberFormat="1" applyFill="1" applyBorder="1" applyAlignment="1">
      <alignment horizontal="center"/>
    </xf>
    <xf numFmtId="165" fontId="0" fillId="4" borderId="0" xfId="0" applyNumberFormat="1" applyFill="1"/>
    <xf numFmtId="0" fontId="0" fillId="0" borderId="0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165" fontId="0" fillId="0" borderId="0" xfId="0" applyNumberFormat="1" applyBorder="1" applyAlignment="1">
      <alignment horizontal="center"/>
    </xf>
    <xf numFmtId="165" fontId="0" fillId="3" borderId="0" xfId="0" applyNumberFormat="1" applyFill="1" applyBorder="1" applyAlignment="1">
      <alignment horizontal="center"/>
    </xf>
    <xf numFmtId="165" fontId="0" fillId="4" borderId="1" xfId="0" applyNumberFormat="1" applyFill="1" applyBorder="1"/>
    <xf numFmtId="164" fontId="0" fillId="4" borderId="1" xfId="0" applyNumberFormat="1" applyFill="1" applyBorder="1"/>
    <xf numFmtId="165" fontId="0" fillId="3" borderId="1" xfId="0" applyNumberFormat="1" applyFill="1" applyBorder="1"/>
    <xf numFmtId="165" fontId="0" fillId="2" borderId="1" xfId="0" applyNumberFormat="1" applyFill="1" applyBorder="1"/>
    <xf numFmtId="164" fontId="0" fillId="2" borderId="1" xfId="0" applyNumberFormat="1" applyFill="1" applyBorder="1"/>
    <xf numFmtId="165" fontId="0" fillId="0" borderId="1" xfId="0" applyNumberFormat="1" applyBorder="1"/>
    <xf numFmtId="0" fontId="0" fillId="2" borderId="1" xfId="0" applyFill="1" applyBorder="1"/>
    <xf numFmtId="0" fontId="0" fillId="2" borderId="0" xfId="0" applyFill="1" applyBorder="1" applyAlignment="1">
      <alignment horizontal="center" vertical="center"/>
    </xf>
    <xf numFmtId="0" fontId="0" fillId="0" borderId="0" xfId="0" applyNumberFormat="1" applyBorder="1" applyAlignment="1">
      <alignment horizontal="center" vertical="center" wrapText="1"/>
    </xf>
    <xf numFmtId="0" fontId="0" fillId="0" borderId="0" xfId="0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'0,5'!$F$3:$F$32</c:f>
              <c:numCache>
                <c:formatCode>0.000</c:formatCode>
                <c:ptCount val="30"/>
                <c:pt idx="0">
                  <c:v>9.9046113842870862E-2</c:v>
                </c:pt>
                <c:pt idx="1">
                  <c:v>9.9046109287203393E-2</c:v>
                </c:pt>
                <c:pt idx="2">
                  <c:v>0.16668629890814468</c:v>
                </c:pt>
                <c:pt idx="3">
                  <c:v>0.24779413122815946</c:v>
                </c:pt>
                <c:pt idx="4">
                  <c:v>-0.22587540919416088</c:v>
                </c:pt>
                <c:pt idx="5">
                  <c:v>0.39173620590327557</c:v>
                </c:pt>
                <c:pt idx="6">
                  <c:v>5.9663688078952608E-2</c:v>
                </c:pt>
                <c:pt idx="7">
                  <c:v>6.1409736281639402E-3</c:v>
                </c:pt>
                <c:pt idx="8">
                  <c:v>0</c:v>
                </c:pt>
                <c:pt idx="9">
                  <c:v>0.36896481290590133</c:v>
                </c:pt>
                <c:pt idx="10">
                  <c:v>0.40123388936702853</c:v>
                </c:pt>
                <c:pt idx="11">
                  <c:v>0.39436726679320516</c:v>
                </c:pt>
                <c:pt idx="12">
                  <c:v>8.2414578379610207E-2</c:v>
                </c:pt>
                <c:pt idx="13">
                  <c:v>0.36683978162381281</c:v>
                </c:pt>
                <c:pt idx="14">
                  <c:v>8.2414578379610207E-2</c:v>
                </c:pt>
                <c:pt idx="15">
                  <c:v>0.37879254989138261</c:v>
                </c:pt>
                <c:pt idx="16">
                  <c:v>9.9046109287203393E-2</c:v>
                </c:pt>
                <c:pt idx="17">
                  <c:v>0.22678172755980741</c:v>
                </c:pt>
                <c:pt idx="18">
                  <c:v>0</c:v>
                </c:pt>
                <c:pt idx="19">
                  <c:v>1.9855682665332801</c:v>
                </c:pt>
                <c:pt idx="20">
                  <c:v>9.3543827206868477E-2</c:v>
                </c:pt>
                <c:pt idx="21">
                  <c:v>0.20912112590616697</c:v>
                </c:pt>
                <c:pt idx="22">
                  <c:v>-0.38266691114261847</c:v>
                </c:pt>
                <c:pt idx="23">
                  <c:v>-1.1351016622873624</c:v>
                </c:pt>
                <c:pt idx="24">
                  <c:v>0.39443453517291555</c:v>
                </c:pt>
                <c:pt idx="25">
                  <c:v>-0.78619954392678271</c:v>
                </c:pt>
                <c:pt idx="26">
                  <c:v>0.14032135344092109</c:v>
                </c:pt>
                <c:pt idx="27">
                  <c:v>9.9046109287203393E-2</c:v>
                </c:pt>
                <c:pt idx="28">
                  <c:v>0.33723236380119814</c:v>
                </c:pt>
                <c:pt idx="29">
                  <c:v>1.2243768114029149E-2</c:v>
                </c:pt>
              </c:numCache>
            </c:numRef>
          </c:xVal>
          <c:yVal>
            <c:numRef>
              <c:f>'0,5'!$G$3:$G$32</c:f>
              <c:numCache>
                <c:formatCode>0.000</c:formatCode>
                <c:ptCount val="30"/>
                <c:pt idx="0">
                  <c:v>1.0410166051492073E-2</c:v>
                </c:pt>
                <c:pt idx="1">
                  <c:v>1.0410165059988057E-2</c:v>
                </c:pt>
                <c:pt idx="2">
                  <c:v>3.1159067861372781E-2</c:v>
                </c:pt>
                <c:pt idx="3">
                  <c:v>7.5480171283816233E-2</c:v>
                </c:pt>
                <c:pt idx="4">
                  <c:v>1.0018090642854338</c:v>
                </c:pt>
                <c:pt idx="5">
                  <c:v>0.27730430084399688</c:v>
                </c:pt>
                <c:pt idx="6">
                  <c:v>3.6799301391553739E-3</c:v>
                </c:pt>
                <c:pt idx="7">
                  <c:v>3.782878571863713E-5</c:v>
                </c:pt>
                <c:pt idx="8">
                  <c:v>0</c:v>
                </c:pt>
                <c:pt idx="9">
                  <c:v>0.21912649914407265</c:v>
                </c:pt>
                <c:pt idx="10">
                  <c:v>0.31480714141140903</c:v>
                </c:pt>
                <c:pt idx="11">
                  <c:v>0.52222660998295023</c:v>
                </c:pt>
                <c:pt idx="12">
                  <c:v>7.1250888487599199E-3</c:v>
                </c:pt>
                <c:pt idx="13">
                  <c:v>0.21481879643652924</c:v>
                </c:pt>
                <c:pt idx="14">
                  <c:v>7.1250888487599199E-3</c:v>
                </c:pt>
                <c:pt idx="15">
                  <c:v>0.24104417904098421</c:v>
                </c:pt>
                <c:pt idx="16">
                  <c:v>1.0410165059988057E-2</c:v>
                </c:pt>
                <c:pt idx="17">
                  <c:v>6.1515233453533269E-2</c:v>
                </c:pt>
                <c:pt idx="18">
                  <c:v>0</c:v>
                </c:pt>
                <c:pt idx="19">
                  <c:v>-6.0992603987760077E-7</c:v>
                </c:pt>
                <c:pt idx="20">
                  <c:v>9.2496273904888252E-3</c:v>
                </c:pt>
                <c:pt idx="21">
                  <c:v>5.1228503096661514E-2</c:v>
                </c:pt>
                <c:pt idx="22">
                  <c:v>1.0061331763182111</c:v>
                </c:pt>
                <c:pt idx="23">
                  <c:v>0.61857538321050132</c:v>
                </c:pt>
                <c:pt idx="24">
                  <c:v>0.28657344580520727</c:v>
                </c:pt>
                <c:pt idx="25">
                  <c:v>0.89509768337792162</c:v>
                </c:pt>
                <c:pt idx="26">
                  <c:v>0.86862988114355533</c:v>
                </c:pt>
                <c:pt idx="27">
                  <c:v>1.0410165059988057E-2</c:v>
                </c:pt>
                <c:pt idx="28">
                  <c:v>0.16533723562037789</c:v>
                </c:pt>
                <c:pt idx="29">
                  <c:v>1.508504952448701E-4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254-443E-A137-9B5A4504E8C6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xVal>
            <c:numRef>
              <c:f>'0,5'!$F$3:$F$32</c:f>
              <c:numCache>
                <c:formatCode>0.000</c:formatCode>
                <c:ptCount val="30"/>
                <c:pt idx="0">
                  <c:v>9.9046113842870862E-2</c:v>
                </c:pt>
                <c:pt idx="1">
                  <c:v>9.9046109287203393E-2</c:v>
                </c:pt>
                <c:pt idx="2">
                  <c:v>0.16668629890814468</c:v>
                </c:pt>
                <c:pt idx="3">
                  <c:v>0.24779413122815946</c:v>
                </c:pt>
                <c:pt idx="4">
                  <c:v>-0.22587540919416088</c:v>
                </c:pt>
                <c:pt idx="5">
                  <c:v>0.39173620590327557</c:v>
                </c:pt>
                <c:pt idx="6">
                  <c:v>5.9663688078952608E-2</c:v>
                </c:pt>
                <c:pt idx="7">
                  <c:v>6.1409736281639402E-3</c:v>
                </c:pt>
                <c:pt idx="8">
                  <c:v>0</c:v>
                </c:pt>
                <c:pt idx="9">
                  <c:v>0.36896481290590133</c:v>
                </c:pt>
                <c:pt idx="10">
                  <c:v>0.40123388936702853</c:v>
                </c:pt>
                <c:pt idx="11">
                  <c:v>0.39436726679320516</c:v>
                </c:pt>
                <c:pt idx="12">
                  <c:v>8.2414578379610207E-2</c:v>
                </c:pt>
                <c:pt idx="13">
                  <c:v>0.36683978162381281</c:v>
                </c:pt>
                <c:pt idx="14">
                  <c:v>8.2414578379610207E-2</c:v>
                </c:pt>
                <c:pt idx="15">
                  <c:v>0.37879254989138261</c:v>
                </c:pt>
                <c:pt idx="16">
                  <c:v>9.9046109287203393E-2</c:v>
                </c:pt>
                <c:pt idx="17">
                  <c:v>0.22678172755980741</c:v>
                </c:pt>
                <c:pt idx="18">
                  <c:v>0</c:v>
                </c:pt>
                <c:pt idx="19">
                  <c:v>1.9855682665332801</c:v>
                </c:pt>
                <c:pt idx="20">
                  <c:v>9.3543827206868477E-2</c:v>
                </c:pt>
                <c:pt idx="21">
                  <c:v>0.20912112590616697</c:v>
                </c:pt>
                <c:pt idx="22">
                  <c:v>-0.38266691114261847</c:v>
                </c:pt>
                <c:pt idx="23">
                  <c:v>-1.1351016622873624</c:v>
                </c:pt>
                <c:pt idx="24">
                  <c:v>0.39443453517291555</c:v>
                </c:pt>
                <c:pt idx="25">
                  <c:v>-0.78619954392678271</c:v>
                </c:pt>
                <c:pt idx="26">
                  <c:v>0.14032135344092109</c:v>
                </c:pt>
                <c:pt idx="27">
                  <c:v>9.9046109287203393E-2</c:v>
                </c:pt>
                <c:pt idx="28">
                  <c:v>0.33723236380119814</c:v>
                </c:pt>
                <c:pt idx="29">
                  <c:v>1.2243768114029149E-2</c:v>
                </c:pt>
              </c:numCache>
            </c:numRef>
          </c:xVal>
          <c:yVal>
            <c:numRef>
              <c:f>'0,5'!$H$3:$H$32</c:f>
              <c:numCache>
                <c:formatCode>0.00000</c:formatCode>
                <c:ptCount val="30"/>
                <c:pt idx="0">
                  <c:v>1.6943882508068234E-2</c:v>
                </c:pt>
                <c:pt idx="1">
                  <c:v>1.6943881265510233E-2</c:v>
                </c:pt>
                <c:pt idx="2">
                  <c:v>3.9721112120011247E-2</c:v>
                </c:pt>
                <c:pt idx="3">
                  <c:v>8.038987871625923E-2</c:v>
                </c:pt>
                <c:pt idx="4">
                  <c:v>1.1999937963354224</c:v>
                </c:pt>
                <c:pt idx="5">
                  <c:v>0.24173499019246691</c:v>
                </c:pt>
                <c:pt idx="6">
                  <c:v>7.6443315916666036E-3</c:v>
                </c:pt>
                <c:pt idx="7">
                  <c:v>2.4173499019246693E-4</c:v>
                </c:pt>
                <c:pt idx="8">
                  <c:v>0</c:v>
                </c:pt>
                <c:pt idx="9">
                  <c:v>0.19616358790102656</c:v>
                </c:pt>
                <c:pt idx="10">
                  <c:v>0.27131584066737502</c:v>
                </c:pt>
                <c:pt idx="11">
                  <c:v>0.44409553421117981</c:v>
                </c:pt>
                <c:pt idx="12">
                  <c:v>1.2662853163735175E-2</c:v>
                </c:pt>
                <c:pt idx="13">
                  <c:v>0.19279119454093063</c:v>
                </c:pt>
                <c:pt idx="14">
                  <c:v>1.2662853163735175E-2</c:v>
                </c:pt>
                <c:pt idx="15">
                  <c:v>0.21331493267050117</c:v>
                </c:pt>
                <c:pt idx="16">
                  <c:v>1.6943881265510233E-2</c:v>
                </c:pt>
                <c:pt idx="17">
                  <c:v>6.8161980506473485E-2</c:v>
                </c:pt>
                <c:pt idx="18">
                  <c:v>0</c:v>
                </c:pt>
                <c:pt idx="19">
                  <c:v>7.8748043953724371</c:v>
                </c:pt>
                <c:pt idx="20">
                  <c:v>1.5471039372317879E-2</c:v>
                </c:pt>
                <c:pt idx="21">
                  <c:v>5.887574666589767E-2</c:v>
                </c:pt>
                <c:pt idx="22">
                  <c:v>1.3450362510784184</c:v>
                </c:pt>
                <c:pt idx="23">
                  <c:v>2.1479563703708053</c:v>
                </c:pt>
                <c:pt idx="24">
                  <c:v>0.24902318017682026</c:v>
                </c:pt>
                <c:pt idx="25">
                  <c:v>1.7344186196633864</c:v>
                </c:pt>
                <c:pt idx="26">
                  <c:v>0.83770815040544666</c:v>
                </c:pt>
                <c:pt idx="27">
                  <c:v>1.6943881265510233E-2</c:v>
                </c:pt>
                <c:pt idx="28">
                  <c:v>0.153881743040511</c:v>
                </c:pt>
                <c:pt idx="29">
                  <c:v>6.8372980326062717E-4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254-443E-A137-9B5A4504E8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2689008"/>
        <c:axId val="202686608"/>
      </c:scatterChart>
      <c:valAx>
        <c:axId val="2026890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2686608"/>
        <c:crosses val="autoZero"/>
        <c:crossBetween val="midCat"/>
      </c:valAx>
      <c:valAx>
        <c:axId val="202686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26890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'1'!$F$4:$F$32</c:f>
              <c:numCache>
                <c:formatCode>0.000</c:formatCode>
                <c:ptCount val="29"/>
                <c:pt idx="0">
                  <c:v>9.9046109287203393E-2</c:v>
                </c:pt>
                <c:pt idx="1">
                  <c:v>0.16668629890814468</c:v>
                </c:pt>
                <c:pt idx="2">
                  <c:v>0.24779413122815946</c:v>
                </c:pt>
                <c:pt idx="3">
                  <c:v>-0.22587540919416088</c:v>
                </c:pt>
                <c:pt idx="4">
                  <c:v>0.39173620590327557</c:v>
                </c:pt>
                <c:pt idx="5">
                  <c:v>5.9663688078952608E-2</c:v>
                </c:pt>
                <c:pt idx="6">
                  <c:v>6.1409736281639402E-3</c:v>
                </c:pt>
                <c:pt idx="7">
                  <c:v>0</c:v>
                </c:pt>
                <c:pt idx="8">
                  <c:v>0.36896481290590133</c:v>
                </c:pt>
                <c:pt idx="9">
                  <c:v>0.40123388936702853</c:v>
                </c:pt>
                <c:pt idx="10">
                  <c:v>0.39436726679320516</c:v>
                </c:pt>
                <c:pt idx="11">
                  <c:v>8.2414578379610207E-2</c:v>
                </c:pt>
                <c:pt idx="12">
                  <c:v>0.36683978162381281</c:v>
                </c:pt>
                <c:pt idx="13">
                  <c:v>8.2414578379610207E-2</c:v>
                </c:pt>
                <c:pt idx="14">
                  <c:v>0.37879254989138261</c:v>
                </c:pt>
                <c:pt idx="15">
                  <c:v>9.9046109287203393E-2</c:v>
                </c:pt>
                <c:pt idx="16">
                  <c:v>0.22678172755980741</c:v>
                </c:pt>
                <c:pt idx="17">
                  <c:v>0</c:v>
                </c:pt>
                <c:pt idx="18">
                  <c:v>1.9855682665332801</c:v>
                </c:pt>
                <c:pt idx="19">
                  <c:v>9.3543827206868477E-2</c:v>
                </c:pt>
                <c:pt idx="20">
                  <c:v>0.20912112590616697</c:v>
                </c:pt>
                <c:pt idx="21">
                  <c:v>-0.38266691114261847</c:v>
                </c:pt>
                <c:pt idx="22">
                  <c:v>-1.1351016622873624</c:v>
                </c:pt>
                <c:pt idx="23">
                  <c:v>0.39443453517291555</c:v>
                </c:pt>
                <c:pt idx="24">
                  <c:v>-0.78619954392678271</c:v>
                </c:pt>
                <c:pt idx="25">
                  <c:v>0.14032135344092109</c:v>
                </c:pt>
                <c:pt idx="26">
                  <c:v>9.9046109287203393E-2</c:v>
                </c:pt>
                <c:pt idx="27">
                  <c:v>0.33723236380119814</c:v>
                </c:pt>
                <c:pt idx="28">
                  <c:v>1.2243768114029149E-2</c:v>
                </c:pt>
              </c:numCache>
            </c:numRef>
          </c:xVal>
          <c:yVal>
            <c:numRef>
              <c:f>'1'!$G$4:$G$32</c:f>
              <c:numCache>
                <c:formatCode>0.000</c:formatCode>
                <c:ptCount val="29"/>
                <c:pt idx="0">
                  <c:v>1.0410165059988057E-2</c:v>
                </c:pt>
                <c:pt idx="1">
                  <c:v>3.1159067861372781E-2</c:v>
                </c:pt>
                <c:pt idx="2">
                  <c:v>7.5480171283816233E-2</c:v>
                </c:pt>
                <c:pt idx="3">
                  <c:v>1.0018090642854338</c:v>
                </c:pt>
                <c:pt idx="4">
                  <c:v>0.27730430084399688</c:v>
                </c:pt>
                <c:pt idx="5">
                  <c:v>3.6799301391553739E-3</c:v>
                </c:pt>
                <c:pt idx="6">
                  <c:v>3.782878571863713E-5</c:v>
                </c:pt>
                <c:pt idx="7">
                  <c:v>0</c:v>
                </c:pt>
                <c:pt idx="8">
                  <c:v>0.21912649914407265</c:v>
                </c:pt>
                <c:pt idx="9">
                  <c:v>0.31480714141140903</c:v>
                </c:pt>
                <c:pt idx="10">
                  <c:v>0.52222660998295023</c:v>
                </c:pt>
                <c:pt idx="11">
                  <c:v>7.1250888487599199E-3</c:v>
                </c:pt>
                <c:pt idx="12">
                  <c:v>0.21481879643652924</c:v>
                </c:pt>
                <c:pt idx="13">
                  <c:v>7.1250888487599199E-3</c:v>
                </c:pt>
                <c:pt idx="14">
                  <c:v>0.24104417904098421</c:v>
                </c:pt>
                <c:pt idx="15">
                  <c:v>1.0410165059988057E-2</c:v>
                </c:pt>
                <c:pt idx="16">
                  <c:v>6.1515233453533269E-2</c:v>
                </c:pt>
                <c:pt idx="17">
                  <c:v>0</c:v>
                </c:pt>
                <c:pt idx="18">
                  <c:v>-6.0992603987760077E-7</c:v>
                </c:pt>
                <c:pt idx="19">
                  <c:v>9.2496273904888252E-3</c:v>
                </c:pt>
                <c:pt idx="20">
                  <c:v>5.1228503096661514E-2</c:v>
                </c:pt>
                <c:pt idx="21">
                  <c:v>1.0061331763182111</c:v>
                </c:pt>
                <c:pt idx="22">
                  <c:v>0.61857538321050132</c:v>
                </c:pt>
                <c:pt idx="23">
                  <c:v>0.28657344580520727</c:v>
                </c:pt>
                <c:pt idx="24">
                  <c:v>0.89509768337792162</c:v>
                </c:pt>
                <c:pt idx="25">
                  <c:v>0.86862988114355533</c:v>
                </c:pt>
                <c:pt idx="26">
                  <c:v>1.0410165059988057E-2</c:v>
                </c:pt>
                <c:pt idx="27">
                  <c:v>0.16533723562037789</c:v>
                </c:pt>
                <c:pt idx="28">
                  <c:v>1.508504952448701E-4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C8B1-4FAA-BB5C-534765A57F75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xVal>
            <c:numRef>
              <c:f>'1'!$F$4:$F$32</c:f>
              <c:numCache>
                <c:formatCode>0.000</c:formatCode>
                <c:ptCount val="29"/>
                <c:pt idx="0">
                  <c:v>9.9046109287203393E-2</c:v>
                </c:pt>
                <c:pt idx="1">
                  <c:v>0.16668629890814468</c:v>
                </c:pt>
                <c:pt idx="2">
                  <c:v>0.24779413122815946</c:v>
                </c:pt>
                <c:pt idx="3">
                  <c:v>-0.22587540919416088</c:v>
                </c:pt>
                <c:pt idx="4">
                  <c:v>0.39173620590327557</c:v>
                </c:pt>
                <c:pt idx="5">
                  <c:v>5.9663688078952608E-2</c:v>
                </c:pt>
                <c:pt idx="6">
                  <c:v>6.1409736281639402E-3</c:v>
                </c:pt>
                <c:pt idx="7">
                  <c:v>0</c:v>
                </c:pt>
                <c:pt idx="8">
                  <c:v>0.36896481290590133</c:v>
                </c:pt>
                <c:pt idx="9">
                  <c:v>0.40123388936702853</c:v>
                </c:pt>
                <c:pt idx="10">
                  <c:v>0.39436726679320516</c:v>
                </c:pt>
                <c:pt idx="11">
                  <c:v>8.2414578379610207E-2</c:v>
                </c:pt>
                <c:pt idx="12">
                  <c:v>0.36683978162381281</c:v>
                </c:pt>
                <c:pt idx="13">
                  <c:v>8.2414578379610207E-2</c:v>
                </c:pt>
                <c:pt idx="14">
                  <c:v>0.37879254989138261</c:v>
                </c:pt>
                <c:pt idx="15">
                  <c:v>9.9046109287203393E-2</c:v>
                </c:pt>
                <c:pt idx="16">
                  <c:v>0.22678172755980741</c:v>
                </c:pt>
                <c:pt idx="17">
                  <c:v>0</c:v>
                </c:pt>
                <c:pt idx="18">
                  <c:v>1.9855682665332801</c:v>
                </c:pt>
                <c:pt idx="19">
                  <c:v>9.3543827206868477E-2</c:v>
                </c:pt>
                <c:pt idx="20">
                  <c:v>0.20912112590616697</c:v>
                </c:pt>
                <c:pt idx="21">
                  <c:v>-0.38266691114261847</c:v>
                </c:pt>
                <c:pt idx="22">
                  <c:v>-1.1351016622873624</c:v>
                </c:pt>
                <c:pt idx="23">
                  <c:v>0.39443453517291555</c:v>
                </c:pt>
                <c:pt idx="24">
                  <c:v>-0.78619954392678271</c:v>
                </c:pt>
                <c:pt idx="25">
                  <c:v>0.14032135344092109</c:v>
                </c:pt>
                <c:pt idx="26">
                  <c:v>9.9046109287203393E-2</c:v>
                </c:pt>
                <c:pt idx="27">
                  <c:v>0.33723236380119814</c:v>
                </c:pt>
                <c:pt idx="28">
                  <c:v>1.2243768114029149E-2</c:v>
                </c:pt>
              </c:numCache>
            </c:numRef>
          </c:xVal>
          <c:yVal>
            <c:numRef>
              <c:f>'1'!$H$4:$H$32</c:f>
              <c:numCache>
                <c:formatCode>0.00000</c:formatCode>
                <c:ptCount val="29"/>
                <c:pt idx="0">
                  <c:v>1.6943881265510233E-2</c:v>
                </c:pt>
                <c:pt idx="1">
                  <c:v>3.9721112120011247E-2</c:v>
                </c:pt>
                <c:pt idx="2">
                  <c:v>8.038987871625923E-2</c:v>
                </c:pt>
                <c:pt idx="3">
                  <c:v>1.1999937963354224</c:v>
                </c:pt>
                <c:pt idx="4">
                  <c:v>0.24173499019246691</c:v>
                </c:pt>
                <c:pt idx="5">
                  <c:v>7.6443315916666036E-3</c:v>
                </c:pt>
                <c:pt idx="6">
                  <c:v>2.4173499019246693E-4</c:v>
                </c:pt>
                <c:pt idx="7">
                  <c:v>0</c:v>
                </c:pt>
                <c:pt idx="8">
                  <c:v>0.19616358790102656</c:v>
                </c:pt>
                <c:pt idx="9">
                  <c:v>0.27131584066737502</c:v>
                </c:pt>
                <c:pt idx="10">
                  <c:v>0.44409553421117981</c:v>
                </c:pt>
                <c:pt idx="11">
                  <c:v>1.2662853163735175E-2</c:v>
                </c:pt>
                <c:pt idx="12">
                  <c:v>0.19279119454093063</c:v>
                </c:pt>
                <c:pt idx="13">
                  <c:v>1.2662853163735175E-2</c:v>
                </c:pt>
                <c:pt idx="14">
                  <c:v>0.21331493267050117</c:v>
                </c:pt>
                <c:pt idx="15">
                  <c:v>1.6943881265510233E-2</c:v>
                </c:pt>
                <c:pt idx="16">
                  <c:v>6.8161980506473485E-2</c:v>
                </c:pt>
                <c:pt idx="17">
                  <c:v>0</c:v>
                </c:pt>
                <c:pt idx="18">
                  <c:v>7.8748043953724371</c:v>
                </c:pt>
                <c:pt idx="19">
                  <c:v>1.5471039372317879E-2</c:v>
                </c:pt>
                <c:pt idx="20">
                  <c:v>5.887574666589767E-2</c:v>
                </c:pt>
                <c:pt idx="21">
                  <c:v>1.3450362510784184</c:v>
                </c:pt>
                <c:pt idx="22">
                  <c:v>2.1479563703708053</c:v>
                </c:pt>
                <c:pt idx="23">
                  <c:v>0.24902318017682026</c:v>
                </c:pt>
                <c:pt idx="24">
                  <c:v>1.7344186196633864</c:v>
                </c:pt>
                <c:pt idx="25">
                  <c:v>0.83770815040544666</c:v>
                </c:pt>
                <c:pt idx="26">
                  <c:v>1.6943881265510233E-2</c:v>
                </c:pt>
                <c:pt idx="27">
                  <c:v>0.153881743040511</c:v>
                </c:pt>
                <c:pt idx="28">
                  <c:v>6.8372980326062717E-4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C8B1-4FAA-BB5C-534765A57F7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1483168"/>
        <c:axId val="391484608"/>
      </c:scatterChart>
      <c:valAx>
        <c:axId val="39148316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1484608"/>
        <c:crosses val="autoZero"/>
        <c:crossBetween val="midCat"/>
      </c:valAx>
      <c:valAx>
        <c:axId val="39148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1483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'1'!$F$4:$F$32</c:f>
              <c:numCache>
                <c:formatCode>0.000</c:formatCode>
                <c:ptCount val="29"/>
                <c:pt idx="0">
                  <c:v>9.9046109287203393E-2</c:v>
                </c:pt>
                <c:pt idx="1">
                  <c:v>0.16668629890814468</c:v>
                </c:pt>
                <c:pt idx="2">
                  <c:v>0.24779413122815946</c:v>
                </c:pt>
                <c:pt idx="3">
                  <c:v>-0.22587540919416088</c:v>
                </c:pt>
                <c:pt idx="4">
                  <c:v>0.39173620590327557</c:v>
                </c:pt>
                <c:pt idx="5">
                  <c:v>5.9663688078952608E-2</c:v>
                </c:pt>
                <c:pt idx="6">
                  <c:v>6.1409736281639402E-3</c:v>
                </c:pt>
                <c:pt idx="7">
                  <c:v>0</c:v>
                </c:pt>
                <c:pt idx="8">
                  <c:v>0.36896481290590133</c:v>
                </c:pt>
                <c:pt idx="9">
                  <c:v>0.40123388936702853</c:v>
                </c:pt>
                <c:pt idx="10">
                  <c:v>0.39436726679320516</c:v>
                </c:pt>
                <c:pt idx="11">
                  <c:v>8.2414578379610207E-2</c:v>
                </c:pt>
                <c:pt idx="12">
                  <c:v>0.36683978162381281</c:v>
                </c:pt>
                <c:pt idx="13">
                  <c:v>8.2414578379610207E-2</c:v>
                </c:pt>
                <c:pt idx="14">
                  <c:v>0.37879254989138261</c:v>
                </c:pt>
                <c:pt idx="15">
                  <c:v>9.9046109287203393E-2</c:v>
                </c:pt>
                <c:pt idx="16">
                  <c:v>0.22678172755980741</c:v>
                </c:pt>
                <c:pt idx="17">
                  <c:v>0</c:v>
                </c:pt>
                <c:pt idx="18">
                  <c:v>1.9855682665332801</c:v>
                </c:pt>
                <c:pt idx="19">
                  <c:v>9.3543827206868477E-2</c:v>
                </c:pt>
                <c:pt idx="20">
                  <c:v>0.20912112590616697</c:v>
                </c:pt>
                <c:pt idx="21">
                  <c:v>-0.38266691114261847</c:v>
                </c:pt>
                <c:pt idx="22">
                  <c:v>-1.1351016622873624</c:v>
                </c:pt>
                <c:pt idx="23">
                  <c:v>0.39443453517291555</c:v>
                </c:pt>
                <c:pt idx="24">
                  <c:v>-0.78619954392678271</c:v>
                </c:pt>
                <c:pt idx="25">
                  <c:v>0.14032135344092109</c:v>
                </c:pt>
                <c:pt idx="26">
                  <c:v>9.9046109287203393E-2</c:v>
                </c:pt>
                <c:pt idx="27">
                  <c:v>0.33723236380119814</c:v>
                </c:pt>
                <c:pt idx="28">
                  <c:v>1.2243768114029149E-2</c:v>
                </c:pt>
              </c:numCache>
            </c:numRef>
          </c:xVal>
          <c:yVal>
            <c:numRef>
              <c:f>'1'!$G$4:$G$32</c:f>
              <c:numCache>
                <c:formatCode>0.000</c:formatCode>
                <c:ptCount val="29"/>
                <c:pt idx="0">
                  <c:v>1.0410165059988057E-2</c:v>
                </c:pt>
                <c:pt idx="1">
                  <c:v>3.1159067861372781E-2</c:v>
                </c:pt>
                <c:pt idx="2">
                  <c:v>7.5480171283816233E-2</c:v>
                </c:pt>
                <c:pt idx="3">
                  <c:v>1.0018090642854338</c:v>
                </c:pt>
                <c:pt idx="4">
                  <c:v>0.27730430084399688</c:v>
                </c:pt>
                <c:pt idx="5">
                  <c:v>3.6799301391553739E-3</c:v>
                </c:pt>
                <c:pt idx="6">
                  <c:v>3.782878571863713E-5</c:v>
                </c:pt>
                <c:pt idx="7">
                  <c:v>0</c:v>
                </c:pt>
                <c:pt idx="8">
                  <c:v>0.21912649914407265</c:v>
                </c:pt>
                <c:pt idx="9">
                  <c:v>0.31480714141140903</c:v>
                </c:pt>
                <c:pt idx="10">
                  <c:v>0.52222660998295023</c:v>
                </c:pt>
                <c:pt idx="11">
                  <c:v>7.1250888487599199E-3</c:v>
                </c:pt>
                <c:pt idx="12">
                  <c:v>0.21481879643652924</c:v>
                </c:pt>
                <c:pt idx="13">
                  <c:v>7.1250888487599199E-3</c:v>
                </c:pt>
                <c:pt idx="14">
                  <c:v>0.24104417904098421</c:v>
                </c:pt>
                <c:pt idx="15">
                  <c:v>1.0410165059988057E-2</c:v>
                </c:pt>
                <c:pt idx="16">
                  <c:v>6.1515233453533269E-2</c:v>
                </c:pt>
                <c:pt idx="17">
                  <c:v>0</c:v>
                </c:pt>
                <c:pt idx="18">
                  <c:v>-6.0992603987760077E-7</c:v>
                </c:pt>
                <c:pt idx="19">
                  <c:v>9.2496273904888252E-3</c:v>
                </c:pt>
                <c:pt idx="20">
                  <c:v>5.1228503096661514E-2</c:v>
                </c:pt>
                <c:pt idx="21">
                  <c:v>1.0061331763182111</c:v>
                </c:pt>
                <c:pt idx="22">
                  <c:v>0.61857538321050132</c:v>
                </c:pt>
                <c:pt idx="23">
                  <c:v>0.28657344580520727</c:v>
                </c:pt>
                <c:pt idx="24">
                  <c:v>0.89509768337792162</c:v>
                </c:pt>
                <c:pt idx="25">
                  <c:v>0.86862988114355533</c:v>
                </c:pt>
                <c:pt idx="26">
                  <c:v>1.0410165059988057E-2</c:v>
                </c:pt>
                <c:pt idx="27">
                  <c:v>0.16533723562037789</c:v>
                </c:pt>
                <c:pt idx="28">
                  <c:v>1.508504952448701E-4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F987-48D0-AA20-D2E3A386B160}"/>
            </c:ext>
          </c:extLst>
        </c:ser>
        <c:ser>
          <c:idx val="1"/>
          <c:order val="1"/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ru-RU"/>
                </a:p>
              </c:txPr>
            </c:trendlineLbl>
          </c:trendline>
          <c:xVal>
            <c:numRef>
              <c:f>'1'!$F$4:$F$32</c:f>
              <c:numCache>
                <c:formatCode>0.000</c:formatCode>
                <c:ptCount val="29"/>
                <c:pt idx="0">
                  <c:v>9.9046109287203393E-2</c:v>
                </c:pt>
                <c:pt idx="1">
                  <c:v>0.16668629890814468</c:v>
                </c:pt>
                <c:pt idx="2">
                  <c:v>0.24779413122815946</c:v>
                </c:pt>
                <c:pt idx="3">
                  <c:v>-0.22587540919416088</c:v>
                </c:pt>
                <c:pt idx="4">
                  <c:v>0.39173620590327557</c:v>
                </c:pt>
                <c:pt idx="5">
                  <c:v>5.9663688078952608E-2</c:v>
                </c:pt>
                <c:pt idx="6">
                  <c:v>6.1409736281639402E-3</c:v>
                </c:pt>
                <c:pt idx="7">
                  <c:v>0</c:v>
                </c:pt>
                <c:pt idx="8">
                  <c:v>0.36896481290590133</c:v>
                </c:pt>
                <c:pt idx="9">
                  <c:v>0.40123388936702853</c:v>
                </c:pt>
                <c:pt idx="10">
                  <c:v>0.39436726679320516</c:v>
                </c:pt>
                <c:pt idx="11">
                  <c:v>8.2414578379610207E-2</c:v>
                </c:pt>
                <c:pt idx="12">
                  <c:v>0.36683978162381281</c:v>
                </c:pt>
                <c:pt idx="13">
                  <c:v>8.2414578379610207E-2</c:v>
                </c:pt>
                <c:pt idx="14">
                  <c:v>0.37879254989138261</c:v>
                </c:pt>
                <c:pt idx="15">
                  <c:v>9.9046109287203393E-2</c:v>
                </c:pt>
                <c:pt idx="16">
                  <c:v>0.22678172755980741</c:v>
                </c:pt>
                <c:pt idx="17">
                  <c:v>0</c:v>
                </c:pt>
                <c:pt idx="18">
                  <c:v>1.9855682665332801</c:v>
                </c:pt>
                <c:pt idx="19">
                  <c:v>9.3543827206868477E-2</c:v>
                </c:pt>
                <c:pt idx="20">
                  <c:v>0.20912112590616697</c:v>
                </c:pt>
                <c:pt idx="21">
                  <c:v>-0.38266691114261847</c:v>
                </c:pt>
                <c:pt idx="22">
                  <c:v>-1.1351016622873624</c:v>
                </c:pt>
                <c:pt idx="23">
                  <c:v>0.39443453517291555</c:v>
                </c:pt>
                <c:pt idx="24">
                  <c:v>-0.78619954392678271</c:v>
                </c:pt>
                <c:pt idx="25">
                  <c:v>0.14032135344092109</c:v>
                </c:pt>
                <c:pt idx="26">
                  <c:v>9.9046109287203393E-2</c:v>
                </c:pt>
                <c:pt idx="27">
                  <c:v>0.33723236380119814</c:v>
                </c:pt>
                <c:pt idx="28">
                  <c:v>1.2243768114029149E-2</c:v>
                </c:pt>
              </c:numCache>
            </c:numRef>
          </c:xVal>
          <c:yVal>
            <c:numRef>
              <c:f>'1'!$H$4:$H$32</c:f>
              <c:numCache>
                <c:formatCode>0.00000</c:formatCode>
                <c:ptCount val="29"/>
                <c:pt idx="0">
                  <c:v>1.6943881265510233E-2</c:v>
                </c:pt>
                <c:pt idx="1">
                  <c:v>3.9721112120011247E-2</c:v>
                </c:pt>
                <c:pt idx="2">
                  <c:v>8.038987871625923E-2</c:v>
                </c:pt>
                <c:pt idx="3">
                  <c:v>1.1999937963354224</c:v>
                </c:pt>
                <c:pt idx="4">
                  <c:v>0.24173499019246691</c:v>
                </c:pt>
                <c:pt idx="5">
                  <c:v>7.6443315916666036E-3</c:v>
                </c:pt>
                <c:pt idx="6">
                  <c:v>2.4173499019246693E-4</c:v>
                </c:pt>
                <c:pt idx="7">
                  <c:v>0</c:v>
                </c:pt>
                <c:pt idx="8">
                  <c:v>0.19616358790102656</c:v>
                </c:pt>
                <c:pt idx="9">
                  <c:v>0.27131584066737502</c:v>
                </c:pt>
                <c:pt idx="10">
                  <c:v>0.44409553421117981</c:v>
                </c:pt>
                <c:pt idx="11">
                  <c:v>1.2662853163735175E-2</c:v>
                </c:pt>
                <c:pt idx="12">
                  <c:v>0.19279119454093063</c:v>
                </c:pt>
                <c:pt idx="13">
                  <c:v>1.2662853163735175E-2</c:v>
                </c:pt>
                <c:pt idx="14">
                  <c:v>0.21331493267050117</c:v>
                </c:pt>
                <c:pt idx="15">
                  <c:v>1.6943881265510233E-2</c:v>
                </c:pt>
                <c:pt idx="16">
                  <c:v>6.8161980506473485E-2</c:v>
                </c:pt>
                <c:pt idx="17">
                  <c:v>0</c:v>
                </c:pt>
                <c:pt idx="18">
                  <c:v>7.8748043953724371</c:v>
                </c:pt>
                <c:pt idx="19">
                  <c:v>1.5471039372317879E-2</c:v>
                </c:pt>
                <c:pt idx="20">
                  <c:v>5.887574666589767E-2</c:v>
                </c:pt>
                <c:pt idx="21">
                  <c:v>1.3450362510784184</c:v>
                </c:pt>
                <c:pt idx="22">
                  <c:v>2.1479563703708053</c:v>
                </c:pt>
                <c:pt idx="23">
                  <c:v>0.24902318017682026</c:v>
                </c:pt>
                <c:pt idx="24">
                  <c:v>1.7344186196633864</c:v>
                </c:pt>
                <c:pt idx="25">
                  <c:v>0.83770815040544666</c:v>
                </c:pt>
                <c:pt idx="26">
                  <c:v>1.6943881265510233E-2</c:v>
                </c:pt>
                <c:pt idx="27">
                  <c:v>0.153881743040511</c:v>
                </c:pt>
                <c:pt idx="28">
                  <c:v>6.8372980326062717E-4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F987-48D0-AA20-D2E3A386B16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91483168"/>
        <c:axId val="391484608"/>
      </c:scatterChart>
      <c:valAx>
        <c:axId val="391483168"/>
        <c:scaling>
          <c:orientation val="minMax"/>
        </c:scaling>
        <c:delete val="0"/>
        <c:axPos val="b"/>
        <c:title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1484608"/>
        <c:crosses val="autoZero"/>
        <c:crossBetween val="midCat"/>
      </c:valAx>
      <c:valAx>
        <c:axId val="39148460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title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ru-RU"/>
            </a:p>
          </c:txPr>
        </c:title>
        <c:numFmt formatCode="0.00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39148316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0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112395</xdr:colOff>
      <xdr:row>5</xdr:row>
      <xdr:rowOff>16192</xdr:rowOff>
    </xdr:from>
    <xdr:to>
      <xdr:col>28</xdr:col>
      <xdr:colOff>203835</xdr:colOff>
      <xdr:row>20</xdr:row>
      <xdr:rowOff>6667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F92618F-C853-8D16-20D9-E3025A8817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21</xdr:col>
      <xdr:colOff>234950</xdr:colOff>
      <xdr:row>20</xdr:row>
      <xdr:rowOff>57150</xdr:rowOff>
    </xdr:from>
    <xdr:to>
      <xdr:col>28</xdr:col>
      <xdr:colOff>332740</xdr:colOff>
      <xdr:row>35</xdr:row>
      <xdr:rowOff>13607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60C18828-4824-4C6A-A352-1CECE21284B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21</xdr:col>
      <xdr:colOff>607422</xdr:colOff>
      <xdr:row>4</xdr:row>
      <xdr:rowOff>164375</xdr:rowOff>
    </xdr:from>
    <xdr:to>
      <xdr:col>29</xdr:col>
      <xdr:colOff>56605</xdr:colOff>
      <xdr:row>19</xdr:row>
      <xdr:rowOff>107225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C9F35A4-F469-ACAB-93C4-499C465683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823"/>
  <sheetViews>
    <sheetView zoomScale="60" zoomScaleNormal="60" workbookViewId="0">
      <selection activeCell="L6" sqref="L6"/>
    </sheetView>
  </sheetViews>
  <sheetFormatPr defaultRowHeight="14.4" x14ac:dyDescent="0.55000000000000004"/>
  <cols>
    <col min="2" max="4" width="8.83984375" style="22" customWidth="1"/>
    <col min="5" max="5" width="16.83984375" style="4" customWidth="1"/>
    <col min="9" max="9" width="9.26171875" bestFit="1" customWidth="1"/>
    <col min="13" max="15" width="8.83984375" style="22" customWidth="1"/>
    <col min="16" max="16" width="10.47265625" style="4" customWidth="1"/>
    <col min="17" max="17" width="8.83984375" style="13" customWidth="1"/>
    <col min="18" max="18" width="11.578125" style="13" customWidth="1"/>
    <col min="19" max="19" width="11.578125" style="5" bestFit="1" customWidth="1"/>
  </cols>
  <sheetData>
    <row r="1" spans="1:19" ht="30.6" customHeight="1" x14ac:dyDescent="0.55000000000000004">
      <c r="A1" s="8"/>
      <c r="B1" s="42" t="s">
        <v>4</v>
      </c>
      <c r="C1" s="42"/>
      <c r="D1" s="42"/>
      <c r="E1" s="42"/>
      <c r="F1" s="43" t="s">
        <v>15</v>
      </c>
      <c r="G1" s="43"/>
      <c r="H1" s="43"/>
      <c r="I1" s="43" t="s">
        <v>13</v>
      </c>
      <c r="J1" s="43"/>
      <c r="K1" s="43"/>
      <c r="L1" s="43"/>
      <c r="M1" s="44" t="s">
        <v>10</v>
      </c>
      <c r="N1" s="44"/>
      <c r="O1" s="44"/>
      <c r="P1" s="44"/>
      <c r="Q1" s="44" t="s">
        <v>12</v>
      </c>
      <c r="R1" s="44"/>
      <c r="S1" s="44"/>
    </row>
    <row r="2" spans="1:19" x14ac:dyDescent="0.55000000000000004">
      <c r="A2" s="29" t="s">
        <v>5</v>
      </c>
      <c r="B2" s="31" t="s">
        <v>0</v>
      </c>
      <c r="C2" s="31" t="s">
        <v>1</v>
      </c>
      <c r="D2" s="31" t="s">
        <v>2</v>
      </c>
      <c r="E2" s="32" t="s">
        <v>3</v>
      </c>
      <c r="F2" s="29" t="s">
        <v>6</v>
      </c>
      <c r="G2" s="29" t="s">
        <v>7</v>
      </c>
      <c r="H2" s="29" t="s">
        <v>8</v>
      </c>
      <c r="I2" s="29" t="s">
        <v>6</v>
      </c>
      <c r="J2" s="29" t="s">
        <v>7</v>
      </c>
      <c r="K2" s="29" t="s">
        <v>8</v>
      </c>
      <c r="L2" s="29" t="s">
        <v>14</v>
      </c>
      <c r="M2" s="31"/>
      <c r="N2" s="31"/>
      <c r="O2" s="31"/>
      <c r="P2" s="32" t="s">
        <v>9</v>
      </c>
      <c r="Q2" s="33"/>
      <c r="R2" s="33"/>
      <c r="S2" s="34" t="s">
        <v>11</v>
      </c>
    </row>
    <row r="3" spans="1:19" s="22" customFormat="1" x14ac:dyDescent="0.55000000000000004">
      <c r="A3" s="26">
        <v>2</v>
      </c>
      <c r="B3" s="26">
        <f>PI()</f>
        <v>3.1415926535897931</v>
      </c>
      <c r="C3" s="26">
        <f>MAX(A4:A32)</f>
        <v>1020</v>
      </c>
      <c r="D3" s="26">
        <f>A3*B3</f>
        <v>6.2831853071795862</v>
      </c>
      <c r="E3" s="35">
        <f>D3*A4/C4</f>
        <v>0.10471975511965978</v>
      </c>
      <c r="F3" s="35">
        <f>LN(1 + E3) * COS(E3)</f>
        <v>9.9046113842870862E-2</v>
      </c>
      <c r="G3" s="35">
        <f>LN(1 + E3) * SIN(E3)</f>
        <v>1.0410166051492073E-2</v>
      </c>
      <c r="H3" s="36">
        <f>0.5 * (E3^(3/2))</f>
        <v>1.6943882508068234E-2</v>
      </c>
      <c r="I3" s="36">
        <f>(LN(1 + A3)*COS(A3))*0.000000000000386</f>
        <v>-1.7647303500912526E-13</v>
      </c>
      <c r="J3" s="36">
        <f xml:space="preserve"> (LN(1 + A3)*SIN(A3))*0.000000000000386</f>
        <v>3.8560061628568436E-13</v>
      </c>
      <c r="K3" s="36">
        <f>(A3^1.5)*0.00000000000243</f>
        <v>6.8730779131332411E-12</v>
      </c>
      <c r="L3" s="36">
        <f>(A3^1.5)*(0.000000000000386 -13/137)*(2*PI())</f>
        <v>-1.6863497283452207</v>
      </c>
      <c r="M3" s="26">
        <f>DEGREES(((COS(B4)/(1+B4) - LN(1+B4)*SIN(B4))^2 +((SIN(B4))/((1+B4)+LN(1+B4)*COS(B4)))^2+0.75))</f>
        <v>46.312153060418133</v>
      </c>
      <c r="N3" s="26">
        <f>DEGREES((B4)^2)/(1 + 1/(1+B4))^2</f>
        <v>366.91190920040015</v>
      </c>
      <c r="O3" s="26">
        <f>DEGREES(B4)^1.5</f>
        <v>2414.9534156997729</v>
      </c>
      <c r="P3" s="26">
        <f>M3*N3*O3</f>
        <v>41036048.82125555</v>
      </c>
      <c r="Q3" s="35">
        <f>(((3/(8*DEGREES(B3)))*((SIN(B3)/(1+B3))+LN(1+B3)*COS(B3)))-((COS(B3)/(1+B3)^2-SIN(B3)/(1+B3)-LN(1+B3)*SIN(B3))))</f>
        <v>5.5338970398543443E-2</v>
      </c>
      <c r="R3" s="35">
        <f>((0.25*DEGREES(B3))/((P3)^2))</f>
        <v>2.672276780626228E-14</v>
      </c>
      <c r="S3" s="35">
        <f>Q3*R3</f>
        <v>1.4788104565978979E-15</v>
      </c>
    </row>
    <row r="4" spans="1:19" x14ac:dyDescent="0.55000000000000004">
      <c r="A4" s="2">
        <v>17</v>
      </c>
      <c r="B4" s="26">
        <f>PI()</f>
        <v>3.1415926535897931</v>
      </c>
      <c r="C4" s="26">
        <f>MAX(A5:A33)</f>
        <v>1020</v>
      </c>
      <c r="D4" s="26">
        <v>6.2831849999999996</v>
      </c>
      <c r="E4" s="37">
        <f t="shared" ref="E4:E10" si="0">D4*A4/C4</f>
        <v>0.10471975</v>
      </c>
      <c r="F4" s="38">
        <f>LN(1 + E4) * COS(E4)</f>
        <v>9.9046109287203393E-2</v>
      </c>
      <c r="G4" s="38">
        <f>LN(1 + E4) * SIN(E4)</f>
        <v>1.0410165059988057E-2</v>
      </c>
      <c r="H4" s="39">
        <f>0.5 * (E4^(3/2))</f>
        <v>1.6943881265510233E-2</v>
      </c>
      <c r="I4" s="36">
        <f t="shared" ref="I4:I32" si="1">(LN(1 + A4)*COS(A4))*0.000000000000386</f>
        <v>-3.0699519566952957E-13</v>
      </c>
      <c r="J4" s="36">
        <f t="shared" ref="J4:J32" si="2" xml:space="preserve"> (LN(1 + A4)*SIN(A4))*0.000000000000386</f>
        <v>-1.072615317235379E-12</v>
      </c>
      <c r="K4" s="36">
        <f t="shared" ref="K4:K32" si="3">(A4^1.5)*0.00000000000243</f>
        <v>1.7032549339426563E-10</v>
      </c>
      <c r="L4" s="36">
        <f t="shared" ref="L4:L32" si="4">(A4^1.5)*(0.000000000000386 -13/137)*(2*PI())</f>
        <v>-41.790352611432318</v>
      </c>
      <c r="M4" s="26">
        <f>DEGREES(((COS(B4)/(1+B4) - LN(1+B4)*SIN(B4))^2 +((SIN(B4))/((1+B4)+LN(1+B4)*COS(B4)))^2))</f>
        <v>3.34031842560639</v>
      </c>
      <c r="N4" s="26">
        <f>0.75*DEGREES((B4)^2)/(1 + 1/(1+B4))^2</f>
        <v>275.18393190030014</v>
      </c>
      <c r="O4" s="26">
        <f>0.75*DEGREES(B4)^1.5</f>
        <v>1811.2150617748298</v>
      </c>
      <c r="P4" s="6">
        <f>M4+N4+O4</f>
        <v>2089.7393121007362</v>
      </c>
      <c r="Q4" s="40">
        <f t="shared" ref="Q4:Q32" si="5">(((3/(8*DEGREES(B4)))*((SIN(B4)/(1+B4))+LN(1+B4)*COS(B4)))-((COS(B4)/(1+B4)^2-SIN(B4)/(1+B4)-LN(1+B4)*SIN(B4))))</f>
        <v>5.5338970398543443E-2</v>
      </c>
      <c r="R4" s="40">
        <f>((0.75*DEGREES(B4))/((P4)^2))</f>
        <v>3.0913597144316024E-5</v>
      </c>
      <c r="S4" s="37">
        <f t="shared" ref="S4:S32" si="6">Q4*R4</f>
        <v>1.7107266372818015E-6</v>
      </c>
    </row>
    <row r="5" spans="1:19" x14ac:dyDescent="0.55000000000000004">
      <c r="A5" s="2">
        <v>30</v>
      </c>
      <c r="B5" s="26">
        <f>PI()</f>
        <v>3.1415926535897931</v>
      </c>
      <c r="C5" s="26">
        <f>MAX(A6:A34)</f>
        <v>1020</v>
      </c>
      <c r="D5" s="26">
        <v>6.2831849999999996</v>
      </c>
      <c r="E5" s="37">
        <f t="shared" si="0"/>
        <v>0.18479955882352939</v>
      </c>
      <c r="F5" s="38">
        <f>LN(1 + E5) * COS(E5)</f>
        <v>0.16668629890814468</v>
      </c>
      <c r="G5" s="38">
        <f t="shared" ref="G5:G32" si="7">LN(1 + E5) * SIN(E5)</f>
        <v>3.1159067861372781E-2</v>
      </c>
      <c r="H5" s="39">
        <f t="shared" ref="H5:H32" si="8">0.5 * (E5^(3/2))</f>
        <v>3.9721112120011247E-2</v>
      </c>
      <c r="I5" s="36">
        <f t="shared" si="1"/>
        <v>2.044632370022767E-13</v>
      </c>
      <c r="J5" s="36">
        <f t="shared" si="2"/>
        <v>-1.3096547505379644E-12</v>
      </c>
      <c r="K5" s="36">
        <f t="shared" si="3"/>
        <v>3.9928974442126601E-10</v>
      </c>
      <c r="L5" s="36">
        <f t="shared" si="4"/>
        <v>-97.968066206436603</v>
      </c>
      <c r="M5" s="26">
        <f t="shared" ref="M5:M32" si="9">DEGREES(((COS(B5)/(1+B5) - LN(1+B5)*SIN(B5))^2 +((SIN(B5))/((1+B5)+LN(1+B5)*COS(B5)))^2))</f>
        <v>3.34031842560639</v>
      </c>
      <c r="N5" s="26">
        <f t="shared" ref="N5:N32" si="10">0.75*DEGREES((B5)^2)/(1 + 1/(1+B5))^2</f>
        <v>275.18393190030014</v>
      </c>
      <c r="O5" s="26">
        <f t="shared" ref="O5:O32" si="11">0.75*DEGREES(B5)^1.5</f>
        <v>1811.2150617748298</v>
      </c>
      <c r="P5" s="6">
        <f t="shared" ref="P5:P32" si="12">M5+N5+O5</f>
        <v>2089.7393121007362</v>
      </c>
      <c r="Q5" s="40">
        <f>(((3/(8*DEGREES(B5)))*((SIN(B5)/(1+B5))+LN(1+B5)*COS(B5)))-((COS(B5)/(1+B5)^2-SIN(B5)/(1+B5)-LN(1+B5)*SIN(B5))))</f>
        <v>5.5338970398543443E-2</v>
      </c>
      <c r="R5" s="40">
        <f t="shared" ref="R5:R32" si="13">((0.75*DEGREES(B5))/((P5)^2))</f>
        <v>3.0913597144316024E-5</v>
      </c>
      <c r="S5" s="37">
        <f t="shared" si="6"/>
        <v>1.7107266372818015E-6</v>
      </c>
    </row>
    <row r="6" spans="1:19" x14ac:dyDescent="0.55000000000000004">
      <c r="A6" s="2">
        <v>48</v>
      </c>
      <c r="B6" s="26">
        <f>PI()</f>
        <v>3.1415926535897931</v>
      </c>
      <c r="C6" s="26">
        <f t="shared" ref="C6:C21" si="14">MAX(A7:A35)</f>
        <v>1020</v>
      </c>
      <c r="D6" s="26">
        <v>6.2831849999999996</v>
      </c>
      <c r="E6" s="37">
        <f t="shared" si="0"/>
        <v>0.29567929411764704</v>
      </c>
      <c r="F6" s="38">
        <f t="shared" ref="F6:F32" si="15">LN(1 + E6) * COS(E6)</f>
        <v>0.24779413122815946</v>
      </c>
      <c r="G6" s="38">
        <f t="shared" si="7"/>
        <v>7.5480171283816233E-2</v>
      </c>
      <c r="H6" s="39">
        <f t="shared" si="8"/>
        <v>8.038987871625923E-2</v>
      </c>
      <c r="I6" s="36">
        <f t="shared" si="1"/>
        <v>-9.6165211934980455E-13</v>
      </c>
      <c r="J6" s="36">
        <f t="shared" si="2"/>
        <v>-1.1541049068322149E-12</v>
      </c>
      <c r="K6" s="36">
        <f t="shared" si="3"/>
        <v>8.0810562477933578E-10</v>
      </c>
      <c r="L6" s="36">
        <f t="shared" si="4"/>
        <v>-198.27342539168731</v>
      </c>
      <c r="M6" s="26">
        <f t="shared" si="9"/>
        <v>3.34031842560639</v>
      </c>
      <c r="N6" s="26">
        <f t="shared" si="10"/>
        <v>275.18393190030014</v>
      </c>
      <c r="O6" s="26">
        <f t="shared" si="11"/>
        <v>1811.2150617748298</v>
      </c>
      <c r="P6" s="6">
        <f t="shared" si="12"/>
        <v>2089.7393121007362</v>
      </c>
      <c r="Q6" s="40">
        <f t="shared" ref="Q6" si="16">(((3/(8*DEGREES(B6)))*((SIN(B6)/(1+B6))+LN(1+B6)*COS(B6)))-((COS(B6)/(1+B6)^2-SIN(B6)/(1+B6)-LN(1+B6)*SIN(B6))))</f>
        <v>5.5338970398543443E-2</v>
      </c>
      <c r="R6" s="40">
        <f t="shared" si="13"/>
        <v>3.0913597144316024E-5</v>
      </c>
      <c r="S6" s="37">
        <f t="shared" si="6"/>
        <v>1.7107266372818015E-6</v>
      </c>
    </row>
    <row r="7" spans="1:19" x14ac:dyDescent="0.55000000000000004">
      <c r="A7" s="2">
        <v>291</v>
      </c>
      <c r="B7" s="26">
        <f>PI()</f>
        <v>3.1415926535897931</v>
      </c>
      <c r="C7" s="26">
        <f t="shared" si="14"/>
        <v>1020</v>
      </c>
      <c r="D7" s="26">
        <v>6.2831849999999996</v>
      </c>
      <c r="E7" s="37">
        <f t="shared" si="0"/>
        <v>1.792555720588235</v>
      </c>
      <c r="F7" s="38">
        <f>LN(1 + E7) * COS(E7)</f>
        <v>-0.22587540919416088</v>
      </c>
      <c r="G7" s="38">
        <f t="shared" si="7"/>
        <v>1.0018090642854338</v>
      </c>
      <c r="H7" s="39">
        <f t="shared" si="8"/>
        <v>1.1999937963354224</v>
      </c>
      <c r="I7" s="36">
        <f t="shared" si="1"/>
        <v>-8.5870890099607394E-13</v>
      </c>
      <c r="J7" s="36">
        <f t="shared" si="2"/>
        <v>2.0159599815518983E-12</v>
      </c>
      <c r="K7" s="36">
        <f t="shared" si="3"/>
        <v>1.206273416510121E-8</v>
      </c>
      <c r="L7" s="36">
        <f t="shared" si="4"/>
        <v>-2959.6621396578498</v>
      </c>
      <c r="M7" s="26">
        <f t="shared" si="9"/>
        <v>3.34031842560639</v>
      </c>
      <c r="N7" s="26">
        <f t="shared" si="10"/>
        <v>275.18393190030014</v>
      </c>
      <c r="O7" s="26">
        <f t="shared" si="11"/>
        <v>1811.2150617748298</v>
      </c>
      <c r="P7" s="6">
        <f t="shared" si="12"/>
        <v>2089.7393121007362</v>
      </c>
      <c r="Q7" s="40">
        <f t="shared" si="5"/>
        <v>5.5338970398543443E-2</v>
      </c>
      <c r="R7" s="40">
        <f t="shared" si="13"/>
        <v>3.0913597144316024E-5</v>
      </c>
      <c r="S7" s="37">
        <f t="shared" si="6"/>
        <v>1.7107266372818015E-6</v>
      </c>
    </row>
    <row r="8" spans="1:19" x14ac:dyDescent="0.55000000000000004">
      <c r="A8" s="2">
        <v>100</v>
      </c>
      <c r="B8" s="26">
        <f>PI()</f>
        <v>3.1415926535897931</v>
      </c>
      <c r="C8" s="26">
        <f t="shared" si="14"/>
        <v>1020</v>
      </c>
      <c r="D8" s="26">
        <v>6.2831849999999996</v>
      </c>
      <c r="E8" s="37">
        <f t="shared" si="0"/>
        <v>0.61599852941176469</v>
      </c>
      <c r="F8" s="38">
        <f t="shared" si="15"/>
        <v>0.39173620590327557</v>
      </c>
      <c r="G8" s="38">
        <f t="shared" si="7"/>
        <v>0.27730430084399688</v>
      </c>
      <c r="H8" s="39">
        <f t="shared" si="8"/>
        <v>0.24173499019246691</v>
      </c>
      <c r="I8" s="36">
        <f t="shared" si="1"/>
        <v>1.536166330547963E-12</v>
      </c>
      <c r="J8" s="36">
        <f t="shared" si="2"/>
        <v>-9.0205824529332262E-13</v>
      </c>
      <c r="K8" s="36">
        <f t="shared" si="3"/>
        <v>2.4300000000000017E-9</v>
      </c>
      <c r="L8" s="36">
        <f t="shared" si="4"/>
        <v>-596.2146641824994</v>
      </c>
      <c r="M8" s="26">
        <f t="shared" si="9"/>
        <v>3.34031842560639</v>
      </c>
      <c r="N8" s="26">
        <f t="shared" si="10"/>
        <v>275.18393190030014</v>
      </c>
      <c r="O8" s="26">
        <f t="shared" si="11"/>
        <v>1811.2150617748298</v>
      </c>
      <c r="P8" s="6">
        <f t="shared" si="12"/>
        <v>2089.7393121007362</v>
      </c>
      <c r="Q8" s="40">
        <f t="shared" si="5"/>
        <v>5.5338970398543443E-2</v>
      </c>
      <c r="R8" s="40">
        <f t="shared" si="13"/>
        <v>3.0913597144316024E-5</v>
      </c>
      <c r="S8" s="37">
        <f t="shared" si="6"/>
        <v>1.7107266372818015E-6</v>
      </c>
    </row>
    <row r="9" spans="1:19" x14ac:dyDescent="0.55000000000000004">
      <c r="A9" s="2">
        <v>10</v>
      </c>
      <c r="B9" s="26">
        <f>PI()</f>
        <v>3.1415926535897931</v>
      </c>
      <c r="C9" s="26">
        <f t="shared" si="14"/>
        <v>1020</v>
      </c>
      <c r="D9" s="26">
        <v>6.2831849999999996</v>
      </c>
      <c r="E9" s="37">
        <f t="shared" si="0"/>
        <v>6.1599852941176467E-2</v>
      </c>
      <c r="F9" s="38">
        <f t="shared" si="15"/>
        <v>5.9663688078952608E-2</v>
      </c>
      <c r="G9" s="38">
        <f t="shared" si="7"/>
        <v>3.6799301391553739E-3</v>
      </c>
      <c r="H9" s="39">
        <f t="shared" si="8"/>
        <v>7.6443315916666036E-3</v>
      </c>
      <c r="I9" s="36">
        <f t="shared" si="1"/>
        <v>-7.7663418210128071E-13</v>
      </c>
      <c r="J9" s="36">
        <f t="shared" si="2"/>
        <v>-5.0353918094019736E-13</v>
      </c>
      <c r="K9" s="36">
        <f t="shared" si="3"/>
        <v>7.6843347142091641E-11</v>
      </c>
      <c r="L9" s="36">
        <f t="shared" si="4"/>
        <v>-18.853963132091092</v>
      </c>
      <c r="M9" s="26">
        <f t="shared" si="9"/>
        <v>3.34031842560639</v>
      </c>
      <c r="N9" s="26">
        <f t="shared" si="10"/>
        <v>275.18393190030014</v>
      </c>
      <c r="O9" s="26">
        <f t="shared" si="11"/>
        <v>1811.2150617748298</v>
      </c>
      <c r="P9" s="6">
        <f t="shared" si="12"/>
        <v>2089.7393121007362</v>
      </c>
      <c r="Q9" s="40">
        <f t="shared" si="5"/>
        <v>5.5338970398543443E-2</v>
      </c>
      <c r="R9" s="40">
        <f t="shared" si="13"/>
        <v>3.0913597144316024E-5</v>
      </c>
      <c r="S9" s="37">
        <f t="shared" si="6"/>
        <v>1.7107266372818015E-6</v>
      </c>
    </row>
    <row r="10" spans="1:19" x14ac:dyDescent="0.55000000000000004">
      <c r="A10" s="2">
        <v>1</v>
      </c>
      <c r="B10" s="26">
        <f>PI()</f>
        <v>3.1415926535897931</v>
      </c>
      <c r="C10" s="26">
        <f t="shared" si="14"/>
        <v>1020</v>
      </c>
      <c r="D10" s="26">
        <v>6.2831849999999996</v>
      </c>
      <c r="E10" s="37">
        <f t="shared" si="0"/>
        <v>6.1599852941176467E-3</v>
      </c>
      <c r="F10" s="38">
        <f t="shared" si="15"/>
        <v>6.1409736281639402E-3</v>
      </c>
      <c r="G10" s="38">
        <f t="shared" si="7"/>
        <v>3.782878571863713E-5</v>
      </c>
      <c r="H10" s="39">
        <f t="shared" si="8"/>
        <v>2.4173499019246693E-4</v>
      </c>
      <c r="I10" s="36">
        <f t="shared" si="1"/>
        <v>1.4456048170553978E-13</v>
      </c>
      <c r="J10" s="36">
        <f t="shared" si="2"/>
        <v>2.2513961088804131E-13</v>
      </c>
      <c r="K10" s="36">
        <f t="shared" si="3"/>
        <v>2.4299999999999999E-12</v>
      </c>
      <c r="L10" s="36">
        <f t="shared" si="4"/>
        <v>-0.59621466418249891</v>
      </c>
      <c r="M10" s="26">
        <f t="shared" si="9"/>
        <v>3.34031842560639</v>
      </c>
      <c r="N10" s="26">
        <f t="shared" si="10"/>
        <v>275.18393190030014</v>
      </c>
      <c r="O10" s="26">
        <f t="shared" si="11"/>
        <v>1811.2150617748298</v>
      </c>
      <c r="P10" s="6">
        <f t="shared" si="12"/>
        <v>2089.7393121007362</v>
      </c>
      <c r="Q10" s="40">
        <f t="shared" si="5"/>
        <v>5.5338970398543443E-2</v>
      </c>
      <c r="R10" s="40">
        <f t="shared" si="13"/>
        <v>3.0913597144316024E-5</v>
      </c>
      <c r="S10" s="37">
        <f t="shared" si="6"/>
        <v>1.7107266372818015E-6</v>
      </c>
    </row>
    <row r="11" spans="1:19" x14ac:dyDescent="0.55000000000000004">
      <c r="A11" s="2">
        <v>0</v>
      </c>
      <c r="B11" s="26">
        <f>PI()</f>
        <v>3.1415926535897931</v>
      </c>
      <c r="C11" s="26">
        <f t="shared" si="14"/>
        <v>1020</v>
      </c>
      <c r="D11" s="26">
        <v>6.2831849999999996</v>
      </c>
      <c r="E11" s="37">
        <f t="shared" ref="E11:E32" si="17">D11*A11/C11</f>
        <v>0</v>
      </c>
      <c r="F11" s="38">
        <f t="shared" si="15"/>
        <v>0</v>
      </c>
      <c r="G11" s="38">
        <f t="shared" si="7"/>
        <v>0</v>
      </c>
      <c r="H11" s="39">
        <f t="shared" si="8"/>
        <v>0</v>
      </c>
      <c r="I11" s="36">
        <f t="shared" si="1"/>
        <v>0</v>
      </c>
      <c r="J11" s="36">
        <f t="shared" si="2"/>
        <v>0</v>
      </c>
      <c r="K11" s="36">
        <f t="shared" si="3"/>
        <v>0</v>
      </c>
      <c r="L11" s="36">
        <f t="shared" si="4"/>
        <v>0</v>
      </c>
      <c r="M11" s="26">
        <f t="shared" si="9"/>
        <v>3.34031842560639</v>
      </c>
      <c r="N11" s="26">
        <f t="shared" si="10"/>
        <v>275.18393190030014</v>
      </c>
      <c r="O11" s="26">
        <f t="shared" si="11"/>
        <v>1811.2150617748298</v>
      </c>
      <c r="P11" s="6">
        <f t="shared" si="12"/>
        <v>2089.7393121007362</v>
      </c>
      <c r="Q11" s="40">
        <f t="shared" si="5"/>
        <v>5.5338970398543443E-2</v>
      </c>
      <c r="R11" s="40">
        <f t="shared" si="13"/>
        <v>3.0913597144316024E-5</v>
      </c>
      <c r="S11" s="37">
        <f t="shared" si="6"/>
        <v>1.7107266372818015E-6</v>
      </c>
    </row>
    <row r="12" spans="1:19" x14ac:dyDescent="0.55000000000000004">
      <c r="A12" s="2">
        <v>87</v>
      </c>
      <c r="B12" s="26">
        <f>PI()</f>
        <v>3.1415926535897931</v>
      </c>
      <c r="C12" s="26">
        <f t="shared" si="14"/>
        <v>1020</v>
      </c>
      <c r="D12" s="26">
        <v>6.2831849999999996</v>
      </c>
      <c r="E12" s="37">
        <f t="shared" si="17"/>
        <v>0.5359187205882352</v>
      </c>
      <c r="F12" s="38">
        <f t="shared" si="15"/>
        <v>0.36896481290590133</v>
      </c>
      <c r="G12" s="38">
        <f t="shared" si="7"/>
        <v>0.21912649914407265</v>
      </c>
      <c r="H12" s="39">
        <f t="shared" si="8"/>
        <v>0.19616358790102656</v>
      </c>
      <c r="I12" s="36">
        <f t="shared" si="1"/>
        <v>9.8467216061359535E-13</v>
      </c>
      <c r="J12" s="36">
        <f t="shared" si="2"/>
        <v>-1.4203083283304191E-12</v>
      </c>
      <c r="K12" s="36">
        <f t="shared" si="3"/>
        <v>1.9719012056135063E-9</v>
      </c>
      <c r="L12" s="36">
        <f t="shared" si="4"/>
        <v>-483.81745477609934</v>
      </c>
      <c r="M12" s="26">
        <f t="shared" si="9"/>
        <v>3.34031842560639</v>
      </c>
      <c r="N12" s="26">
        <f t="shared" si="10"/>
        <v>275.18393190030014</v>
      </c>
      <c r="O12" s="26">
        <f t="shared" si="11"/>
        <v>1811.2150617748298</v>
      </c>
      <c r="P12" s="6">
        <f t="shared" si="12"/>
        <v>2089.7393121007362</v>
      </c>
      <c r="Q12" s="40">
        <f t="shared" si="5"/>
        <v>5.5338970398543443E-2</v>
      </c>
      <c r="R12" s="40">
        <f t="shared" si="13"/>
        <v>3.0913597144316024E-5</v>
      </c>
      <c r="S12" s="37">
        <f t="shared" si="6"/>
        <v>1.7107266372818015E-6</v>
      </c>
    </row>
    <row r="13" spans="1:19" x14ac:dyDescent="0.55000000000000004">
      <c r="A13" s="2">
        <v>108</v>
      </c>
      <c r="B13" s="26">
        <f>PI()</f>
        <v>3.1415926535897931</v>
      </c>
      <c r="C13" s="26">
        <f t="shared" si="14"/>
        <v>1020</v>
      </c>
      <c r="D13" s="26">
        <v>6.2831849999999996</v>
      </c>
      <c r="E13" s="37">
        <f t="shared" si="17"/>
        <v>0.66527841176470592</v>
      </c>
      <c r="F13" s="38">
        <f t="shared" si="15"/>
        <v>0.40123388936702853</v>
      </c>
      <c r="G13" s="38">
        <f t="shared" si="7"/>
        <v>0.31480714141140903</v>
      </c>
      <c r="H13" s="39">
        <f t="shared" si="8"/>
        <v>0.27131584066737502</v>
      </c>
      <c r="I13" s="36">
        <f t="shared" si="1"/>
        <v>6.7999541630902203E-13</v>
      </c>
      <c r="J13" s="36">
        <f t="shared" si="2"/>
        <v>1.6783388205845673E-12</v>
      </c>
      <c r="K13" s="36">
        <f t="shared" si="3"/>
        <v>2.7273564836302579E-9</v>
      </c>
      <c r="L13" s="36">
        <f t="shared" si="4"/>
        <v>-669.17281069694457</v>
      </c>
      <c r="M13" s="26">
        <f t="shared" si="9"/>
        <v>3.34031842560639</v>
      </c>
      <c r="N13" s="26">
        <f t="shared" si="10"/>
        <v>275.18393190030014</v>
      </c>
      <c r="O13" s="26">
        <f t="shared" si="11"/>
        <v>1811.2150617748298</v>
      </c>
      <c r="P13" s="6">
        <f t="shared" si="12"/>
        <v>2089.7393121007362</v>
      </c>
      <c r="Q13" s="40">
        <f t="shared" si="5"/>
        <v>5.5338970398543443E-2</v>
      </c>
      <c r="R13" s="40">
        <f t="shared" si="13"/>
        <v>3.0913597144316024E-5</v>
      </c>
      <c r="S13" s="37">
        <f t="shared" si="6"/>
        <v>1.7107266372818015E-6</v>
      </c>
    </row>
    <row r="14" spans="1:19" x14ac:dyDescent="0.55000000000000004">
      <c r="A14" s="2">
        <v>150</v>
      </c>
      <c r="B14" s="26">
        <f>PI()</f>
        <v>3.1415926535897931</v>
      </c>
      <c r="C14" s="26">
        <f t="shared" si="14"/>
        <v>1020</v>
      </c>
      <c r="D14" s="26">
        <v>6.2831849999999996</v>
      </c>
      <c r="E14" s="37">
        <f t="shared" si="17"/>
        <v>0.92399779411764693</v>
      </c>
      <c r="F14" s="38">
        <f t="shared" si="15"/>
        <v>0.39436726679320516</v>
      </c>
      <c r="G14" s="38">
        <f t="shared" si="7"/>
        <v>0.52222660998295023</v>
      </c>
      <c r="H14" s="39">
        <f t="shared" si="8"/>
        <v>0.44409553421117981</v>
      </c>
      <c r="I14" s="36">
        <f t="shared" si="1"/>
        <v>1.3542180712771232E-12</v>
      </c>
      <c r="J14" s="36">
        <f t="shared" si="2"/>
        <v>-1.3844797471303633E-12</v>
      </c>
      <c r="K14" s="36">
        <f t="shared" si="3"/>
        <v>4.46419505622234E-9</v>
      </c>
      <c r="L14" s="36">
        <f t="shared" si="4"/>
        <v>-1095.3162783089608</v>
      </c>
      <c r="M14" s="26">
        <f t="shared" si="9"/>
        <v>3.34031842560639</v>
      </c>
      <c r="N14" s="26">
        <f t="shared" si="10"/>
        <v>275.18393190030014</v>
      </c>
      <c r="O14" s="26">
        <f t="shared" si="11"/>
        <v>1811.2150617748298</v>
      </c>
      <c r="P14" s="6">
        <f t="shared" si="12"/>
        <v>2089.7393121007362</v>
      </c>
      <c r="Q14" s="40">
        <f t="shared" si="5"/>
        <v>5.5338970398543443E-2</v>
      </c>
      <c r="R14" s="40">
        <f t="shared" si="13"/>
        <v>3.0913597144316024E-5</v>
      </c>
      <c r="S14" s="37">
        <f t="shared" si="6"/>
        <v>1.7107266372818015E-6</v>
      </c>
    </row>
    <row r="15" spans="1:19" x14ac:dyDescent="0.55000000000000004">
      <c r="A15" s="2">
        <v>14</v>
      </c>
      <c r="B15" s="26">
        <f>PI()</f>
        <v>3.1415926535897931</v>
      </c>
      <c r="C15" s="26">
        <f t="shared" si="14"/>
        <v>1020</v>
      </c>
      <c r="D15" s="26">
        <v>6.2831849999999996</v>
      </c>
      <c r="E15" s="37">
        <f t="shared" si="17"/>
        <v>8.623979411764704E-2</v>
      </c>
      <c r="F15" s="38">
        <f t="shared" si="15"/>
        <v>8.2414578379610207E-2</v>
      </c>
      <c r="G15" s="38">
        <f t="shared" si="7"/>
        <v>7.1250888487599199E-3</v>
      </c>
      <c r="H15" s="39">
        <f t="shared" si="8"/>
        <v>1.2662853163735175E-2</v>
      </c>
      <c r="I15" s="36">
        <f t="shared" si="1"/>
        <v>1.429324229886299E-13</v>
      </c>
      <c r="J15" s="36">
        <f t="shared" si="2"/>
        <v>1.0354891772378893E-12</v>
      </c>
      <c r="K15" s="36">
        <f t="shared" si="3"/>
        <v>1.2729118429804943E-10</v>
      </c>
      <c r="L15" s="36">
        <f t="shared" si="4"/>
        <v>-31.231634032779471</v>
      </c>
      <c r="M15" s="26">
        <f t="shared" si="9"/>
        <v>3.34031842560639</v>
      </c>
      <c r="N15" s="26">
        <f t="shared" si="10"/>
        <v>275.18393190030014</v>
      </c>
      <c r="O15" s="26">
        <f t="shared" si="11"/>
        <v>1811.2150617748298</v>
      </c>
      <c r="P15" s="6">
        <f t="shared" si="12"/>
        <v>2089.7393121007362</v>
      </c>
      <c r="Q15" s="40">
        <f t="shared" si="5"/>
        <v>5.5338970398543443E-2</v>
      </c>
      <c r="R15" s="40">
        <f t="shared" si="13"/>
        <v>3.0913597144316024E-5</v>
      </c>
      <c r="S15" s="37">
        <f t="shared" si="6"/>
        <v>1.7107266372818015E-6</v>
      </c>
    </row>
    <row r="16" spans="1:19" x14ac:dyDescent="0.55000000000000004">
      <c r="A16" s="2">
        <v>86</v>
      </c>
      <c r="B16" s="26">
        <f>PI()</f>
        <v>3.1415926535897931</v>
      </c>
      <c r="C16" s="26">
        <f t="shared" si="14"/>
        <v>1020</v>
      </c>
      <c r="D16" s="26">
        <v>6.2831849999999996</v>
      </c>
      <c r="E16" s="37">
        <f t="shared" si="17"/>
        <v>0.52975873529411754</v>
      </c>
      <c r="F16" s="38">
        <f t="shared" si="15"/>
        <v>0.36683978162381281</v>
      </c>
      <c r="G16" s="38">
        <f t="shared" si="7"/>
        <v>0.21481879643652924</v>
      </c>
      <c r="H16" s="39">
        <f t="shared" si="8"/>
        <v>0.19279119454093063</v>
      </c>
      <c r="I16" s="36">
        <f t="shared" si="1"/>
        <v>-6.6143493216064978E-13</v>
      </c>
      <c r="J16" s="36">
        <f t="shared" si="2"/>
        <v>-1.5918951022262154E-12</v>
      </c>
      <c r="K16" s="36">
        <f t="shared" si="3"/>
        <v>1.9380007931886912E-9</v>
      </c>
      <c r="L16" s="36">
        <f t="shared" si="4"/>
        <v>-475.4997909861778</v>
      </c>
      <c r="M16" s="26">
        <f t="shared" si="9"/>
        <v>3.34031842560639</v>
      </c>
      <c r="N16" s="26">
        <f t="shared" si="10"/>
        <v>275.18393190030014</v>
      </c>
      <c r="O16" s="26">
        <f t="shared" si="11"/>
        <v>1811.2150617748298</v>
      </c>
      <c r="P16" s="6">
        <f t="shared" si="12"/>
        <v>2089.7393121007362</v>
      </c>
      <c r="Q16" s="40">
        <f t="shared" si="5"/>
        <v>5.5338970398543443E-2</v>
      </c>
      <c r="R16" s="40">
        <f t="shared" si="13"/>
        <v>3.0913597144316024E-5</v>
      </c>
      <c r="S16" s="37">
        <f t="shared" si="6"/>
        <v>1.7107266372818015E-6</v>
      </c>
    </row>
    <row r="17" spans="1:19" x14ac:dyDescent="0.55000000000000004">
      <c r="A17" s="2">
        <v>14</v>
      </c>
      <c r="B17" s="26">
        <f>PI()</f>
        <v>3.1415926535897931</v>
      </c>
      <c r="C17" s="26">
        <f t="shared" si="14"/>
        <v>1020</v>
      </c>
      <c r="D17" s="26">
        <v>6.2831849999999996</v>
      </c>
      <c r="E17" s="37">
        <f t="shared" si="17"/>
        <v>8.623979411764704E-2</v>
      </c>
      <c r="F17" s="38">
        <f t="shared" si="15"/>
        <v>8.2414578379610207E-2</v>
      </c>
      <c r="G17" s="38">
        <f t="shared" si="7"/>
        <v>7.1250888487599199E-3</v>
      </c>
      <c r="H17" s="39">
        <f t="shared" si="8"/>
        <v>1.2662853163735175E-2</v>
      </c>
      <c r="I17" s="36">
        <f t="shared" si="1"/>
        <v>1.429324229886299E-13</v>
      </c>
      <c r="J17" s="36">
        <f t="shared" si="2"/>
        <v>1.0354891772378893E-12</v>
      </c>
      <c r="K17" s="36">
        <f t="shared" si="3"/>
        <v>1.2729118429804943E-10</v>
      </c>
      <c r="L17" s="36">
        <f t="shared" si="4"/>
        <v>-31.231634032779471</v>
      </c>
      <c r="M17" s="26">
        <f t="shared" si="9"/>
        <v>3.34031842560639</v>
      </c>
      <c r="N17" s="26">
        <f t="shared" si="10"/>
        <v>275.18393190030014</v>
      </c>
      <c r="O17" s="26">
        <f t="shared" si="11"/>
        <v>1811.2150617748298</v>
      </c>
      <c r="P17" s="6">
        <f t="shared" si="12"/>
        <v>2089.7393121007362</v>
      </c>
      <c r="Q17" s="40">
        <f t="shared" si="5"/>
        <v>5.5338970398543443E-2</v>
      </c>
      <c r="R17" s="40">
        <f t="shared" si="13"/>
        <v>3.0913597144316024E-5</v>
      </c>
      <c r="S17" s="37">
        <f t="shared" si="6"/>
        <v>1.7107266372818015E-6</v>
      </c>
    </row>
    <row r="18" spans="1:19" x14ac:dyDescent="0.55000000000000004">
      <c r="A18" s="2">
        <v>92</v>
      </c>
      <c r="B18" s="26">
        <f>PI()</f>
        <v>3.1415926535897931</v>
      </c>
      <c r="C18" s="26">
        <f t="shared" si="14"/>
        <v>1020</v>
      </c>
      <c r="D18" s="26">
        <v>6.2831849999999996</v>
      </c>
      <c r="E18" s="37">
        <f t="shared" si="17"/>
        <v>0.56671864705882347</v>
      </c>
      <c r="F18" s="38">
        <f t="shared" si="15"/>
        <v>0.37879254989138261</v>
      </c>
      <c r="G18" s="38">
        <f t="shared" si="7"/>
        <v>0.24104417904098421</v>
      </c>
      <c r="H18" s="39">
        <f t="shared" si="8"/>
        <v>0.21331493267050117</v>
      </c>
      <c r="I18" s="36">
        <f t="shared" si="1"/>
        <v>-1.0960168098156107E-12</v>
      </c>
      <c r="J18" s="36">
        <f t="shared" si="2"/>
        <v>-1.3637408996593122E-12</v>
      </c>
      <c r="K18" s="36">
        <f t="shared" si="3"/>
        <v>2.1443121907035837E-9</v>
      </c>
      <c r="L18" s="36">
        <f t="shared" si="4"/>
        <v>-526.11949493118334</v>
      </c>
      <c r="M18" s="26">
        <f t="shared" si="9"/>
        <v>3.34031842560639</v>
      </c>
      <c r="N18" s="26">
        <f t="shared" si="10"/>
        <v>275.18393190030014</v>
      </c>
      <c r="O18" s="26">
        <f t="shared" si="11"/>
        <v>1811.2150617748298</v>
      </c>
      <c r="P18" s="6">
        <f t="shared" si="12"/>
        <v>2089.7393121007362</v>
      </c>
      <c r="Q18" s="40">
        <f t="shared" si="5"/>
        <v>5.5338970398543443E-2</v>
      </c>
      <c r="R18" s="40">
        <f t="shared" si="13"/>
        <v>3.0913597144316024E-5</v>
      </c>
      <c r="S18" s="37">
        <f t="shared" si="6"/>
        <v>1.7107266372818015E-6</v>
      </c>
    </row>
    <row r="19" spans="1:19" x14ac:dyDescent="0.55000000000000004">
      <c r="A19" s="2">
        <v>17</v>
      </c>
      <c r="B19" s="26">
        <f>PI()</f>
        <v>3.1415926535897931</v>
      </c>
      <c r="C19" s="26">
        <f t="shared" si="14"/>
        <v>1020</v>
      </c>
      <c r="D19" s="26">
        <v>6.2831849999999996</v>
      </c>
      <c r="E19" s="37">
        <f t="shared" si="17"/>
        <v>0.10471975</v>
      </c>
      <c r="F19" s="38">
        <f t="shared" si="15"/>
        <v>9.9046109287203393E-2</v>
      </c>
      <c r="G19" s="38">
        <f t="shared" si="7"/>
        <v>1.0410165059988057E-2</v>
      </c>
      <c r="H19" s="39">
        <f t="shared" si="8"/>
        <v>1.6943881265510233E-2</v>
      </c>
      <c r="I19" s="36">
        <f t="shared" si="1"/>
        <v>-3.0699519566952957E-13</v>
      </c>
      <c r="J19" s="36">
        <f t="shared" si="2"/>
        <v>-1.072615317235379E-12</v>
      </c>
      <c r="K19" s="36">
        <f t="shared" si="3"/>
        <v>1.7032549339426563E-10</v>
      </c>
      <c r="L19" s="36">
        <f t="shared" si="4"/>
        <v>-41.790352611432318</v>
      </c>
      <c r="M19" s="26">
        <f t="shared" si="9"/>
        <v>3.34031842560639</v>
      </c>
      <c r="N19" s="26">
        <f t="shared" si="10"/>
        <v>275.18393190030014</v>
      </c>
      <c r="O19" s="26">
        <f t="shared" si="11"/>
        <v>1811.2150617748298</v>
      </c>
      <c r="P19" s="6">
        <f t="shared" si="12"/>
        <v>2089.7393121007362</v>
      </c>
      <c r="Q19" s="40">
        <f t="shared" si="5"/>
        <v>5.5338970398543443E-2</v>
      </c>
      <c r="R19" s="40">
        <f t="shared" si="13"/>
        <v>3.0913597144316024E-5</v>
      </c>
      <c r="S19" s="37">
        <f t="shared" si="6"/>
        <v>1.7107266372818015E-6</v>
      </c>
    </row>
    <row r="20" spans="1:19" x14ac:dyDescent="0.55000000000000004">
      <c r="A20" s="2">
        <v>43</v>
      </c>
      <c r="B20" s="26">
        <f>PI()</f>
        <v>3.1415926535897931</v>
      </c>
      <c r="C20" s="26">
        <f t="shared" si="14"/>
        <v>1020</v>
      </c>
      <c r="D20" s="26">
        <v>6.2831849999999996</v>
      </c>
      <c r="E20" s="37">
        <f t="shared" si="17"/>
        <v>0.26487936764705877</v>
      </c>
      <c r="F20" s="38">
        <f t="shared" si="15"/>
        <v>0.22678172755980741</v>
      </c>
      <c r="G20" s="38">
        <f t="shared" si="7"/>
        <v>6.1515233453533269E-2</v>
      </c>
      <c r="H20" s="39">
        <f t="shared" si="8"/>
        <v>6.8161980506473485E-2</v>
      </c>
      <c r="I20" s="36">
        <f t="shared" si="1"/>
        <v>8.1085244448809463E-13</v>
      </c>
      <c r="J20" s="36">
        <f t="shared" si="2"/>
        <v>-1.2149710365007261E-12</v>
      </c>
      <c r="K20" s="36">
        <f t="shared" si="3"/>
        <v>6.851867514043162E-10</v>
      </c>
      <c r="L20" s="36">
        <f t="shared" si="4"/>
        <v>-168.11456332955629</v>
      </c>
      <c r="M20" s="26">
        <f t="shared" si="9"/>
        <v>3.34031842560639</v>
      </c>
      <c r="N20" s="26">
        <f t="shared" si="10"/>
        <v>275.18393190030014</v>
      </c>
      <c r="O20" s="26">
        <f t="shared" si="11"/>
        <v>1811.2150617748298</v>
      </c>
      <c r="P20" s="6">
        <f t="shared" si="12"/>
        <v>2089.7393121007362</v>
      </c>
      <c r="Q20" s="40">
        <f t="shared" si="5"/>
        <v>5.5338970398543443E-2</v>
      </c>
      <c r="R20" s="40">
        <f t="shared" si="13"/>
        <v>3.0913597144316024E-5</v>
      </c>
      <c r="S20" s="37">
        <f t="shared" si="6"/>
        <v>1.7107266372818015E-6</v>
      </c>
    </row>
    <row r="21" spans="1:19" x14ac:dyDescent="0.55000000000000004">
      <c r="A21" s="2">
        <v>0</v>
      </c>
      <c r="B21" s="26">
        <f>PI()</f>
        <v>3.1415926535897931</v>
      </c>
      <c r="C21" s="26">
        <f t="shared" si="14"/>
        <v>1020</v>
      </c>
      <c r="D21" s="26">
        <v>6.2831849999999996</v>
      </c>
      <c r="E21" s="37">
        <f t="shared" si="17"/>
        <v>0</v>
      </c>
      <c r="F21" s="38">
        <f t="shared" si="15"/>
        <v>0</v>
      </c>
      <c r="G21" s="38">
        <f t="shared" si="7"/>
        <v>0</v>
      </c>
      <c r="H21" s="39">
        <f t="shared" si="8"/>
        <v>0</v>
      </c>
      <c r="I21" s="36">
        <f t="shared" si="1"/>
        <v>0</v>
      </c>
      <c r="J21" s="36">
        <f t="shared" si="2"/>
        <v>0</v>
      </c>
      <c r="K21" s="36">
        <f t="shared" si="3"/>
        <v>0</v>
      </c>
      <c r="L21" s="36">
        <f t="shared" si="4"/>
        <v>0</v>
      </c>
      <c r="M21" s="26">
        <f t="shared" si="9"/>
        <v>3.34031842560639</v>
      </c>
      <c r="N21" s="26">
        <f t="shared" si="10"/>
        <v>275.18393190030014</v>
      </c>
      <c r="O21" s="26">
        <f t="shared" si="11"/>
        <v>1811.2150617748298</v>
      </c>
      <c r="P21" s="6">
        <f t="shared" si="12"/>
        <v>2089.7393121007362</v>
      </c>
      <c r="Q21" s="40">
        <f t="shared" si="5"/>
        <v>5.5338970398543443E-2</v>
      </c>
      <c r="R21" s="40">
        <f t="shared" si="13"/>
        <v>3.0913597144316024E-5</v>
      </c>
      <c r="S21" s="37">
        <f t="shared" si="6"/>
        <v>1.7107266372818015E-6</v>
      </c>
    </row>
    <row r="22" spans="1:19" x14ac:dyDescent="0.55000000000000004">
      <c r="A22" s="2">
        <v>1020</v>
      </c>
      <c r="B22" s="26">
        <f>PI()</f>
        <v>3.1415926535897931</v>
      </c>
      <c r="C22" s="26">
        <v>1020</v>
      </c>
      <c r="D22" s="26">
        <v>6.2831849999999996</v>
      </c>
      <c r="E22" s="37">
        <f t="shared" si="17"/>
        <v>6.2831849999999996</v>
      </c>
      <c r="F22" s="38">
        <f t="shared" si="15"/>
        <v>1.9855682665332801</v>
      </c>
      <c r="G22" s="38">
        <f t="shared" si="7"/>
        <v>-6.0992603987760077E-7</v>
      </c>
      <c r="H22" s="39">
        <f t="shared" si="8"/>
        <v>7.8748043953724371</v>
      </c>
      <c r="I22" s="36">
        <f t="shared" si="1"/>
        <v>-1.4051351107933469E-12</v>
      </c>
      <c r="J22" s="36">
        <f t="shared" si="2"/>
        <v>2.2755425968839905E-12</v>
      </c>
      <c r="K22" s="36">
        <f t="shared" si="3"/>
        <v>7.9160135922066212E-8</v>
      </c>
      <c r="L22" s="36">
        <f t="shared" si="4"/>
        <v>-19422.400763545545</v>
      </c>
      <c r="M22" s="26">
        <f t="shared" si="9"/>
        <v>3.34031842560639</v>
      </c>
      <c r="N22" s="26">
        <f t="shared" si="10"/>
        <v>275.18393190030014</v>
      </c>
      <c r="O22" s="26">
        <f t="shared" si="11"/>
        <v>1811.2150617748298</v>
      </c>
      <c r="P22" s="6">
        <f t="shared" si="12"/>
        <v>2089.7393121007362</v>
      </c>
      <c r="Q22" s="40">
        <f t="shared" si="5"/>
        <v>5.5338970398543443E-2</v>
      </c>
      <c r="R22" s="40">
        <f t="shared" si="13"/>
        <v>3.0913597144316024E-5</v>
      </c>
      <c r="S22" s="37">
        <f t="shared" si="6"/>
        <v>1.7107266372818015E-6</v>
      </c>
    </row>
    <row r="23" spans="1:19" x14ac:dyDescent="0.55000000000000004">
      <c r="A23" s="2">
        <v>16</v>
      </c>
      <c r="B23" s="26">
        <f>PI()</f>
        <v>3.1415926535897931</v>
      </c>
      <c r="C23" s="26">
        <v>1020</v>
      </c>
      <c r="D23" s="26">
        <v>6.2831849999999996</v>
      </c>
      <c r="E23" s="37">
        <f t="shared" si="17"/>
        <v>9.8559764705882347E-2</v>
      </c>
      <c r="F23" s="38">
        <f t="shared" si="15"/>
        <v>9.3543827206868477E-2</v>
      </c>
      <c r="G23" s="38">
        <f t="shared" si="7"/>
        <v>9.2496273904888252E-3</v>
      </c>
      <c r="H23" s="39">
        <f t="shared" si="8"/>
        <v>1.5471039372317879E-2</v>
      </c>
      <c r="I23" s="36">
        <f t="shared" si="1"/>
        <v>-1.0473158968236639E-12</v>
      </c>
      <c r="J23" s="36">
        <f t="shared" si="2"/>
        <v>-3.148569261693731E-13</v>
      </c>
      <c r="K23" s="36">
        <f t="shared" si="3"/>
        <v>1.5551999999999994E-10</v>
      </c>
      <c r="L23" s="36">
        <f t="shared" si="4"/>
        <v>-38.157738507679923</v>
      </c>
      <c r="M23" s="26">
        <f t="shared" si="9"/>
        <v>3.34031842560639</v>
      </c>
      <c r="N23" s="26">
        <f t="shared" si="10"/>
        <v>275.18393190030014</v>
      </c>
      <c r="O23" s="26">
        <f t="shared" si="11"/>
        <v>1811.2150617748298</v>
      </c>
      <c r="P23" s="6">
        <f t="shared" si="12"/>
        <v>2089.7393121007362</v>
      </c>
      <c r="Q23" s="40">
        <f t="shared" si="5"/>
        <v>5.5338970398543443E-2</v>
      </c>
      <c r="R23" s="40">
        <f t="shared" si="13"/>
        <v>3.0913597144316024E-5</v>
      </c>
      <c r="S23" s="37">
        <f t="shared" si="6"/>
        <v>1.7107266372818015E-6</v>
      </c>
    </row>
    <row r="24" spans="1:19" x14ac:dyDescent="0.55000000000000004">
      <c r="A24" s="2">
        <v>39</v>
      </c>
      <c r="B24" s="26">
        <f>PI()</f>
        <v>3.1415926535897931</v>
      </c>
      <c r="C24" s="26">
        <v>1020</v>
      </c>
      <c r="D24" s="26">
        <v>6.2831849999999996</v>
      </c>
      <c r="E24" s="37">
        <f t="shared" si="17"/>
        <v>0.24023942647058821</v>
      </c>
      <c r="F24" s="38">
        <f t="shared" si="15"/>
        <v>0.20912112590616697</v>
      </c>
      <c r="G24" s="38">
        <f t="shared" si="7"/>
        <v>5.1228503096661514E-2</v>
      </c>
      <c r="H24" s="39">
        <f t="shared" si="8"/>
        <v>5.887574666589767E-2</v>
      </c>
      <c r="I24" s="36">
        <f t="shared" si="1"/>
        <v>3.7967486302016409E-13</v>
      </c>
      <c r="J24" s="36">
        <f t="shared" si="2"/>
        <v>1.3723554493952062E-12</v>
      </c>
      <c r="K24" s="36">
        <f t="shared" si="3"/>
        <v>5.9183846030821583E-10</v>
      </c>
      <c r="L24" s="36">
        <f t="shared" si="4"/>
        <v>-145.21101599298359</v>
      </c>
      <c r="M24" s="26">
        <f t="shared" si="9"/>
        <v>3.34031842560639</v>
      </c>
      <c r="N24" s="26">
        <f t="shared" si="10"/>
        <v>275.18393190030014</v>
      </c>
      <c r="O24" s="26">
        <f t="shared" si="11"/>
        <v>1811.2150617748298</v>
      </c>
      <c r="P24" s="6">
        <f t="shared" si="12"/>
        <v>2089.7393121007362</v>
      </c>
      <c r="Q24" s="40">
        <f t="shared" si="5"/>
        <v>5.5338970398543443E-2</v>
      </c>
      <c r="R24" s="40">
        <f t="shared" si="13"/>
        <v>3.0913597144316024E-5</v>
      </c>
      <c r="S24" s="37">
        <f t="shared" si="6"/>
        <v>1.7107266372818015E-6</v>
      </c>
    </row>
    <row r="25" spans="1:19" x14ac:dyDescent="0.55000000000000004">
      <c r="A25" s="2">
        <v>314</v>
      </c>
      <c r="B25" s="26">
        <f>PI()</f>
        <v>3.1415926535897931</v>
      </c>
      <c r="C25" s="26">
        <v>1020</v>
      </c>
      <c r="D25" s="26">
        <v>6.2831849999999996</v>
      </c>
      <c r="E25" s="37">
        <f t="shared" si="17"/>
        <v>1.934235382352941</v>
      </c>
      <c r="F25" s="38">
        <f t="shared" si="15"/>
        <v>-0.38266691114261847</v>
      </c>
      <c r="G25" s="38">
        <f t="shared" si="7"/>
        <v>1.0061331763182111</v>
      </c>
      <c r="H25" s="39">
        <f t="shared" si="8"/>
        <v>1.3450362510784184</v>
      </c>
      <c r="I25" s="36">
        <f t="shared" si="1"/>
        <v>2.1923906089289572E-12</v>
      </c>
      <c r="J25" s="36">
        <f t="shared" si="2"/>
        <v>-3.5215444380567976E-13</v>
      </c>
      <c r="K25" s="36">
        <f t="shared" si="3"/>
        <v>1.3520748847811655E-8</v>
      </c>
      <c r="L25" s="36">
        <f t="shared" si="4"/>
        <v>-3317.3945406559401</v>
      </c>
      <c r="M25" s="26">
        <f t="shared" si="9"/>
        <v>3.34031842560639</v>
      </c>
      <c r="N25" s="26">
        <f t="shared" si="10"/>
        <v>275.18393190030014</v>
      </c>
      <c r="O25" s="26">
        <f t="shared" si="11"/>
        <v>1811.2150617748298</v>
      </c>
      <c r="P25" s="6">
        <f t="shared" si="12"/>
        <v>2089.7393121007362</v>
      </c>
      <c r="Q25" s="40">
        <f t="shared" si="5"/>
        <v>5.5338970398543443E-2</v>
      </c>
      <c r="R25" s="40">
        <f t="shared" si="13"/>
        <v>3.0913597144316024E-5</v>
      </c>
      <c r="S25" s="37">
        <f t="shared" si="6"/>
        <v>1.7107266372818015E-6</v>
      </c>
    </row>
    <row r="26" spans="1:19" x14ac:dyDescent="0.55000000000000004">
      <c r="A26" s="2">
        <v>429</v>
      </c>
      <c r="B26" s="26">
        <f>PI()</f>
        <v>3.1415926535897931</v>
      </c>
      <c r="C26" s="26">
        <v>1020</v>
      </c>
      <c r="D26" s="26">
        <v>6.2831849999999996</v>
      </c>
      <c r="E26" s="37">
        <f t="shared" si="17"/>
        <v>2.6426336911764703</v>
      </c>
      <c r="F26" s="38">
        <f t="shared" si="15"/>
        <v>-1.1351016622873624</v>
      </c>
      <c r="G26" s="38">
        <f t="shared" si="7"/>
        <v>0.61857538321050132</v>
      </c>
      <c r="H26" s="39">
        <f t="shared" si="8"/>
        <v>2.1479563703708053</v>
      </c>
      <c r="I26" s="36">
        <f t="shared" si="1"/>
        <v>-4.0199474020150109E-13</v>
      </c>
      <c r="J26" s="36">
        <f t="shared" si="2"/>
        <v>2.3058419977079509E-12</v>
      </c>
      <c r="K26" s="36">
        <f t="shared" si="3"/>
        <v>2.1591967202784011E-8</v>
      </c>
      <c r="L26" s="36">
        <f t="shared" si="4"/>
        <v>-5297.7150102252672</v>
      </c>
      <c r="M26" s="26">
        <f t="shared" si="9"/>
        <v>3.34031842560639</v>
      </c>
      <c r="N26" s="26">
        <f t="shared" si="10"/>
        <v>275.18393190030014</v>
      </c>
      <c r="O26" s="26">
        <f t="shared" si="11"/>
        <v>1811.2150617748298</v>
      </c>
      <c r="P26" s="6">
        <f t="shared" si="12"/>
        <v>2089.7393121007362</v>
      </c>
      <c r="Q26" s="40">
        <f t="shared" si="5"/>
        <v>5.5338970398543443E-2</v>
      </c>
      <c r="R26" s="40">
        <f t="shared" si="13"/>
        <v>3.0913597144316024E-5</v>
      </c>
      <c r="S26" s="37">
        <f t="shared" si="6"/>
        <v>1.7107266372818015E-6</v>
      </c>
    </row>
    <row r="27" spans="1:19" x14ac:dyDescent="0.55000000000000004">
      <c r="A27" s="2">
        <v>102</v>
      </c>
      <c r="B27" s="26">
        <f>PI()</f>
        <v>3.1415926535897931</v>
      </c>
      <c r="C27" s="26">
        <v>1020</v>
      </c>
      <c r="D27" s="26">
        <v>6.2831849999999996</v>
      </c>
      <c r="E27" s="37">
        <f t="shared" si="17"/>
        <v>0.6283185</v>
      </c>
      <c r="F27" s="38">
        <f t="shared" si="15"/>
        <v>0.39443453517291555</v>
      </c>
      <c r="G27" s="38">
        <f t="shared" si="7"/>
        <v>0.28657344580520727</v>
      </c>
      <c r="H27" s="39">
        <f t="shared" si="8"/>
        <v>0.24902318017682026</v>
      </c>
      <c r="I27" s="36">
        <f t="shared" si="1"/>
        <v>1.8173737140500085E-13</v>
      </c>
      <c r="J27" s="36">
        <f t="shared" si="2"/>
        <v>1.7797504913160449E-12</v>
      </c>
      <c r="K27" s="36">
        <f t="shared" si="3"/>
        <v>2.5032632940224245E-9</v>
      </c>
      <c r="L27" s="36">
        <f t="shared" si="4"/>
        <v>-614.19024041397358</v>
      </c>
      <c r="M27" s="26">
        <f t="shared" si="9"/>
        <v>3.34031842560639</v>
      </c>
      <c r="N27" s="26">
        <f t="shared" si="10"/>
        <v>275.18393190030014</v>
      </c>
      <c r="O27" s="26">
        <f t="shared" si="11"/>
        <v>1811.2150617748298</v>
      </c>
      <c r="P27" s="6">
        <f t="shared" si="12"/>
        <v>2089.7393121007362</v>
      </c>
      <c r="Q27" s="40">
        <f t="shared" si="5"/>
        <v>5.5338970398543443E-2</v>
      </c>
      <c r="R27" s="40">
        <f t="shared" si="13"/>
        <v>3.0913597144316024E-5</v>
      </c>
      <c r="S27" s="37">
        <f t="shared" si="6"/>
        <v>1.7107266372818015E-6</v>
      </c>
    </row>
    <row r="28" spans="1:19" x14ac:dyDescent="0.55000000000000004">
      <c r="A28" s="2">
        <v>372</v>
      </c>
      <c r="B28" s="26">
        <f>PI()</f>
        <v>3.1415926535897931</v>
      </c>
      <c r="C28" s="26">
        <v>1020</v>
      </c>
      <c r="D28" s="26">
        <v>6.2831849999999996</v>
      </c>
      <c r="E28" s="37">
        <f t="shared" si="17"/>
        <v>2.2915145294117645</v>
      </c>
      <c r="F28" s="38">
        <f t="shared" si="15"/>
        <v>-0.78619954392678271</v>
      </c>
      <c r="G28" s="38">
        <f t="shared" si="7"/>
        <v>0.89509768337792162</v>
      </c>
      <c r="H28" s="39">
        <f t="shared" si="8"/>
        <v>1.7344186196633864</v>
      </c>
      <c r="I28" s="36">
        <f t="shared" si="1"/>
        <v>6.288826534775552E-13</v>
      </c>
      <c r="J28" s="36">
        <f t="shared" si="2"/>
        <v>2.1975133455362272E-12</v>
      </c>
      <c r="K28" s="36">
        <f t="shared" si="3"/>
        <v>1.7434949083814364E-8</v>
      </c>
      <c r="L28" s="36">
        <f t="shared" si="4"/>
        <v>-4277.7663839692796</v>
      </c>
      <c r="M28" s="26">
        <f t="shared" si="9"/>
        <v>3.34031842560639</v>
      </c>
      <c r="N28" s="26">
        <f t="shared" si="10"/>
        <v>275.18393190030014</v>
      </c>
      <c r="O28" s="26">
        <f t="shared" si="11"/>
        <v>1811.2150617748298</v>
      </c>
      <c r="P28" s="6">
        <f t="shared" si="12"/>
        <v>2089.7393121007362</v>
      </c>
      <c r="Q28" s="40">
        <f t="shared" si="5"/>
        <v>5.5338970398543443E-2</v>
      </c>
      <c r="R28" s="40">
        <f t="shared" si="13"/>
        <v>3.0913597144316024E-5</v>
      </c>
      <c r="S28" s="37">
        <f t="shared" si="6"/>
        <v>1.7107266372818015E-6</v>
      </c>
    </row>
    <row r="29" spans="1:19" x14ac:dyDescent="0.55000000000000004">
      <c r="A29" s="2">
        <v>229</v>
      </c>
      <c r="B29" s="26">
        <f>PI()</f>
        <v>3.1415926535897931</v>
      </c>
      <c r="C29" s="26">
        <v>1020</v>
      </c>
      <c r="D29" s="26">
        <v>6.2831849999999996</v>
      </c>
      <c r="E29" s="37">
        <f t="shared" si="17"/>
        <v>1.4106366323529409</v>
      </c>
      <c r="F29" s="38">
        <f t="shared" si="15"/>
        <v>0.14032135344092109</v>
      </c>
      <c r="G29" s="38">
        <f t="shared" si="7"/>
        <v>0.86862988114355533</v>
      </c>
      <c r="H29" s="39">
        <f t="shared" si="8"/>
        <v>0.83770815040544666</v>
      </c>
      <c r="I29" s="36">
        <f t="shared" si="1"/>
        <v>-1.9815366770086996E-12</v>
      </c>
      <c r="J29" s="36">
        <f t="shared" si="2"/>
        <v>6.9262355272809594E-13</v>
      </c>
      <c r="K29" s="36">
        <f t="shared" si="3"/>
        <v>8.4209191390310834E-9</v>
      </c>
      <c r="L29" s="36">
        <f t="shared" si="4"/>
        <v>-2066.1215953026317</v>
      </c>
      <c r="M29" s="26">
        <f t="shared" si="9"/>
        <v>3.34031842560639</v>
      </c>
      <c r="N29" s="26">
        <f t="shared" si="10"/>
        <v>275.18393190030014</v>
      </c>
      <c r="O29" s="26">
        <f t="shared" si="11"/>
        <v>1811.2150617748298</v>
      </c>
      <c r="P29" s="6">
        <f t="shared" si="12"/>
        <v>2089.7393121007362</v>
      </c>
      <c r="Q29" s="40">
        <f t="shared" si="5"/>
        <v>5.5338970398543443E-2</v>
      </c>
      <c r="R29" s="40">
        <f t="shared" si="13"/>
        <v>3.0913597144316024E-5</v>
      </c>
      <c r="S29" s="37">
        <f t="shared" si="6"/>
        <v>1.7107266372818015E-6</v>
      </c>
    </row>
    <row r="30" spans="1:19" x14ac:dyDescent="0.55000000000000004">
      <c r="A30" s="2">
        <v>17</v>
      </c>
      <c r="B30" s="26">
        <f>PI()</f>
        <v>3.1415926535897931</v>
      </c>
      <c r="C30" s="26">
        <v>1020</v>
      </c>
      <c r="D30" s="26">
        <v>6.2831849999999996</v>
      </c>
      <c r="E30" s="37">
        <f t="shared" si="17"/>
        <v>0.10471975</v>
      </c>
      <c r="F30" s="38">
        <f t="shared" si="15"/>
        <v>9.9046109287203393E-2</v>
      </c>
      <c r="G30" s="38">
        <f t="shared" si="7"/>
        <v>1.0410165059988057E-2</v>
      </c>
      <c r="H30" s="39">
        <f t="shared" si="8"/>
        <v>1.6943881265510233E-2</v>
      </c>
      <c r="I30" s="36">
        <f t="shared" si="1"/>
        <v>-3.0699519566952957E-13</v>
      </c>
      <c r="J30" s="36">
        <f t="shared" si="2"/>
        <v>-1.072615317235379E-12</v>
      </c>
      <c r="K30" s="36">
        <f t="shared" si="3"/>
        <v>1.7032549339426563E-10</v>
      </c>
      <c r="L30" s="36">
        <f t="shared" si="4"/>
        <v>-41.790352611432318</v>
      </c>
      <c r="M30" s="26">
        <f t="shared" si="9"/>
        <v>3.34031842560639</v>
      </c>
      <c r="N30" s="26">
        <f t="shared" si="10"/>
        <v>275.18393190030014</v>
      </c>
      <c r="O30" s="26">
        <f t="shared" si="11"/>
        <v>1811.2150617748298</v>
      </c>
      <c r="P30" s="6">
        <f t="shared" si="12"/>
        <v>2089.7393121007362</v>
      </c>
      <c r="Q30" s="40">
        <f t="shared" si="5"/>
        <v>5.5338970398543443E-2</v>
      </c>
      <c r="R30" s="40">
        <f t="shared" si="13"/>
        <v>3.0913597144316024E-5</v>
      </c>
      <c r="S30" s="37">
        <f t="shared" si="6"/>
        <v>1.7107266372818015E-6</v>
      </c>
    </row>
    <row r="31" spans="1:19" x14ac:dyDescent="0.55000000000000004">
      <c r="A31" s="2">
        <v>74</v>
      </c>
      <c r="B31" s="26">
        <f>PI()</f>
        <v>3.1415926535897931</v>
      </c>
      <c r="C31" s="26">
        <v>1020</v>
      </c>
      <c r="D31" s="26">
        <v>6.2831849999999996</v>
      </c>
      <c r="E31" s="37">
        <f t="shared" si="17"/>
        <v>0.45583891176470581</v>
      </c>
      <c r="F31" s="38">
        <f t="shared" si="15"/>
        <v>0.33723236380119814</v>
      </c>
      <c r="G31" s="38">
        <f t="shared" si="7"/>
        <v>0.16533723562037789</v>
      </c>
      <c r="H31" s="39">
        <f t="shared" si="8"/>
        <v>0.153881743040511</v>
      </c>
      <c r="I31" s="36">
        <f t="shared" si="1"/>
        <v>2.8617560674557937E-13</v>
      </c>
      <c r="J31" s="36">
        <f t="shared" si="2"/>
        <v>-1.641795906091232E-12</v>
      </c>
      <c r="K31" s="36">
        <f t="shared" si="3"/>
        <v>1.5468701295196066E-9</v>
      </c>
      <c r="L31" s="36">
        <f t="shared" si="4"/>
        <v>-379.53360280060531</v>
      </c>
      <c r="M31" s="26">
        <f t="shared" si="9"/>
        <v>3.34031842560639</v>
      </c>
      <c r="N31" s="26">
        <f t="shared" si="10"/>
        <v>275.18393190030014</v>
      </c>
      <c r="O31" s="26">
        <f t="shared" si="11"/>
        <v>1811.2150617748298</v>
      </c>
      <c r="P31" s="6">
        <f t="shared" si="12"/>
        <v>2089.7393121007362</v>
      </c>
      <c r="Q31" s="40">
        <f t="shared" si="5"/>
        <v>5.5338970398543443E-2</v>
      </c>
      <c r="R31" s="40">
        <f t="shared" si="13"/>
        <v>3.0913597144316024E-5</v>
      </c>
      <c r="S31" s="37">
        <f t="shared" si="6"/>
        <v>1.7107266372818015E-6</v>
      </c>
    </row>
    <row r="32" spans="1:19" x14ac:dyDescent="0.55000000000000004">
      <c r="A32" s="2">
        <v>2</v>
      </c>
      <c r="B32" s="26">
        <f>PI()</f>
        <v>3.1415926535897931</v>
      </c>
      <c r="C32" s="26">
        <v>1020</v>
      </c>
      <c r="D32" s="26">
        <v>6.2831849999999996</v>
      </c>
      <c r="E32" s="37">
        <f t="shared" si="17"/>
        <v>1.2319970588235293E-2</v>
      </c>
      <c r="F32" s="38">
        <f t="shared" si="15"/>
        <v>1.2243768114029149E-2</v>
      </c>
      <c r="G32" s="38">
        <f t="shared" si="7"/>
        <v>1.508504952448701E-4</v>
      </c>
      <c r="H32" s="39">
        <f t="shared" si="8"/>
        <v>6.8372980326062717E-4</v>
      </c>
      <c r="I32" s="36">
        <f t="shared" si="1"/>
        <v>-1.7647303500912526E-13</v>
      </c>
      <c r="J32" s="36">
        <f t="shared" si="2"/>
        <v>3.8560061628568436E-13</v>
      </c>
      <c r="K32" s="36">
        <f t="shared" si="3"/>
        <v>6.8730779131332411E-12</v>
      </c>
      <c r="L32" s="36">
        <f t="shared" si="4"/>
        <v>-1.6863497283452207</v>
      </c>
      <c r="M32" s="26">
        <f t="shared" si="9"/>
        <v>3.34031842560639</v>
      </c>
      <c r="N32" s="26">
        <f t="shared" si="10"/>
        <v>275.18393190030014</v>
      </c>
      <c r="O32" s="26">
        <f t="shared" si="11"/>
        <v>1811.2150617748298</v>
      </c>
      <c r="P32" s="6">
        <f t="shared" si="12"/>
        <v>2089.7393121007362</v>
      </c>
      <c r="Q32" s="40">
        <f t="shared" si="5"/>
        <v>5.5338970398543443E-2</v>
      </c>
      <c r="R32" s="40">
        <f t="shared" si="13"/>
        <v>3.0913597144316024E-5</v>
      </c>
      <c r="S32" s="37">
        <f t="shared" si="6"/>
        <v>1.7107266372818015E-6</v>
      </c>
    </row>
    <row r="33" spans="1:20" x14ac:dyDescent="0.55000000000000004">
      <c r="A33" s="41"/>
      <c r="B33" s="41"/>
      <c r="C33" s="41"/>
      <c r="D33" s="41"/>
      <c r="E33" s="41"/>
      <c r="F33" s="41"/>
      <c r="G33" s="41"/>
      <c r="H33" s="41"/>
      <c r="I33" s="41"/>
      <c r="J33" s="41"/>
      <c r="K33" s="41"/>
      <c r="L33" s="41"/>
      <c r="M33" s="41"/>
      <c r="N33" s="41"/>
      <c r="O33" s="41"/>
      <c r="P33" s="41"/>
      <c r="Q33" s="38"/>
      <c r="R33" s="38"/>
      <c r="S33" s="38"/>
      <c r="T33" s="1"/>
    </row>
    <row r="34" spans="1:20" x14ac:dyDescent="0.5500000000000000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3"/>
      <c r="R34" s="3"/>
      <c r="S34" s="3"/>
      <c r="T34" s="1"/>
    </row>
    <row r="35" spans="1:20" x14ac:dyDescent="0.55000000000000004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3"/>
      <c r="R35" s="3"/>
      <c r="S35" s="3"/>
      <c r="T35" s="1"/>
    </row>
    <row r="36" spans="1:20" x14ac:dyDescent="0.55000000000000004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3"/>
      <c r="R36" s="3"/>
      <c r="S36" s="3"/>
      <c r="T36" s="1"/>
    </row>
    <row r="37" spans="1:20" x14ac:dyDescent="0.55000000000000004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3"/>
      <c r="R37" s="3"/>
      <c r="S37" s="3"/>
      <c r="T37" s="1"/>
    </row>
    <row r="38" spans="1:20" x14ac:dyDescent="0.55000000000000004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3"/>
      <c r="R38" s="3"/>
      <c r="S38" s="3"/>
      <c r="T38" s="1"/>
    </row>
    <row r="39" spans="1:20" x14ac:dyDescent="0.55000000000000004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3"/>
      <c r="R39" s="3"/>
      <c r="S39" s="3"/>
      <c r="T39" s="1"/>
    </row>
    <row r="40" spans="1:20" x14ac:dyDescent="0.55000000000000004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3"/>
      <c r="R40" s="3"/>
      <c r="S40" s="3"/>
      <c r="T40" s="1"/>
    </row>
    <row r="41" spans="1:20" x14ac:dyDescent="0.55000000000000004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3"/>
      <c r="R41" s="3"/>
      <c r="S41" s="3"/>
      <c r="T41" s="1"/>
    </row>
    <row r="42" spans="1:20" x14ac:dyDescent="0.55000000000000004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3"/>
      <c r="R42" s="3"/>
      <c r="S42" s="3"/>
      <c r="T42" s="1"/>
    </row>
    <row r="43" spans="1:20" x14ac:dyDescent="0.55000000000000004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3"/>
      <c r="R43" s="3"/>
      <c r="S43" s="3"/>
      <c r="T43" s="1"/>
    </row>
    <row r="44" spans="1:20" x14ac:dyDescent="0.55000000000000004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3"/>
      <c r="R44" s="3"/>
      <c r="S44" s="3"/>
      <c r="T44" s="1"/>
    </row>
    <row r="45" spans="1:20" x14ac:dyDescent="0.55000000000000004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3"/>
      <c r="R45" s="3"/>
      <c r="S45" s="3"/>
      <c r="T45" s="1"/>
    </row>
    <row r="46" spans="1:20" x14ac:dyDescent="0.55000000000000004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3"/>
      <c r="R46" s="3"/>
      <c r="S46" s="3"/>
      <c r="T46" s="1"/>
    </row>
    <row r="47" spans="1:20" x14ac:dyDescent="0.55000000000000004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3"/>
      <c r="R47" s="3"/>
      <c r="S47" s="3"/>
      <c r="T47" s="1"/>
    </row>
    <row r="48" spans="1:20" x14ac:dyDescent="0.55000000000000004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3"/>
      <c r="R48" s="3"/>
      <c r="S48" s="3"/>
      <c r="T48" s="1"/>
    </row>
    <row r="49" spans="1:20" x14ac:dyDescent="0.55000000000000004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3"/>
      <c r="R49" s="3"/>
      <c r="S49" s="3"/>
      <c r="T49" s="1"/>
    </row>
    <row r="50" spans="1:20" x14ac:dyDescent="0.55000000000000004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3"/>
      <c r="R50" s="3"/>
      <c r="S50" s="3"/>
      <c r="T50" s="1"/>
    </row>
    <row r="51" spans="1:20" x14ac:dyDescent="0.55000000000000004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3"/>
      <c r="R51" s="3"/>
      <c r="S51" s="3"/>
      <c r="T51" s="1"/>
    </row>
    <row r="52" spans="1:20" x14ac:dyDescent="0.55000000000000004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3"/>
      <c r="R52" s="3"/>
      <c r="S52" s="3"/>
      <c r="T52" s="1"/>
    </row>
    <row r="53" spans="1:20" x14ac:dyDescent="0.55000000000000004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3"/>
      <c r="R53" s="3"/>
      <c r="S53" s="3"/>
      <c r="T53" s="1"/>
    </row>
    <row r="54" spans="1:20" x14ac:dyDescent="0.55000000000000004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3"/>
      <c r="R54" s="3"/>
      <c r="S54" s="3"/>
      <c r="T54" s="1"/>
    </row>
    <row r="55" spans="1:20" x14ac:dyDescent="0.55000000000000004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3"/>
      <c r="R55" s="3"/>
      <c r="S55" s="3"/>
      <c r="T55" s="1"/>
    </row>
    <row r="56" spans="1:20" x14ac:dyDescent="0.55000000000000004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3"/>
      <c r="R56" s="3"/>
      <c r="S56" s="3"/>
      <c r="T56" s="1"/>
    </row>
    <row r="57" spans="1:20" x14ac:dyDescent="0.55000000000000004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3"/>
      <c r="R57" s="3"/>
      <c r="S57" s="3"/>
      <c r="T57" s="1"/>
    </row>
    <row r="58" spans="1:20" x14ac:dyDescent="0.55000000000000004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3"/>
      <c r="R58" s="3"/>
      <c r="S58" s="3"/>
      <c r="T58" s="1"/>
    </row>
    <row r="59" spans="1:20" x14ac:dyDescent="0.55000000000000004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3"/>
      <c r="R59" s="3"/>
      <c r="S59" s="3"/>
      <c r="T59" s="1"/>
    </row>
    <row r="60" spans="1:20" x14ac:dyDescent="0.55000000000000004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3"/>
      <c r="R60" s="3"/>
      <c r="S60" s="3"/>
      <c r="T60" s="1"/>
    </row>
    <row r="61" spans="1:20" x14ac:dyDescent="0.55000000000000004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3"/>
      <c r="R61" s="3"/>
      <c r="S61" s="3"/>
      <c r="T61" s="1"/>
    </row>
    <row r="62" spans="1:20" x14ac:dyDescent="0.55000000000000004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3"/>
      <c r="R62" s="3"/>
      <c r="S62" s="3"/>
      <c r="T62" s="1"/>
    </row>
    <row r="63" spans="1:20" x14ac:dyDescent="0.55000000000000004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3"/>
      <c r="R63" s="3"/>
      <c r="S63" s="3"/>
      <c r="T63" s="1"/>
    </row>
    <row r="64" spans="1:20" x14ac:dyDescent="0.55000000000000004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3"/>
      <c r="R64" s="3"/>
      <c r="S64" s="3"/>
      <c r="T64" s="1"/>
    </row>
    <row r="65" spans="1:20" x14ac:dyDescent="0.55000000000000004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3"/>
      <c r="R65" s="3"/>
      <c r="S65" s="3"/>
      <c r="T65" s="1"/>
    </row>
    <row r="66" spans="1:20" x14ac:dyDescent="0.55000000000000004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3"/>
      <c r="R66" s="3"/>
      <c r="S66" s="3"/>
      <c r="T66" s="1"/>
    </row>
    <row r="67" spans="1:20" x14ac:dyDescent="0.5500000000000000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3"/>
      <c r="R67" s="3"/>
      <c r="S67" s="3"/>
      <c r="T67" s="1"/>
    </row>
    <row r="68" spans="1:20" x14ac:dyDescent="0.5500000000000000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3"/>
      <c r="R68" s="3"/>
      <c r="S68" s="3"/>
      <c r="T68" s="1"/>
    </row>
    <row r="69" spans="1:20" x14ac:dyDescent="0.55000000000000004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3"/>
      <c r="R69" s="3"/>
      <c r="S69" s="3"/>
      <c r="T69" s="1"/>
    </row>
    <row r="70" spans="1:20" x14ac:dyDescent="0.55000000000000004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3"/>
      <c r="R70" s="3"/>
      <c r="S70" s="3"/>
      <c r="T70" s="1"/>
    </row>
    <row r="71" spans="1:20" x14ac:dyDescent="0.55000000000000004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3"/>
      <c r="R71" s="3"/>
      <c r="S71" s="3"/>
      <c r="T71" s="1"/>
    </row>
    <row r="72" spans="1:20" x14ac:dyDescent="0.55000000000000004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3"/>
      <c r="R72" s="3"/>
      <c r="S72" s="3"/>
      <c r="T72" s="1"/>
    </row>
    <row r="73" spans="1:20" x14ac:dyDescent="0.55000000000000004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3"/>
      <c r="R73" s="3"/>
      <c r="S73" s="3"/>
      <c r="T73" s="1"/>
    </row>
    <row r="74" spans="1:20" x14ac:dyDescent="0.55000000000000004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3"/>
      <c r="R74" s="3"/>
      <c r="S74" s="3"/>
      <c r="T74" s="1"/>
    </row>
    <row r="75" spans="1:20" x14ac:dyDescent="0.55000000000000004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3"/>
      <c r="R75" s="3"/>
      <c r="S75" s="3"/>
      <c r="T75" s="1"/>
    </row>
    <row r="76" spans="1:20" x14ac:dyDescent="0.55000000000000004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3"/>
      <c r="R76" s="3"/>
      <c r="S76" s="3"/>
      <c r="T76" s="1"/>
    </row>
    <row r="77" spans="1:20" x14ac:dyDescent="0.55000000000000004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3"/>
      <c r="R77" s="3"/>
      <c r="S77" s="3"/>
      <c r="T77" s="1"/>
    </row>
    <row r="78" spans="1:20" x14ac:dyDescent="0.55000000000000004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3"/>
      <c r="R78" s="3"/>
      <c r="S78" s="3"/>
      <c r="T78" s="1"/>
    </row>
    <row r="79" spans="1:20" x14ac:dyDescent="0.55000000000000004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3"/>
      <c r="R79" s="3"/>
      <c r="S79" s="3"/>
      <c r="T79" s="1"/>
    </row>
    <row r="80" spans="1:20" x14ac:dyDescent="0.55000000000000004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3"/>
      <c r="R80" s="3"/>
      <c r="S80" s="3"/>
      <c r="T80" s="1"/>
    </row>
    <row r="81" spans="1:20" x14ac:dyDescent="0.55000000000000004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3"/>
      <c r="R81" s="3"/>
      <c r="S81" s="3"/>
      <c r="T81" s="1"/>
    </row>
    <row r="82" spans="1:20" x14ac:dyDescent="0.55000000000000004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3"/>
      <c r="R82" s="3"/>
      <c r="S82" s="3"/>
      <c r="T82" s="1"/>
    </row>
    <row r="83" spans="1:20" x14ac:dyDescent="0.55000000000000004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3"/>
      <c r="R83" s="3"/>
      <c r="S83" s="3"/>
      <c r="T83" s="1"/>
    </row>
    <row r="84" spans="1:20" x14ac:dyDescent="0.5500000000000000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3"/>
      <c r="R84" s="3"/>
      <c r="S84" s="3"/>
      <c r="T84" s="1"/>
    </row>
    <row r="85" spans="1:20" x14ac:dyDescent="0.55000000000000004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3"/>
      <c r="R85" s="3"/>
      <c r="S85" s="3"/>
      <c r="T85" s="1"/>
    </row>
    <row r="86" spans="1:20" x14ac:dyDescent="0.55000000000000004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3"/>
      <c r="R86" s="3"/>
      <c r="S86" s="3"/>
      <c r="T86" s="1"/>
    </row>
    <row r="87" spans="1:20" x14ac:dyDescent="0.55000000000000004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3"/>
      <c r="R87" s="3"/>
      <c r="S87" s="3"/>
      <c r="T87" s="1"/>
    </row>
    <row r="88" spans="1:20" x14ac:dyDescent="0.55000000000000004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3"/>
      <c r="R88" s="3"/>
      <c r="S88" s="3"/>
      <c r="T88" s="1"/>
    </row>
    <row r="89" spans="1:20" x14ac:dyDescent="0.55000000000000004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3"/>
      <c r="R89" s="3"/>
      <c r="S89" s="3"/>
      <c r="T89" s="1"/>
    </row>
    <row r="90" spans="1:20" x14ac:dyDescent="0.55000000000000004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3"/>
      <c r="R90" s="3"/>
      <c r="S90" s="3"/>
      <c r="T90" s="1"/>
    </row>
    <row r="91" spans="1:20" x14ac:dyDescent="0.55000000000000004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3"/>
      <c r="R91" s="3"/>
      <c r="S91" s="3"/>
      <c r="T91" s="1"/>
    </row>
    <row r="92" spans="1:20" x14ac:dyDescent="0.55000000000000004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3"/>
      <c r="R92" s="3"/>
      <c r="S92" s="3"/>
      <c r="T92" s="1"/>
    </row>
    <row r="93" spans="1:20" x14ac:dyDescent="0.55000000000000004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3"/>
      <c r="R93" s="3"/>
      <c r="S93" s="3"/>
      <c r="T93" s="1"/>
    </row>
    <row r="94" spans="1:20" x14ac:dyDescent="0.5500000000000000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3"/>
      <c r="R94" s="3"/>
      <c r="S94" s="3"/>
      <c r="T94" s="1"/>
    </row>
    <row r="95" spans="1:20" x14ac:dyDescent="0.55000000000000004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3"/>
      <c r="R95" s="3"/>
      <c r="S95" s="3"/>
      <c r="T95" s="1"/>
    </row>
    <row r="96" spans="1:20" x14ac:dyDescent="0.55000000000000004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3"/>
      <c r="R96" s="3"/>
      <c r="S96" s="3"/>
      <c r="T96" s="1"/>
    </row>
    <row r="97" spans="1:20" x14ac:dyDescent="0.55000000000000004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3"/>
      <c r="R97" s="3"/>
      <c r="S97" s="3"/>
      <c r="T97" s="1"/>
    </row>
    <row r="98" spans="1:20" x14ac:dyDescent="0.55000000000000004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3"/>
      <c r="R98" s="3"/>
      <c r="S98" s="3"/>
      <c r="T98" s="1"/>
    </row>
    <row r="99" spans="1:20" x14ac:dyDescent="0.55000000000000004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3"/>
      <c r="R99" s="3"/>
      <c r="S99" s="3"/>
      <c r="T99" s="1"/>
    </row>
    <row r="100" spans="1:20" x14ac:dyDescent="0.55000000000000004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3"/>
      <c r="R100" s="3"/>
      <c r="S100" s="3"/>
      <c r="T100" s="1"/>
    </row>
    <row r="101" spans="1:20" x14ac:dyDescent="0.55000000000000004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3"/>
      <c r="R101" s="3"/>
      <c r="S101" s="3"/>
      <c r="T101" s="1"/>
    </row>
    <row r="102" spans="1:20" x14ac:dyDescent="0.55000000000000004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3"/>
      <c r="R102" s="3"/>
      <c r="S102" s="3"/>
      <c r="T102" s="1"/>
    </row>
    <row r="103" spans="1:20" x14ac:dyDescent="0.55000000000000004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3"/>
      <c r="R103" s="3"/>
      <c r="S103" s="3"/>
      <c r="T103" s="1"/>
    </row>
    <row r="104" spans="1:20" x14ac:dyDescent="0.550000000000000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3"/>
      <c r="R104" s="3"/>
      <c r="S104" s="3"/>
      <c r="T104" s="1"/>
    </row>
    <row r="105" spans="1:20" x14ac:dyDescent="0.55000000000000004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3"/>
      <c r="R105" s="3"/>
      <c r="S105" s="3"/>
      <c r="T105" s="1"/>
    </row>
    <row r="106" spans="1:20" x14ac:dyDescent="0.55000000000000004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3"/>
      <c r="R106" s="3"/>
      <c r="S106" s="3"/>
      <c r="T106" s="1"/>
    </row>
    <row r="107" spans="1:20" x14ac:dyDescent="0.55000000000000004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3"/>
      <c r="R107" s="3"/>
      <c r="S107" s="3"/>
      <c r="T107" s="1"/>
    </row>
    <row r="108" spans="1:20" x14ac:dyDescent="0.55000000000000004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3"/>
      <c r="R108" s="3"/>
      <c r="S108" s="3"/>
      <c r="T108" s="1"/>
    </row>
    <row r="109" spans="1:20" x14ac:dyDescent="0.55000000000000004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3"/>
      <c r="R109" s="3"/>
      <c r="S109" s="3"/>
      <c r="T109" s="1"/>
    </row>
    <row r="110" spans="1:20" x14ac:dyDescent="0.55000000000000004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3"/>
      <c r="R110" s="3"/>
      <c r="S110" s="3"/>
      <c r="T110" s="1"/>
    </row>
    <row r="111" spans="1:20" x14ac:dyDescent="0.55000000000000004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3"/>
      <c r="R111" s="3"/>
      <c r="S111" s="3"/>
      <c r="T111" s="1"/>
    </row>
    <row r="112" spans="1:20" x14ac:dyDescent="0.55000000000000004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3"/>
      <c r="R112" s="3"/>
      <c r="S112" s="3"/>
      <c r="T112" s="1"/>
    </row>
    <row r="113" spans="1:20" x14ac:dyDescent="0.55000000000000004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3"/>
      <c r="R113" s="3"/>
      <c r="S113" s="3"/>
      <c r="T113" s="1"/>
    </row>
    <row r="114" spans="1:20" x14ac:dyDescent="0.5500000000000000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3"/>
      <c r="R114" s="3"/>
      <c r="S114" s="3"/>
      <c r="T114" s="1"/>
    </row>
    <row r="115" spans="1:20" x14ac:dyDescent="0.55000000000000004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3"/>
      <c r="R115" s="3"/>
      <c r="S115" s="3"/>
      <c r="T115" s="1"/>
    </row>
    <row r="116" spans="1:20" x14ac:dyDescent="0.55000000000000004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3"/>
      <c r="R116" s="3"/>
      <c r="S116" s="3"/>
      <c r="T116" s="1"/>
    </row>
    <row r="117" spans="1:20" x14ac:dyDescent="0.55000000000000004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3"/>
      <c r="R117" s="3"/>
      <c r="S117" s="3"/>
      <c r="T117" s="1"/>
    </row>
    <row r="118" spans="1:20" x14ac:dyDescent="0.55000000000000004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3"/>
      <c r="R118" s="3"/>
      <c r="S118" s="3"/>
      <c r="T118" s="1"/>
    </row>
    <row r="119" spans="1:20" x14ac:dyDescent="0.55000000000000004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3"/>
      <c r="R119" s="3"/>
      <c r="S119" s="3"/>
      <c r="T119" s="1"/>
    </row>
    <row r="120" spans="1:20" x14ac:dyDescent="0.55000000000000004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3"/>
      <c r="R120" s="3"/>
      <c r="S120" s="3"/>
      <c r="T120" s="1"/>
    </row>
    <row r="121" spans="1:20" x14ac:dyDescent="0.55000000000000004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3"/>
      <c r="R121" s="3"/>
      <c r="S121" s="3"/>
      <c r="T121" s="1"/>
    </row>
    <row r="122" spans="1:20" x14ac:dyDescent="0.55000000000000004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3"/>
      <c r="R122" s="3"/>
      <c r="S122" s="3"/>
      <c r="T122" s="1"/>
    </row>
    <row r="123" spans="1:20" x14ac:dyDescent="0.55000000000000004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3"/>
      <c r="R123" s="3"/>
      <c r="S123" s="3"/>
      <c r="T123" s="1"/>
    </row>
    <row r="124" spans="1:20" x14ac:dyDescent="0.5500000000000000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3"/>
      <c r="R124" s="3"/>
      <c r="S124" s="3"/>
      <c r="T124" s="1"/>
    </row>
    <row r="125" spans="1:20" x14ac:dyDescent="0.55000000000000004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3"/>
      <c r="R125" s="3"/>
      <c r="S125" s="3"/>
      <c r="T125" s="1"/>
    </row>
    <row r="126" spans="1:20" x14ac:dyDescent="0.55000000000000004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3"/>
      <c r="R126" s="3"/>
      <c r="S126" s="3"/>
      <c r="T126" s="1"/>
    </row>
    <row r="127" spans="1:20" x14ac:dyDescent="0.55000000000000004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3"/>
      <c r="R127" s="3"/>
      <c r="S127" s="3"/>
      <c r="T127" s="1"/>
    </row>
    <row r="128" spans="1:20" x14ac:dyDescent="0.55000000000000004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3"/>
      <c r="R128" s="3"/>
      <c r="S128" s="3"/>
      <c r="T128" s="1"/>
    </row>
    <row r="129" spans="1:20" x14ac:dyDescent="0.55000000000000004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3"/>
      <c r="R129" s="3"/>
      <c r="S129" s="3"/>
      <c r="T129" s="1"/>
    </row>
    <row r="130" spans="1:20" x14ac:dyDescent="0.55000000000000004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3"/>
      <c r="R130" s="3"/>
      <c r="S130" s="3"/>
      <c r="T130" s="1"/>
    </row>
    <row r="131" spans="1:20" x14ac:dyDescent="0.55000000000000004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3"/>
      <c r="R131" s="3"/>
      <c r="S131" s="3"/>
      <c r="T131" s="1"/>
    </row>
    <row r="132" spans="1:20" x14ac:dyDescent="0.55000000000000004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3"/>
      <c r="R132" s="3"/>
      <c r="S132" s="3"/>
      <c r="T132" s="1"/>
    </row>
    <row r="133" spans="1:20" x14ac:dyDescent="0.55000000000000004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3"/>
      <c r="R133" s="3"/>
      <c r="S133" s="3"/>
      <c r="T133" s="1"/>
    </row>
    <row r="134" spans="1:20" x14ac:dyDescent="0.5500000000000000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3"/>
      <c r="R134" s="3"/>
      <c r="S134" s="3"/>
      <c r="T134" s="1"/>
    </row>
    <row r="135" spans="1:20" x14ac:dyDescent="0.55000000000000004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3"/>
      <c r="R135" s="3"/>
      <c r="S135" s="3"/>
      <c r="T135" s="1"/>
    </row>
    <row r="136" spans="1:20" x14ac:dyDescent="0.55000000000000004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3"/>
      <c r="R136" s="3"/>
      <c r="S136" s="3"/>
      <c r="T136" s="1"/>
    </row>
    <row r="137" spans="1:20" x14ac:dyDescent="0.55000000000000004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3"/>
      <c r="R137" s="3"/>
      <c r="S137" s="3"/>
      <c r="T137" s="1"/>
    </row>
    <row r="138" spans="1:20" x14ac:dyDescent="0.55000000000000004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3"/>
      <c r="R138" s="3"/>
      <c r="S138" s="3"/>
      <c r="T138" s="1"/>
    </row>
    <row r="139" spans="1:20" x14ac:dyDescent="0.55000000000000004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3"/>
      <c r="R139" s="3"/>
      <c r="S139" s="3"/>
      <c r="T139" s="1"/>
    </row>
    <row r="140" spans="1:20" x14ac:dyDescent="0.55000000000000004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3"/>
      <c r="R140" s="3"/>
      <c r="S140" s="3"/>
      <c r="T140" s="1"/>
    </row>
    <row r="141" spans="1:20" x14ac:dyDescent="0.55000000000000004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3"/>
      <c r="R141" s="3"/>
      <c r="S141" s="3"/>
      <c r="T141" s="1"/>
    </row>
    <row r="142" spans="1:20" x14ac:dyDescent="0.55000000000000004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3"/>
      <c r="R142" s="3"/>
      <c r="S142" s="3"/>
      <c r="T142" s="1"/>
    </row>
    <row r="143" spans="1:20" x14ac:dyDescent="0.55000000000000004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3"/>
      <c r="R143" s="3"/>
      <c r="S143" s="3"/>
      <c r="T143" s="1"/>
    </row>
    <row r="144" spans="1:20" x14ac:dyDescent="0.5500000000000000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3"/>
      <c r="R144" s="3"/>
      <c r="S144" s="3"/>
      <c r="T144" s="1"/>
    </row>
    <row r="145" spans="1:20" x14ac:dyDescent="0.55000000000000004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3"/>
      <c r="R145" s="3"/>
      <c r="S145" s="3"/>
      <c r="T145" s="1"/>
    </row>
    <row r="146" spans="1:20" x14ac:dyDescent="0.55000000000000004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3"/>
      <c r="R146" s="3"/>
      <c r="S146" s="3"/>
      <c r="T146" s="1"/>
    </row>
    <row r="147" spans="1:20" x14ac:dyDescent="0.55000000000000004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3"/>
      <c r="R147" s="3"/>
      <c r="S147" s="3"/>
      <c r="T147" s="1"/>
    </row>
    <row r="148" spans="1:20" x14ac:dyDescent="0.55000000000000004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3"/>
      <c r="R148" s="3"/>
      <c r="S148" s="3"/>
      <c r="T148" s="1"/>
    </row>
    <row r="149" spans="1:20" x14ac:dyDescent="0.55000000000000004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3"/>
      <c r="R149" s="3"/>
      <c r="S149" s="3"/>
      <c r="T149" s="1"/>
    </row>
    <row r="150" spans="1:20" x14ac:dyDescent="0.55000000000000004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3"/>
      <c r="R150" s="3"/>
      <c r="S150" s="3"/>
      <c r="T150" s="1"/>
    </row>
    <row r="151" spans="1:20" x14ac:dyDescent="0.55000000000000004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3"/>
      <c r="R151" s="3"/>
      <c r="S151" s="3"/>
      <c r="T151" s="1"/>
    </row>
    <row r="152" spans="1:20" x14ac:dyDescent="0.55000000000000004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3"/>
      <c r="R152" s="3"/>
      <c r="S152" s="3"/>
      <c r="T152" s="1"/>
    </row>
    <row r="153" spans="1:20" x14ac:dyDescent="0.55000000000000004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3"/>
      <c r="R153" s="3"/>
      <c r="S153" s="3"/>
      <c r="T153" s="1"/>
    </row>
    <row r="154" spans="1:20" x14ac:dyDescent="0.5500000000000000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3"/>
      <c r="R154" s="3"/>
      <c r="S154" s="3"/>
      <c r="T154" s="1"/>
    </row>
    <row r="155" spans="1:20" x14ac:dyDescent="0.55000000000000004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3"/>
      <c r="R155" s="3"/>
      <c r="S155" s="3"/>
      <c r="T155" s="1"/>
    </row>
    <row r="156" spans="1:20" x14ac:dyDescent="0.55000000000000004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3"/>
      <c r="R156" s="3"/>
      <c r="S156" s="3"/>
      <c r="T156" s="1"/>
    </row>
    <row r="157" spans="1:20" x14ac:dyDescent="0.55000000000000004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3"/>
      <c r="R157" s="3"/>
      <c r="S157" s="3"/>
      <c r="T157" s="1"/>
    </row>
    <row r="158" spans="1:20" x14ac:dyDescent="0.55000000000000004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3"/>
      <c r="R158" s="3"/>
      <c r="S158" s="3"/>
      <c r="T158" s="1"/>
    </row>
    <row r="159" spans="1:20" x14ac:dyDescent="0.55000000000000004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3"/>
      <c r="R159" s="3"/>
      <c r="S159" s="3"/>
      <c r="T159" s="1"/>
    </row>
    <row r="160" spans="1:20" x14ac:dyDescent="0.55000000000000004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3"/>
      <c r="R160" s="3"/>
      <c r="S160" s="3"/>
      <c r="T160" s="1"/>
    </row>
    <row r="161" spans="1:20" x14ac:dyDescent="0.55000000000000004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3"/>
      <c r="R161" s="3"/>
      <c r="S161" s="3"/>
      <c r="T161" s="1"/>
    </row>
    <row r="162" spans="1:20" x14ac:dyDescent="0.55000000000000004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3"/>
      <c r="R162" s="3"/>
      <c r="S162" s="3"/>
      <c r="T162" s="1"/>
    </row>
    <row r="163" spans="1:20" x14ac:dyDescent="0.55000000000000004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3"/>
      <c r="R163" s="3"/>
      <c r="S163" s="3"/>
      <c r="T163" s="1"/>
    </row>
    <row r="164" spans="1:20" x14ac:dyDescent="0.5500000000000000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3"/>
      <c r="R164" s="3"/>
      <c r="S164" s="3"/>
      <c r="T164" s="1"/>
    </row>
    <row r="165" spans="1:20" x14ac:dyDescent="0.55000000000000004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3"/>
      <c r="R165" s="3"/>
      <c r="S165" s="3"/>
      <c r="T165" s="1"/>
    </row>
    <row r="166" spans="1:20" x14ac:dyDescent="0.55000000000000004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3"/>
      <c r="R166" s="3"/>
      <c r="S166" s="3"/>
      <c r="T166" s="1"/>
    </row>
    <row r="167" spans="1:20" x14ac:dyDescent="0.55000000000000004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3"/>
      <c r="R167" s="3"/>
      <c r="S167" s="3"/>
      <c r="T167" s="1"/>
    </row>
    <row r="168" spans="1:20" x14ac:dyDescent="0.55000000000000004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3"/>
      <c r="R168" s="3"/>
      <c r="S168" s="3"/>
      <c r="T168" s="1"/>
    </row>
    <row r="169" spans="1:20" x14ac:dyDescent="0.55000000000000004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3"/>
      <c r="R169" s="3"/>
      <c r="S169" s="3"/>
      <c r="T169" s="1"/>
    </row>
    <row r="170" spans="1:20" x14ac:dyDescent="0.55000000000000004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3"/>
      <c r="R170" s="3"/>
      <c r="S170" s="3"/>
      <c r="T170" s="1"/>
    </row>
    <row r="171" spans="1:20" x14ac:dyDescent="0.55000000000000004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3"/>
      <c r="R171" s="3"/>
      <c r="S171" s="3"/>
      <c r="T171" s="1"/>
    </row>
    <row r="172" spans="1:20" x14ac:dyDescent="0.55000000000000004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3"/>
      <c r="R172" s="3"/>
      <c r="S172" s="3"/>
      <c r="T172" s="1"/>
    </row>
    <row r="173" spans="1:20" x14ac:dyDescent="0.55000000000000004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3"/>
      <c r="R173" s="3"/>
      <c r="S173" s="3"/>
      <c r="T173" s="1"/>
    </row>
    <row r="174" spans="1:20" x14ac:dyDescent="0.5500000000000000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3"/>
      <c r="R174" s="3"/>
      <c r="S174" s="3"/>
      <c r="T174" s="1"/>
    </row>
    <row r="175" spans="1:20" x14ac:dyDescent="0.55000000000000004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3"/>
      <c r="R175" s="3"/>
      <c r="S175" s="3"/>
      <c r="T175" s="1"/>
    </row>
    <row r="176" spans="1:20" x14ac:dyDescent="0.55000000000000004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3"/>
      <c r="R176" s="3"/>
      <c r="S176" s="3"/>
      <c r="T176" s="1"/>
    </row>
    <row r="177" spans="1:20" x14ac:dyDescent="0.55000000000000004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3"/>
      <c r="R177" s="3"/>
      <c r="S177" s="3"/>
      <c r="T177" s="1"/>
    </row>
    <row r="178" spans="1:20" x14ac:dyDescent="0.55000000000000004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3"/>
      <c r="R178" s="3"/>
      <c r="S178" s="3"/>
      <c r="T178" s="1"/>
    </row>
    <row r="179" spans="1:20" x14ac:dyDescent="0.55000000000000004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3"/>
      <c r="R179" s="3"/>
      <c r="S179" s="3"/>
      <c r="T179" s="1"/>
    </row>
    <row r="180" spans="1:20" x14ac:dyDescent="0.55000000000000004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3"/>
      <c r="R180" s="3"/>
      <c r="S180" s="3"/>
      <c r="T180" s="1"/>
    </row>
    <row r="181" spans="1:20" x14ac:dyDescent="0.5500000000000000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3"/>
      <c r="R181" s="3"/>
      <c r="S181" s="3"/>
      <c r="T181" s="1"/>
    </row>
    <row r="182" spans="1:20" x14ac:dyDescent="0.5500000000000000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3"/>
      <c r="R182" s="3"/>
      <c r="S182" s="3"/>
      <c r="T182" s="1"/>
    </row>
    <row r="183" spans="1:20" x14ac:dyDescent="0.55000000000000004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3"/>
      <c r="R183" s="3"/>
      <c r="S183" s="3"/>
      <c r="T183" s="1"/>
    </row>
    <row r="184" spans="1:20" x14ac:dyDescent="0.5500000000000000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3"/>
      <c r="R184" s="3"/>
      <c r="S184" s="3"/>
      <c r="T184" s="1"/>
    </row>
    <row r="185" spans="1:20" x14ac:dyDescent="0.55000000000000004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3"/>
      <c r="R185" s="3"/>
      <c r="S185" s="3"/>
      <c r="T185" s="1"/>
    </row>
    <row r="186" spans="1:20" x14ac:dyDescent="0.55000000000000004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3"/>
      <c r="R186" s="3"/>
      <c r="S186" s="3"/>
      <c r="T186" s="1"/>
    </row>
    <row r="187" spans="1:20" x14ac:dyDescent="0.55000000000000004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3"/>
      <c r="R187" s="3"/>
      <c r="S187" s="3"/>
      <c r="T187" s="1"/>
    </row>
    <row r="188" spans="1:20" x14ac:dyDescent="0.55000000000000004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3"/>
      <c r="R188" s="3"/>
      <c r="S188" s="3"/>
      <c r="T188" s="1"/>
    </row>
    <row r="189" spans="1:20" x14ac:dyDescent="0.55000000000000004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3"/>
      <c r="R189" s="3"/>
      <c r="S189" s="3"/>
      <c r="T189" s="1"/>
    </row>
    <row r="190" spans="1:20" x14ac:dyDescent="0.55000000000000004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3"/>
      <c r="R190" s="3"/>
      <c r="S190" s="3"/>
      <c r="T190" s="1"/>
    </row>
    <row r="191" spans="1:20" x14ac:dyDescent="0.55000000000000004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3"/>
      <c r="R191" s="3"/>
      <c r="S191" s="3"/>
      <c r="T191" s="1"/>
    </row>
    <row r="192" spans="1:20" x14ac:dyDescent="0.55000000000000004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3"/>
      <c r="R192" s="3"/>
      <c r="S192" s="3"/>
      <c r="T192" s="1"/>
    </row>
    <row r="193" spans="1:20" x14ac:dyDescent="0.55000000000000004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3"/>
      <c r="R193" s="3"/>
      <c r="S193" s="3"/>
      <c r="T193" s="1"/>
    </row>
    <row r="194" spans="1:20" x14ac:dyDescent="0.5500000000000000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3"/>
      <c r="R194" s="3"/>
      <c r="S194" s="3"/>
      <c r="T194" s="1"/>
    </row>
    <row r="195" spans="1:20" x14ac:dyDescent="0.55000000000000004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3"/>
      <c r="R195" s="3"/>
      <c r="S195" s="3"/>
      <c r="T195" s="1"/>
    </row>
    <row r="196" spans="1:20" x14ac:dyDescent="0.55000000000000004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3"/>
      <c r="R196" s="3"/>
      <c r="S196" s="3"/>
      <c r="T196" s="1"/>
    </row>
    <row r="197" spans="1:20" x14ac:dyDescent="0.55000000000000004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3"/>
      <c r="R197" s="3"/>
      <c r="S197" s="3"/>
      <c r="T197" s="1"/>
    </row>
    <row r="198" spans="1:20" x14ac:dyDescent="0.55000000000000004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3"/>
      <c r="R198" s="3"/>
      <c r="S198" s="3"/>
      <c r="T198" s="1"/>
    </row>
    <row r="199" spans="1:20" x14ac:dyDescent="0.55000000000000004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3"/>
      <c r="R199" s="3"/>
      <c r="S199" s="3"/>
      <c r="T199" s="1"/>
    </row>
    <row r="200" spans="1:20" x14ac:dyDescent="0.55000000000000004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3"/>
      <c r="R200" s="3"/>
      <c r="S200" s="3"/>
      <c r="T200" s="1"/>
    </row>
    <row r="201" spans="1:20" x14ac:dyDescent="0.55000000000000004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3"/>
      <c r="R201" s="3"/>
      <c r="S201" s="3"/>
      <c r="T201" s="1"/>
    </row>
    <row r="202" spans="1:20" x14ac:dyDescent="0.55000000000000004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3"/>
      <c r="R202" s="3"/>
      <c r="S202" s="3"/>
      <c r="T202" s="1"/>
    </row>
    <row r="203" spans="1:20" x14ac:dyDescent="0.55000000000000004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3"/>
      <c r="R203" s="3"/>
      <c r="S203" s="3"/>
      <c r="T203" s="1"/>
    </row>
    <row r="204" spans="1:20" x14ac:dyDescent="0.550000000000000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3"/>
      <c r="R204" s="3"/>
      <c r="S204" s="3"/>
      <c r="T204" s="1"/>
    </row>
    <row r="205" spans="1:20" x14ac:dyDescent="0.55000000000000004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3"/>
      <c r="R205" s="3"/>
      <c r="S205" s="3"/>
      <c r="T205" s="1"/>
    </row>
    <row r="206" spans="1:20" x14ac:dyDescent="0.55000000000000004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3"/>
      <c r="R206" s="3"/>
      <c r="S206" s="3"/>
      <c r="T206" s="1"/>
    </row>
    <row r="207" spans="1:20" x14ac:dyDescent="0.55000000000000004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3"/>
      <c r="R207" s="3"/>
      <c r="S207" s="3"/>
      <c r="T207" s="1"/>
    </row>
    <row r="208" spans="1:20" x14ac:dyDescent="0.55000000000000004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3"/>
      <c r="R208" s="3"/>
      <c r="S208" s="3"/>
      <c r="T208" s="1"/>
    </row>
    <row r="209" spans="1:20" x14ac:dyDescent="0.55000000000000004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3"/>
      <c r="R209" s="3"/>
      <c r="S209" s="3"/>
      <c r="T209" s="1"/>
    </row>
    <row r="210" spans="1:20" x14ac:dyDescent="0.55000000000000004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3"/>
      <c r="R210" s="3"/>
      <c r="S210" s="3"/>
      <c r="T210" s="1"/>
    </row>
    <row r="211" spans="1:20" x14ac:dyDescent="0.55000000000000004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3"/>
      <c r="R211" s="3"/>
      <c r="S211" s="3"/>
      <c r="T211" s="1"/>
    </row>
    <row r="212" spans="1:20" x14ac:dyDescent="0.55000000000000004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3"/>
      <c r="R212" s="3"/>
      <c r="S212" s="3"/>
      <c r="T212" s="1"/>
    </row>
    <row r="213" spans="1:20" x14ac:dyDescent="0.55000000000000004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3"/>
      <c r="R213" s="3"/>
      <c r="S213" s="3"/>
      <c r="T213" s="1"/>
    </row>
    <row r="214" spans="1:20" x14ac:dyDescent="0.5500000000000000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3"/>
      <c r="R214" s="3"/>
      <c r="S214" s="3"/>
      <c r="T214" s="1"/>
    </row>
    <row r="215" spans="1:20" x14ac:dyDescent="0.55000000000000004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3"/>
      <c r="R215" s="3"/>
      <c r="S215" s="3"/>
      <c r="T215" s="1"/>
    </row>
    <row r="216" spans="1:20" x14ac:dyDescent="0.55000000000000004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3"/>
      <c r="R216" s="3"/>
      <c r="S216" s="3"/>
      <c r="T216" s="1"/>
    </row>
    <row r="217" spans="1:20" x14ac:dyDescent="0.55000000000000004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3"/>
      <c r="R217" s="3"/>
      <c r="S217" s="3"/>
      <c r="T217" s="1"/>
    </row>
    <row r="218" spans="1:20" x14ac:dyDescent="0.55000000000000004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3"/>
      <c r="R218" s="3"/>
      <c r="S218" s="3"/>
      <c r="T218" s="1"/>
    </row>
    <row r="219" spans="1:20" x14ac:dyDescent="0.55000000000000004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3"/>
      <c r="R219" s="3"/>
      <c r="S219" s="3"/>
      <c r="T219" s="1"/>
    </row>
    <row r="220" spans="1:20" x14ac:dyDescent="0.55000000000000004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3"/>
      <c r="R220" s="3"/>
      <c r="S220" s="3"/>
      <c r="T220" s="1"/>
    </row>
    <row r="221" spans="1:20" x14ac:dyDescent="0.55000000000000004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3"/>
      <c r="R221" s="3"/>
      <c r="S221" s="3"/>
      <c r="T221" s="1"/>
    </row>
    <row r="222" spans="1:20" x14ac:dyDescent="0.55000000000000004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3"/>
      <c r="R222" s="3"/>
      <c r="S222" s="3"/>
      <c r="T222" s="1"/>
    </row>
    <row r="223" spans="1:20" x14ac:dyDescent="0.55000000000000004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3"/>
      <c r="R223" s="3"/>
      <c r="S223" s="3"/>
      <c r="T223" s="1"/>
    </row>
    <row r="224" spans="1:20" x14ac:dyDescent="0.5500000000000000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3"/>
      <c r="R224" s="3"/>
      <c r="S224" s="3"/>
      <c r="T224" s="1"/>
    </row>
    <row r="225" spans="1:20" x14ac:dyDescent="0.55000000000000004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3"/>
      <c r="R225" s="3"/>
      <c r="S225" s="3"/>
      <c r="T225" s="1"/>
    </row>
    <row r="226" spans="1:20" x14ac:dyDescent="0.55000000000000004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3"/>
      <c r="R226" s="3"/>
      <c r="S226" s="3"/>
      <c r="T226" s="1"/>
    </row>
    <row r="227" spans="1:20" x14ac:dyDescent="0.55000000000000004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3"/>
      <c r="R227" s="3"/>
      <c r="S227" s="3"/>
      <c r="T227" s="1"/>
    </row>
    <row r="228" spans="1:20" x14ac:dyDescent="0.55000000000000004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3"/>
      <c r="R228" s="3"/>
      <c r="S228" s="3"/>
      <c r="T228" s="1"/>
    </row>
    <row r="229" spans="1:20" x14ac:dyDescent="0.55000000000000004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3"/>
      <c r="R229" s="3"/>
      <c r="S229" s="3"/>
      <c r="T229" s="1"/>
    </row>
    <row r="230" spans="1:20" x14ac:dyDescent="0.55000000000000004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3"/>
      <c r="R230" s="3"/>
      <c r="S230" s="3"/>
      <c r="T230" s="1"/>
    </row>
    <row r="231" spans="1:20" x14ac:dyDescent="0.55000000000000004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3"/>
      <c r="R231" s="3"/>
      <c r="S231" s="3"/>
      <c r="T231" s="1"/>
    </row>
    <row r="232" spans="1:20" x14ac:dyDescent="0.55000000000000004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3"/>
      <c r="R232" s="3"/>
      <c r="S232" s="3"/>
      <c r="T232" s="1"/>
    </row>
    <row r="233" spans="1:20" x14ac:dyDescent="0.55000000000000004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3"/>
      <c r="R233" s="3"/>
      <c r="S233" s="3"/>
      <c r="T233" s="1"/>
    </row>
    <row r="234" spans="1:20" x14ac:dyDescent="0.5500000000000000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3"/>
      <c r="R234" s="3"/>
      <c r="S234" s="3"/>
      <c r="T234" s="1"/>
    </row>
    <row r="235" spans="1:20" x14ac:dyDescent="0.55000000000000004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3"/>
      <c r="R235" s="3"/>
      <c r="S235" s="3"/>
      <c r="T235" s="1"/>
    </row>
    <row r="236" spans="1:20" x14ac:dyDescent="0.55000000000000004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3"/>
      <c r="R236" s="3"/>
      <c r="S236" s="3"/>
      <c r="T236" s="1"/>
    </row>
    <row r="237" spans="1:20" x14ac:dyDescent="0.55000000000000004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3"/>
      <c r="R237" s="3"/>
      <c r="S237" s="3"/>
      <c r="T237" s="1"/>
    </row>
    <row r="238" spans="1:20" x14ac:dyDescent="0.55000000000000004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3"/>
      <c r="R238" s="3"/>
      <c r="S238" s="3"/>
      <c r="T238" s="1"/>
    </row>
    <row r="239" spans="1:20" x14ac:dyDescent="0.55000000000000004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3"/>
      <c r="R239" s="3"/>
      <c r="S239" s="3"/>
      <c r="T239" s="1"/>
    </row>
    <row r="240" spans="1:20" x14ac:dyDescent="0.55000000000000004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3"/>
      <c r="R240" s="3"/>
      <c r="S240" s="3"/>
      <c r="T240" s="1"/>
    </row>
    <row r="241" spans="1:20" x14ac:dyDescent="0.55000000000000004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3"/>
      <c r="R241" s="3"/>
      <c r="S241" s="3"/>
      <c r="T241" s="1"/>
    </row>
    <row r="242" spans="1:20" x14ac:dyDescent="0.55000000000000004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3"/>
      <c r="R242" s="3"/>
      <c r="S242" s="3"/>
      <c r="T242" s="1"/>
    </row>
    <row r="243" spans="1:20" x14ac:dyDescent="0.55000000000000004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3"/>
      <c r="R243" s="3"/>
      <c r="S243" s="3"/>
      <c r="T243" s="1"/>
    </row>
    <row r="244" spans="1:20" x14ac:dyDescent="0.5500000000000000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3"/>
      <c r="R244" s="3"/>
      <c r="S244" s="3"/>
      <c r="T244" s="1"/>
    </row>
    <row r="245" spans="1:20" x14ac:dyDescent="0.55000000000000004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3"/>
      <c r="R245" s="3"/>
      <c r="S245" s="3"/>
      <c r="T245" s="1"/>
    </row>
    <row r="246" spans="1:20" x14ac:dyDescent="0.55000000000000004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3"/>
      <c r="R246" s="3"/>
      <c r="S246" s="3"/>
      <c r="T246" s="1"/>
    </row>
    <row r="247" spans="1:20" x14ac:dyDescent="0.55000000000000004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3"/>
      <c r="R247" s="3"/>
      <c r="S247" s="3"/>
      <c r="T247" s="1"/>
    </row>
    <row r="248" spans="1:20" x14ac:dyDescent="0.55000000000000004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3"/>
      <c r="R248" s="3"/>
      <c r="S248" s="3"/>
      <c r="T248" s="1"/>
    </row>
    <row r="249" spans="1:20" x14ac:dyDescent="0.55000000000000004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3"/>
      <c r="R249" s="3"/>
      <c r="S249" s="3"/>
      <c r="T249" s="1"/>
    </row>
    <row r="250" spans="1:20" x14ac:dyDescent="0.55000000000000004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3"/>
      <c r="R250" s="3"/>
      <c r="S250" s="3"/>
      <c r="T250" s="1"/>
    </row>
    <row r="251" spans="1:20" x14ac:dyDescent="0.55000000000000004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3"/>
      <c r="R251" s="3"/>
      <c r="S251" s="3"/>
      <c r="T251" s="1"/>
    </row>
    <row r="252" spans="1:20" x14ac:dyDescent="0.55000000000000004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3"/>
      <c r="R252" s="3"/>
      <c r="S252" s="3"/>
      <c r="T252" s="1"/>
    </row>
    <row r="253" spans="1:20" x14ac:dyDescent="0.55000000000000004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3"/>
      <c r="R253" s="3"/>
      <c r="S253" s="3"/>
      <c r="T253" s="1"/>
    </row>
    <row r="254" spans="1:20" x14ac:dyDescent="0.5500000000000000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3"/>
      <c r="R254" s="3"/>
      <c r="S254" s="3"/>
      <c r="T254" s="1"/>
    </row>
    <row r="255" spans="1:20" x14ac:dyDescent="0.55000000000000004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3"/>
      <c r="R255" s="3"/>
      <c r="S255" s="3"/>
      <c r="T255" s="1"/>
    </row>
    <row r="256" spans="1:20" x14ac:dyDescent="0.55000000000000004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3"/>
      <c r="R256" s="3"/>
      <c r="S256" s="3"/>
      <c r="T256" s="1"/>
    </row>
    <row r="257" spans="1:20" x14ac:dyDescent="0.55000000000000004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3"/>
      <c r="R257" s="3"/>
      <c r="S257" s="3"/>
      <c r="T257" s="1"/>
    </row>
    <row r="258" spans="1:20" x14ac:dyDescent="0.55000000000000004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3"/>
      <c r="R258" s="3"/>
      <c r="S258" s="3"/>
      <c r="T258" s="1"/>
    </row>
    <row r="259" spans="1:20" x14ac:dyDescent="0.55000000000000004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3"/>
      <c r="R259" s="3"/>
      <c r="S259" s="3"/>
      <c r="T259" s="1"/>
    </row>
    <row r="260" spans="1:20" x14ac:dyDescent="0.55000000000000004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3"/>
      <c r="R260" s="3"/>
      <c r="S260" s="3"/>
      <c r="T260" s="1"/>
    </row>
    <row r="261" spans="1:20" x14ac:dyDescent="0.55000000000000004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3"/>
      <c r="R261" s="3"/>
      <c r="S261" s="3"/>
      <c r="T261" s="1"/>
    </row>
    <row r="262" spans="1:20" x14ac:dyDescent="0.55000000000000004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3"/>
      <c r="R262" s="3"/>
      <c r="S262" s="3"/>
      <c r="T262" s="1"/>
    </row>
    <row r="263" spans="1:20" x14ac:dyDescent="0.55000000000000004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3"/>
      <c r="R263" s="3"/>
      <c r="S263" s="3"/>
      <c r="T263" s="1"/>
    </row>
    <row r="264" spans="1:20" x14ac:dyDescent="0.5500000000000000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3"/>
      <c r="R264" s="3"/>
      <c r="S264" s="3"/>
      <c r="T264" s="1"/>
    </row>
    <row r="265" spans="1:20" x14ac:dyDescent="0.55000000000000004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3"/>
      <c r="R265" s="3"/>
      <c r="S265" s="3"/>
      <c r="T265" s="1"/>
    </row>
    <row r="266" spans="1:20" x14ac:dyDescent="0.55000000000000004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3"/>
      <c r="R266" s="3"/>
      <c r="S266" s="3"/>
      <c r="T266" s="1"/>
    </row>
    <row r="267" spans="1:20" x14ac:dyDescent="0.55000000000000004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3"/>
      <c r="R267" s="3"/>
      <c r="S267" s="3"/>
      <c r="T267" s="1"/>
    </row>
    <row r="268" spans="1:20" x14ac:dyDescent="0.55000000000000004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3"/>
      <c r="R268" s="3"/>
      <c r="S268" s="3"/>
      <c r="T268" s="1"/>
    </row>
    <row r="269" spans="1:20" x14ac:dyDescent="0.55000000000000004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3"/>
      <c r="R269" s="3"/>
      <c r="S269" s="3"/>
      <c r="T269" s="1"/>
    </row>
    <row r="270" spans="1:20" x14ac:dyDescent="0.55000000000000004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3"/>
      <c r="R270" s="3"/>
      <c r="S270" s="3"/>
      <c r="T270" s="1"/>
    </row>
    <row r="271" spans="1:20" x14ac:dyDescent="0.55000000000000004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3"/>
      <c r="R271" s="3"/>
      <c r="S271" s="3"/>
      <c r="T271" s="1"/>
    </row>
    <row r="272" spans="1:20" x14ac:dyDescent="0.55000000000000004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3"/>
      <c r="R272" s="3"/>
      <c r="S272" s="3"/>
      <c r="T272" s="1"/>
    </row>
    <row r="273" spans="1:20" x14ac:dyDescent="0.55000000000000004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3"/>
      <c r="R273" s="3"/>
      <c r="S273" s="3"/>
      <c r="T273" s="1"/>
    </row>
    <row r="274" spans="1:20" x14ac:dyDescent="0.5500000000000000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3"/>
      <c r="R274" s="3"/>
      <c r="S274" s="3"/>
      <c r="T274" s="1"/>
    </row>
    <row r="275" spans="1:20" x14ac:dyDescent="0.55000000000000004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3"/>
      <c r="R275" s="3"/>
      <c r="S275" s="3"/>
      <c r="T275" s="1"/>
    </row>
    <row r="276" spans="1:20" x14ac:dyDescent="0.55000000000000004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3"/>
      <c r="R276" s="3"/>
      <c r="S276" s="3"/>
      <c r="T276" s="1"/>
    </row>
    <row r="277" spans="1:20" x14ac:dyDescent="0.55000000000000004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3"/>
      <c r="R277" s="3"/>
      <c r="S277" s="3"/>
      <c r="T277" s="1"/>
    </row>
    <row r="278" spans="1:20" x14ac:dyDescent="0.55000000000000004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3"/>
      <c r="R278" s="3"/>
      <c r="S278" s="3"/>
      <c r="T278" s="1"/>
    </row>
    <row r="279" spans="1:20" x14ac:dyDescent="0.55000000000000004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3"/>
      <c r="R279" s="3"/>
      <c r="S279" s="3"/>
      <c r="T279" s="1"/>
    </row>
    <row r="280" spans="1:20" x14ac:dyDescent="0.55000000000000004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3"/>
      <c r="R280" s="3"/>
      <c r="S280" s="3"/>
      <c r="T280" s="1"/>
    </row>
    <row r="281" spans="1:20" x14ac:dyDescent="0.55000000000000004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3"/>
      <c r="R281" s="3"/>
      <c r="S281" s="3"/>
      <c r="T281" s="1"/>
    </row>
    <row r="282" spans="1:20" x14ac:dyDescent="0.55000000000000004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3"/>
      <c r="R282" s="3"/>
      <c r="S282" s="3"/>
      <c r="T282" s="1"/>
    </row>
    <row r="283" spans="1:20" x14ac:dyDescent="0.55000000000000004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3"/>
      <c r="R283" s="3"/>
      <c r="S283" s="3"/>
      <c r="T283" s="1"/>
    </row>
    <row r="284" spans="1:20" x14ac:dyDescent="0.5500000000000000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3"/>
      <c r="R284" s="3"/>
      <c r="S284" s="3"/>
      <c r="T284" s="1"/>
    </row>
    <row r="285" spans="1:20" x14ac:dyDescent="0.55000000000000004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3"/>
      <c r="R285" s="3"/>
      <c r="S285" s="3"/>
      <c r="T285" s="1"/>
    </row>
    <row r="286" spans="1:20" x14ac:dyDescent="0.55000000000000004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3"/>
      <c r="R286" s="3"/>
      <c r="S286" s="3"/>
      <c r="T286" s="1"/>
    </row>
    <row r="287" spans="1:20" x14ac:dyDescent="0.55000000000000004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3"/>
      <c r="R287" s="3"/>
      <c r="S287" s="3"/>
      <c r="T287" s="1"/>
    </row>
    <row r="288" spans="1:20" x14ac:dyDescent="0.55000000000000004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3"/>
      <c r="R288" s="3"/>
      <c r="S288" s="3"/>
      <c r="T288" s="1"/>
    </row>
    <row r="289" spans="1:20" x14ac:dyDescent="0.55000000000000004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3"/>
      <c r="R289" s="3"/>
      <c r="S289" s="3"/>
      <c r="T289" s="1"/>
    </row>
    <row r="290" spans="1:20" x14ac:dyDescent="0.55000000000000004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3"/>
      <c r="R290" s="3"/>
      <c r="S290" s="3"/>
      <c r="T290" s="1"/>
    </row>
    <row r="291" spans="1:20" x14ac:dyDescent="0.55000000000000004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3"/>
      <c r="R291" s="3"/>
      <c r="S291" s="3"/>
      <c r="T291" s="1"/>
    </row>
    <row r="292" spans="1:20" x14ac:dyDescent="0.55000000000000004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3"/>
      <c r="R292" s="3"/>
      <c r="S292" s="3"/>
      <c r="T292" s="1"/>
    </row>
    <row r="293" spans="1:20" x14ac:dyDescent="0.55000000000000004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3"/>
      <c r="R293" s="3"/>
      <c r="S293" s="3"/>
      <c r="T293" s="1"/>
    </row>
    <row r="294" spans="1:20" x14ac:dyDescent="0.5500000000000000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3"/>
      <c r="R294" s="3"/>
      <c r="S294" s="3"/>
      <c r="T294" s="1"/>
    </row>
    <row r="295" spans="1:20" x14ac:dyDescent="0.55000000000000004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3"/>
      <c r="R295" s="3"/>
      <c r="S295" s="3"/>
      <c r="T295" s="1"/>
    </row>
    <row r="296" spans="1:20" x14ac:dyDescent="0.55000000000000004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3"/>
      <c r="R296" s="3"/>
      <c r="S296" s="3"/>
      <c r="T296" s="1"/>
    </row>
    <row r="297" spans="1:20" x14ac:dyDescent="0.55000000000000004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3"/>
      <c r="R297" s="3"/>
      <c r="S297" s="3"/>
      <c r="T297" s="1"/>
    </row>
    <row r="298" spans="1:20" x14ac:dyDescent="0.55000000000000004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3"/>
      <c r="R298" s="3"/>
      <c r="S298" s="3"/>
      <c r="T298" s="1"/>
    </row>
    <row r="299" spans="1:20" x14ac:dyDescent="0.55000000000000004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3"/>
      <c r="R299" s="3"/>
      <c r="S299" s="3"/>
      <c r="T299" s="1"/>
    </row>
    <row r="300" spans="1:20" x14ac:dyDescent="0.55000000000000004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3"/>
      <c r="R300" s="3"/>
      <c r="S300" s="3"/>
      <c r="T300" s="1"/>
    </row>
    <row r="301" spans="1:20" x14ac:dyDescent="0.55000000000000004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3"/>
      <c r="R301" s="3"/>
      <c r="S301" s="3"/>
      <c r="T301" s="1"/>
    </row>
    <row r="302" spans="1:20" x14ac:dyDescent="0.55000000000000004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3"/>
      <c r="R302" s="3"/>
      <c r="S302" s="3"/>
      <c r="T302" s="1"/>
    </row>
    <row r="303" spans="1:20" x14ac:dyDescent="0.55000000000000004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3"/>
      <c r="R303" s="3"/>
      <c r="S303" s="3"/>
      <c r="T303" s="1"/>
    </row>
    <row r="304" spans="1:20" x14ac:dyDescent="0.550000000000000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3"/>
      <c r="R304" s="3"/>
      <c r="S304" s="3"/>
      <c r="T304" s="1"/>
    </row>
    <row r="305" spans="1:20" x14ac:dyDescent="0.55000000000000004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3"/>
      <c r="R305" s="3"/>
      <c r="S305" s="3"/>
      <c r="T305" s="1"/>
    </row>
    <row r="306" spans="1:20" x14ac:dyDescent="0.55000000000000004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3"/>
      <c r="R306" s="3"/>
      <c r="S306" s="3"/>
      <c r="T306" s="1"/>
    </row>
    <row r="307" spans="1:20" x14ac:dyDescent="0.55000000000000004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3"/>
      <c r="R307" s="3"/>
      <c r="S307" s="3"/>
      <c r="T307" s="1"/>
    </row>
    <row r="308" spans="1:20" x14ac:dyDescent="0.55000000000000004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3"/>
      <c r="R308" s="3"/>
      <c r="S308" s="3"/>
      <c r="T308" s="1"/>
    </row>
    <row r="309" spans="1:20" x14ac:dyDescent="0.55000000000000004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3"/>
      <c r="R309" s="3"/>
      <c r="S309" s="3"/>
      <c r="T309" s="1"/>
    </row>
    <row r="310" spans="1:20" x14ac:dyDescent="0.55000000000000004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3"/>
      <c r="R310" s="3"/>
      <c r="S310" s="3"/>
      <c r="T310" s="1"/>
    </row>
    <row r="311" spans="1:20" x14ac:dyDescent="0.55000000000000004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3"/>
      <c r="R311" s="3"/>
      <c r="S311" s="3"/>
      <c r="T311" s="1"/>
    </row>
    <row r="312" spans="1:20" x14ac:dyDescent="0.55000000000000004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3"/>
      <c r="R312" s="3"/>
      <c r="S312" s="3"/>
      <c r="T312" s="1"/>
    </row>
    <row r="313" spans="1:20" x14ac:dyDescent="0.55000000000000004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3"/>
      <c r="R313" s="3"/>
      <c r="S313" s="3"/>
      <c r="T313" s="1"/>
    </row>
    <row r="314" spans="1:20" x14ac:dyDescent="0.5500000000000000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3"/>
      <c r="R314" s="3"/>
      <c r="S314" s="3"/>
      <c r="T314" s="1"/>
    </row>
    <row r="315" spans="1:20" x14ac:dyDescent="0.55000000000000004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3"/>
      <c r="R315" s="3"/>
      <c r="S315" s="3"/>
      <c r="T315" s="1"/>
    </row>
    <row r="316" spans="1:20" x14ac:dyDescent="0.55000000000000004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3"/>
      <c r="R316" s="3"/>
      <c r="S316" s="3"/>
      <c r="T316" s="1"/>
    </row>
    <row r="317" spans="1:20" x14ac:dyDescent="0.55000000000000004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3"/>
      <c r="R317" s="3"/>
      <c r="S317" s="3"/>
      <c r="T317" s="1"/>
    </row>
    <row r="318" spans="1:20" x14ac:dyDescent="0.55000000000000004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3"/>
      <c r="R318" s="3"/>
      <c r="S318" s="3"/>
      <c r="T318" s="1"/>
    </row>
    <row r="319" spans="1:20" x14ac:dyDescent="0.55000000000000004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3"/>
      <c r="R319" s="3"/>
      <c r="S319" s="3"/>
      <c r="T319" s="1"/>
    </row>
    <row r="320" spans="1:20" x14ac:dyDescent="0.55000000000000004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3"/>
      <c r="R320" s="3"/>
      <c r="S320" s="3"/>
      <c r="T320" s="1"/>
    </row>
    <row r="321" spans="1:20" x14ac:dyDescent="0.55000000000000004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3"/>
      <c r="R321" s="3"/>
      <c r="S321" s="3"/>
      <c r="T321" s="1"/>
    </row>
    <row r="322" spans="1:20" x14ac:dyDescent="0.55000000000000004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3"/>
      <c r="R322" s="3"/>
      <c r="S322" s="3"/>
      <c r="T322" s="1"/>
    </row>
    <row r="323" spans="1:20" x14ac:dyDescent="0.55000000000000004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3"/>
      <c r="R323" s="3"/>
      <c r="S323" s="3"/>
      <c r="T323" s="1"/>
    </row>
    <row r="324" spans="1:20" x14ac:dyDescent="0.5500000000000000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3"/>
      <c r="R324" s="3"/>
      <c r="S324" s="3"/>
      <c r="T324" s="1"/>
    </row>
    <row r="325" spans="1:20" x14ac:dyDescent="0.55000000000000004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3"/>
      <c r="R325" s="3"/>
      <c r="S325" s="3"/>
      <c r="T325" s="1"/>
    </row>
    <row r="326" spans="1:20" x14ac:dyDescent="0.55000000000000004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3"/>
      <c r="R326" s="3"/>
      <c r="S326" s="3"/>
      <c r="T326" s="1"/>
    </row>
    <row r="327" spans="1:20" x14ac:dyDescent="0.55000000000000004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3"/>
      <c r="R327" s="3"/>
      <c r="S327" s="3"/>
      <c r="T327" s="1"/>
    </row>
    <row r="328" spans="1:20" x14ac:dyDescent="0.55000000000000004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3"/>
      <c r="R328" s="3"/>
      <c r="S328" s="3"/>
      <c r="T328" s="1"/>
    </row>
    <row r="329" spans="1:20" x14ac:dyDescent="0.55000000000000004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3"/>
      <c r="R329" s="3"/>
      <c r="S329" s="3"/>
      <c r="T329" s="1"/>
    </row>
    <row r="330" spans="1:20" x14ac:dyDescent="0.55000000000000004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3"/>
      <c r="R330" s="3"/>
      <c r="S330" s="3"/>
      <c r="T330" s="1"/>
    </row>
    <row r="331" spans="1:20" x14ac:dyDescent="0.55000000000000004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3"/>
      <c r="R331" s="3"/>
      <c r="S331" s="3"/>
      <c r="T331" s="1"/>
    </row>
    <row r="332" spans="1:20" x14ac:dyDescent="0.55000000000000004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3"/>
      <c r="R332" s="3"/>
      <c r="S332" s="3"/>
      <c r="T332" s="1"/>
    </row>
    <row r="333" spans="1:20" x14ac:dyDescent="0.55000000000000004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3"/>
      <c r="R333" s="3"/>
      <c r="S333" s="3"/>
      <c r="T333" s="1"/>
    </row>
    <row r="334" spans="1:20" x14ac:dyDescent="0.5500000000000000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3"/>
      <c r="R334" s="3"/>
      <c r="S334" s="3"/>
      <c r="T334" s="1"/>
    </row>
    <row r="335" spans="1:20" x14ac:dyDescent="0.55000000000000004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3"/>
      <c r="R335" s="3"/>
      <c r="S335" s="3"/>
      <c r="T335" s="1"/>
    </row>
    <row r="336" spans="1:20" x14ac:dyDescent="0.55000000000000004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3"/>
      <c r="R336" s="3"/>
      <c r="S336" s="3"/>
      <c r="T336" s="1"/>
    </row>
    <row r="337" spans="1:20" x14ac:dyDescent="0.55000000000000004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3"/>
      <c r="R337" s="3"/>
      <c r="S337" s="3"/>
      <c r="T337" s="1"/>
    </row>
    <row r="338" spans="1:20" x14ac:dyDescent="0.55000000000000004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3"/>
      <c r="R338" s="3"/>
      <c r="S338" s="3"/>
      <c r="T338" s="1"/>
    </row>
    <row r="339" spans="1:20" x14ac:dyDescent="0.55000000000000004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3"/>
      <c r="R339" s="3"/>
      <c r="S339" s="3"/>
      <c r="T339" s="1"/>
    </row>
    <row r="340" spans="1:20" x14ac:dyDescent="0.55000000000000004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3"/>
      <c r="R340" s="3"/>
      <c r="S340" s="3"/>
      <c r="T340" s="1"/>
    </row>
    <row r="341" spans="1:20" x14ac:dyDescent="0.55000000000000004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3"/>
      <c r="R341" s="3"/>
      <c r="S341" s="3"/>
      <c r="T341" s="1"/>
    </row>
    <row r="342" spans="1:20" x14ac:dyDescent="0.55000000000000004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3"/>
      <c r="R342" s="3"/>
      <c r="S342" s="3"/>
      <c r="T342" s="1"/>
    </row>
    <row r="343" spans="1:20" x14ac:dyDescent="0.55000000000000004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3"/>
      <c r="R343" s="3"/>
      <c r="S343" s="3"/>
      <c r="T343" s="1"/>
    </row>
    <row r="344" spans="1:20" x14ac:dyDescent="0.5500000000000000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3"/>
      <c r="R344" s="3"/>
      <c r="S344" s="3"/>
      <c r="T344" s="1"/>
    </row>
    <row r="345" spans="1:20" x14ac:dyDescent="0.55000000000000004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3"/>
      <c r="R345" s="3"/>
      <c r="S345" s="3"/>
      <c r="T345" s="1"/>
    </row>
    <row r="346" spans="1:20" x14ac:dyDescent="0.55000000000000004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3"/>
      <c r="R346" s="3"/>
      <c r="S346" s="3"/>
      <c r="T346" s="1"/>
    </row>
    <row r="347" spans="1:20" x14ac:dyDescent="0.55000000000000004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3"/>
      <c r="R347" s="3"/>
      <c r="S347" s="3"/>
      <c r="T347" s="1"/>
    </row>
    <row r="348" spans="1:20" x14ac:dyDescent="0.55000000000000004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3"/>
      <c r="R348" s="3"/>
      <c r="S348" s="3"/>
      <c r="T348" s="1"/>
    </row>
    <row r="349" spans="1:20" x14ac:dyDescent="0.55000000000000004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3"/>
      <c r="R349" s="3"/>
      <c r="S349" s="3"/>
      <c r="T349" s="1"/>
    </row>
    <row r="350" spans="1:20" x14ac:dyDescent="0.55000000000000004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3"/>
      <c r="R350" s="3"/>
      <c r="S350" s="3"/>
      <c r="T350" s="1"/>
    </row>
    <row r="351" spans="1:20" x14ac:dyDescent="0.55000000000000004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3"/>
      <c r="R351" s="3"/>
      <c r="S351" s="3"/>
      <c r="T351" s="1"/>
    </row>
    <row r="352" spans="1:20" x14ac:dyDescent="0.55000000000000004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3"/>
      <c r="R352" s="3"/>
      <c r="S352" s="3"/>
      <c r="T352" s="1"/>
    </row>
    <row r="353" spans="1:20" x14ac:dyDescent="0.55000000000000004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3"/>
      <c r="R353" s="3"/>
      <c r="S353" s="3"/>
      <c r="T353" s="1"/>
    </row>
    <row r="354" spans="1:20" x14ac:dyDescent="0.5500000000000000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3"/>
      <c r="R354" s="3"/>
      <c r="S354" s="3"/>
      <c r="T354" s="1"/>
    </row>
    <row r="355" spans="1:20" x14ac:dyDescent="0.55000000000000004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3"/>
      <c r="R355" s="3"/>
      <c r="S355" s="3"/>
      <c r="T355" s="1"/>
    </row>
    <row r="356" spans="1:20" x14ac:dyDescent="0.55000000000000004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3"/>
      <c r="R356" s="3"/>
      <c r="S356" s="3"/>
      <c r="T356" s="1"/>
    </row>
    <row r="357" spans="1:20" x14ac:dyDescent="0.55000000000000004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3"/>
      <c r="R357" s="3"/>
      <c r="S357" s="3"/>
      <c r="T357" s="1"/>
    </row>
    <row r="358" spans="1:20" x14ac:dyDescent="0.55000000000000004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3"/>
      <c r="R358" s="3"/>
      <c r="S358" s="3"/>
      <c r="T358" s="1"/>
    </row>
    <row r="359" spans="1:20" x14ac:dyDescent="0.55000000000000004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3"/>
      <c r="R359" s="3"/>
      <c r="S359" s="3"/>
      <c r="T359" s="1"/>
    </row>
    <row r="360" spans="1:20" x14ac:dyDescent="0.55000000000000004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3"/>
      <c r="R360" s="3"/>
      <c r="S360" s="3"/>
      <c r="T360" s="1"/>
    </row>
    <row r="361" spans="1:20" x14ac:dyDescent="0.55000000000000004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3"/>
      <c r="R361" s="3"/>
      <c r="S361" s="3"/>
      <c r="T361" s="1"/>
    </row>
    <row r="362" spans="1:20" x14ac:dyDescent="0.55000000000000004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3"/>
      <c r="R362" s="3"/>
      <c r="S362" s="3"/>
      <c r="T362" s="1"/>
    </row>
    <row r="363" spans="1:20" x14ac:dyDescent="0.55000000000000004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3"/>
      <c r="R363" s="3"/>
      <c r="S363" s="3"/>
      <c r="T363" s="1"/>
    </row>
    <row r="364" spans="1:20" x14ac:dyDescent="0.5500000000000000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3"/>
      <c r="R364" s="3"/>
      <c r="S364" s="3"/>
      <c r="T364" s="1"/>
    </row>
    <row r="365" spans="1:20" x14ac:dyDescent="0.55000000000000004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3"/>
      <c r="R365" s="3"/>
      <c r="S365" s="3"/>
      <c r="T365" s="1"/>
    </row>
    <row r="366" spans="1:20" x14ac:dyDescent="0.55000000000000004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3"/>
      <c r="R366" s="3"/>
      <c r="S366" s="3"/>
      <c r="T366" s="1"/>
    </row>
    <row r="367" spans="1:20" x14ac:dyDescent="0.55000000000000004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3"/>
      <c r="R367" s="3"/>
      <c r="S367" s="3"/>
      <c r="T367" s="1"/>
    </row>
    <row r="368" spans="1:20" x14ac:dyDescent="0.55000000000000004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3"/>
      <c r="R368" s="3"/>
      <c r="S368" s="3"/>
      <c r="T368" s="1"/>
    </row>
    <row r="369" spans="1:20" x14ac:dyDescent="0.55000000000000004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3"/>
      <c r="R369" s="3"/>
      <c r="S369" s="3"/>
      <c r="T369" s="1"/>
    </row>
    <row r="370" spans="1:20" x14ac:dyDescent="0.55000000000000004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3"/>
      <c r="R370" s="3"/>
      <c r="S370" s="3"/>
      <c r="T370" s="1"/>
    </row>
    <row r="371" spans="1:20" x14ac:dyDescent="0.55000000000000004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3"/>
      <c r="R371" s="3"/>
      <c r="S371" s="3"/>
      <c r="T371" s="1"/>
    </row>
    <row r="372" spans="1:20" x14ac:dyDescent="0.55000000000000004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3"/>
      <c r="R372" s="3"/>
      <c r="S372" s="3"/>
      <c r="T372" s="1"/>
    </row>
    <row r="373" spans="1:20" x14ac:dyDescent="0.55000000000000004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3"/>
      <c r="R373" s="3"/>
      <c r="S373" s="3"/>
      <c r="T373" s="1"/>
    </row>
    <row r="374" spans="1:20" x14ac:dyDescent="0.5500000000000000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3"/>
      <c r="R374" s="3"/>
      <c r="S374" s="3"/>
      <c r="T374" s="1"/>
    </row>
    <row r="375" spans="1:20" x14ac:dyDescent="0.55000000000000004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3"/>
      <c r="R375" s="3"/>
      <c r="S375" s="3"/>
      <c r="T375" s="1"/>
    </row>
    <row r="376" spans="1:20" x14ac:dyDescent="0.55000000000000004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3"/>
      <c r="R376" s="3"/>
      <c r="S376" s="3"/>
      <c r="T376" s="1"/>
    </row>
    <row r="377" spans="1:20" x14ac:dyDescent="0.55000000000000004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3"/>
      <c r="R377" s="3"/>
      <c r="S377" s="3"/>
      <c r="T377" s="1"/>
    </row>
    <row r="378" spans="1:20" x14ac:dyDescent="0.55000000000000004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3"/>
      <c r="R378" s="3"/>
      <c r="S378" s="3"/>
      <c r="T378" s="1"/>
    </row>
    <row r="379" spans="1:20" x14ac:dyDescent="0.55000000000000004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3"/>
      <c r="R379" s="3"/>
      <c r="S379" s="3"/>
      <c r="T379" s="1"/>
    </row>
    <row r="380" spans="1:20" x14ac:dyDescent="0.55000000000000004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3"/>
      <c r="R380" s="3"/>
      <c r="S380" s="3"/>
      <c r="T380" s="1"/>
    </row>
    <row r="381" spans="1:20" x14ac:dyDescent="0.55000000000000004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3"/>
      <c r="R381" s="3"/>
      <c r="S381" s="3"/>
      <c r="T381" s="1"/>
    </row>
    <row r="382" spans="1:20" x14ac:dyDescent="0.55000000000000004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3"/>
      <c r="R382" s="3"/>
      <c r="S382" s="3"/>
      <c r="T382" s="1"/>
    </row>
    <row r="383" spans="1:20" x14ac:dyDescent="0.55000000000000004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3"/>
      <c r="R383" s="3"/>
      <c r="S383" s="3"/>
      <c r="T383" s="1"/>
    </row>
    <row r="384" spans="1:20" x14ac:dyDescent="0.5500000000000000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3"/>
      <c r="R384" s="3"/>
      <c r="S384" s="3"/>
      <c r="T384" s="1"/>
    </row>
    <row r="385" spans="1:20" x14ac:dyDescent="0.55000000000000004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3"/>
      <c r="R385" s="3"/>
      <c r="S385" s="3"/>
      <c r="T385" s="1"/>
    </row>
    <row r="386" spans="1:20" x14ac:dyDescent="0.55000000000000004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3"/>
      <c r="R386" s="3"/>
      <c r="S386" s="3"/>
      <c r="T386" s="1"/>
    </row>
    <row r="387" spans="1:20" x14ac:dyDescent="0.55000000000000004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3"/>
      <c r="R387" s="3"/>
      <c r="S387" s="3"/>
      <c r="T387" s="1"/>
    </row>
    <row r="388" spans="1:20" x14ac:dyDescent="0.55000000000000004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3"/>
      <c r="R388" s="3"/>
      <c r="S388" s="3"/>
      <c r="T388" s="1"/>
    </row>
    <row r="389" spans="1:20" x14ac:dyDescent="0.55000000000000004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3"/>
      <c r="R389" s="3"/>
      <c r="S389" s="3"/>
      <c r="T389" s="1"/>
    </row>
    <row r="390" spans="1:20" x14ac:dyDescent="0.55000000000000004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3"/>
      <c r="R390" s="3"/>
      <c r="S390" s="3"/>
      <c r="T390" s="1"/>
    </row>
    <row r="391" spans="1:20" x14ac:dyDescent="0.55000000000000004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3"/>
      <c r="R391" s="3"/>
      <c r="S391" s="3"/>
      <c r="T391" s="1"/>
    </row>
    <row r="392" spans="1:20" x14ac:dyDescent="0.55000000000000004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3"/>
      <c r="R392" s="3"/>
      <c r="S392" s="3"/>
      <c r="T392" s="1"/>
    </row>
    <row r="393" spans="1:20" x14ac:dyDescent="0.55000000000000004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3"/>
      <c r="R393" s="3"/>
      <c r="S393" s="3"/>
      <c r="T393" s="1"/>
    </row>
    <row r="394" spans="1:20" x14ac:dyDescent="0.5500000000000000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3"/>
      <c r="R394" s="3"/>
      <c r="S394" s="3"/>
      <c r="T394" s="1"/>
    </row>
    <row r="395" spans="1:20" x14ac:dyDescent="0.55000000000000004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3"/>
      <c r="R395" s="3"/>
      <c r="S395" s="3"/>
      <c r="T395" s="1"/>
    </row>
    <row r="396" spans="1:20" x14ac:dyDescent="0.55000000000000004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3"/>
      <c r="R396" s="3"/>
      <c r="S396" s="3"/>
      <c r="T396" s="1"/>
    </row>
    <row r="397" spans="1:20" x14ac:dyDescent="0.55000000000000004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3"/>
      <c r="R397" s="3"/>
      <c r="S397" s="3"/>
      <c r="T397" s="1"/>
    </row>
    <row r="398" spans="1:20" x14ac:dyDescent="0.55000000000000004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3"/>
      <c r="R398" s="3"/>
      <c r="S398" s="3"/>
      <c r="T398" s="1"/>
    </row>
    <row r="399" spans="1:20" x14ac:dyDescent="0.55000000000000004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3"/>
      <c r="R399" s="3"/>
      <c r="S399" s="3"/>
      <c r="T399" s="1"/>
    </row>
    <row r="400" spans="1:20" x14ac:dyDescent="0.55000000000000004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3"/>
      <c r="R400" s="3"/>
      <c r="S400" s="3"/>
      <c r="T400" s="1"/>
    </row>
    <row r="401" spans="1:20" x14ac:dyDescent="0.55000000000000004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3"/>
      <c r="R401" s="3"/>
      <c r="S401" s="3"/>
      <c r="T401" s="1"/>
    </row>
    <row r="402" spans="1:20" x14ac:dyDescent="0.55000000000000004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3"/>
      <c r="R402" s="3"/>
      <c r="S402" s="3"/>
      <c r="T402" s="1"/>
    </row>
    <row r="403" spans="1:20" x14ac:dyDescent="0.55000000000000004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3"/>
      <c r="R403" s="3"/>
      <c r="S403" s="3"/>
      <c r="T403" s="1"/>
    </row>
    <row r="404" spans="1:20" x14ac:dyDescent="0.550000000000000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3"/>
      <c r="R404" s="3"/>
      <c r="S404" s="3"/>
      <c r="T404" s="1"/>
    </row>
    <row r="405" spans="1:20" x14ac:dyDescent="0.55000000000000004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3"/>
      <c r="R405" s="3"/>
      <c r="S405" s="3"/>
      <c r="T405" s="1"/>
    </row>
    <row r="406" spans="1:20" x14ac:dyDescent="0.55000000000000004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3"/>
      <c r="R406" s="3"/>
      <c r="S406" s="3"/>
      <c r="T406" s="1"/>
    </row>
    <row r="407" spans="1:20" x14ac:dyDescent="0.55000000000000004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3"/>
      <c r="R407" s="3"/>
      <c r="S407" s="3"/>
      <c r="T407" s="1"/>
    </row>
    <row r="408" spans="1:20" x14ac:dyDescent="0.55000000000000004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3"/>
      <c r="R408" s="3"/>
      <c r="S408" s="3"/>
      <c r="T408" s="1"/>
    </row>
    <row r="409" spans="1:20" x14ac:dyDescent="0.55000000000000004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3"/>
      <c r="R409" s="3"/>
      <c r="S409" s="3"/>
      <c r="T409" s="1"/>
    </row>
    <row r="410" spans="1:20" x14ac:dyDescent="0.55000000000000004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3"/>
      <c r="R410" s="3"/>
      <c r="S410" s="3"/>
      <c r="T410" s="1"/>
    </row>
    <row r="411" spans="1:20" x14ac:dyDescent="0.55000000000000004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3"/>
      <c r="R411" s="3"/>
      <c r="S411" s="3"/>
      <c r="T411" s="1"/>
    </row>
    <row r="412" spans="1:20" x14ac:dyDescent="0.55000000000000004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3"/>
      <c r="R412" s="3"/>
      <c r="S412" s="3"/>
      <c r="T412" s="1"/>
    </row>
    <row r="413" spans="1:20" x14ac:dyDescent="0.55000000000000004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3"/>
      <c r="R413" s="3"/>
      <c r="S413" s="3"/>
      <c r="T413" s="1"/>
    </row>
    <row r="414" spans="1:20" x14ac:dyDescent="0.5500000000000000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3"/>
      <c r="R414" s="3"/>
      <c r="S414" s="3"/>
      <c r="T414" s="1"/>
    </row>
    <row r="415" spans="1:20" x14ac:dyDescent="0.55000000000000004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3"/>
      <c r="R415" s="3"/>
      <c r="S415" s="3"/>
      <c r="T415" s="1"/>
    </row>
    <row r="416" spans="1:20" x14ac:dyDescent="0.55000000000000004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3"/>
      <c r="R416" s="3"/>
      <c r="S416" s="3"/>
      <c r="T416" s="1"/>
    </row>
    <row r="417" spans="1:20" x14ac:dyDescent="0.55000000000000004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3"/>
      <c r="R417" s="3"/>
      <c r="S417" s="3"/>
      <c r="T417" s="1"/>
    </row>
    <row r="418" spans="1:20" x14ac:dyDescent="0.55000000000000004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3"/>
      <c r="R418" s="3"/>
      <c r="S418" s="3"/>
      <c r="T418" s="1"/>
    </row>
    <row r="419" spans="1:20" x14ac:dyDescent="0.55000000000000004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3"/>
      <c r="R419" s="3"/>
      <c r="S419" s="3"/>
      <c r="T419" s="1"/>
    </row>
    <row r="420" spans="1:20" x14ac:dyDescent="0.55000000000000004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3"/>
      <c r="R420" s="3"/>
      <c r="S420" s="3"/>
      <c r="T420" s="1"/>
    </row>
    <row r="421" spans="1:20" x14ac:dyDescent="0.55000000000000004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3"/>
      <c r="R421" s="3"/>
      <c r="S421" s="3"/>
      <c r="T421" s="1"/>
    </row>
    <row r="422" spans="1:20" x14ac:dyDescent="0.55000000000000004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3"/>
      <c r="R422" s="3"/>
      <c r="S422" s="3"/>
      <c r="T422" s="1"/>
    </row>
    <row r="423" spans="1:20" x14ac:dyDescent="0.55000000000000004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3"/>
      <c r="R423" s="3"/>
      <c r="S423" s="3"/>
      <c r="T423" s="1"/>
    </row>
    <row r="424" spans="1:20" x14ac:dyDescent="0.5500000000000000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3"/>
      <c r="R424" s="3"/>
      <c r="S424" s="3"/>
      <c r="T424" s="1"/>
    </row>
    <row r="425" spans="1:20" x14ac:dyDescent="0.55000000000000004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3"/>
      <c r="R425" s="3"/>
      <c r="S425" s="3"/>
      <c r="T425" s="1"/>
    </row>
    <row r="426" spans="1:20" x14ac:dyDescent="0.55000000000000004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3"/>
      <c r="R426" s="3"/>
      <c r="S426" s="3"/>
      <c r="T426" s="1"/>
    </row>
    <row r="427" spans="1:20" x14ac:dyDescent="0.55000000000000004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3"/>
      <c r="R427" s="3"/>
      <c r="S427" s="3"/>
      <c r="T427" s="1"/>
    </row>
    <row r="428" spans="1:20" x14ac:dyDescent="0.55000000000000004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3"/>
      <c r="R428" s="3"/>
      <c r="S428" s="3"/>
      <c r="T428" s="1"/>
    </row>
    <row r="429" spans="1:20" x14ac:dyDescent="0.55000000000000004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3"/>
      <c r="R429" s="3"/>
      <c r="S429" s="3"/>
      <c r="T429" s="1"/>
    </row>
    <row r="430" spans="1:20" x14ac:dyDescent="0.55000000000000004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3"/>
      <c r="R430" s="3"/>
      <c r="S430" s="3"/>
      <c r="T430" s="1"/>
    </row>
    <row r="431" spans="1:20" x14ac:dyDescent="0.55000000000000004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3"/>
      <c r="R431" s="3"/>
      <c r="S431" s="3"/>
      <c r="T431" s="1"/>
    </row>
    <row r="432" spans="1:20" x14ac:dyDescent="0.55000000000000004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3"/>
      <c r="R432" s="3"/>
      <c r="S432" s="3"/>
      <c r="T432" s="1"/>
    </row>
    <row r="433" spans="1:20" x14ac:dyDescent="0.55000000000000004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3"/>
      <c r="R433" s="3"/>
      <c r="S433" s="3"/>
      <c r="T433" s="1"/>
    </row>
    <row r="434" spans="1:20" x14ac:dyDescent="0.5500000000000000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3"/>
      <c r="R434" s="3"/>
      <c r="S434" s="3"/>
      <c r="T434" s="1"/>
    </row>
    <row r="435" spans="1:20" x14ac:dyDescent="0.55000000000000004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3"/>
      <c r="R435" s="3"/>
      <c r="S435" s="3"/>
      <c r="T435" s="1"/>
    </row>
    <row r="436" spans="1:20" x14ac:dyDescent="0.55000000000000004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3"/>
      <c r="R436" s="3"/>
      <c r="S436" s="3"/>
      <c r="T436" s="1"/>
    </row>
    <row r="437" spans="1:20" x14ac:dyDescent="0.55000000000000004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3"/>
      <c r="R437" s="3"/>
      <c r="S437" s="3"/>
      <c r="T437" s="1"/>
    </row>
    <row r="438" spans="1:20" x14ac:dyDescent="0.55000000000000004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3"/>
      <c r="R438" s="3"/>
      <c r="S438" s="3"/>
      <c r="T438" s="1"/>
    </row>
    <row r="439" spans="1:20" x14ac:dyDescent="0.55000000000000004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3"/>
      <c r="R439" s="3"/>
      <c r="S439" s="3"/>
      <c r="T439" s="1"/>
    </row>
    <row r="440" spans="1:20" x14ac:dyDescent="0.55000000000000004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3"/>
      <c r="R440" s="3"/>
      <c r="S440" s="3"/>
      <c r="T440" s="1"/>
    </row>
    <row r="441" spans="1:20" x14ac:dyDescent="0.55000000000000004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3"/>
      <c r="R441" s="3"/>
      <c r="S441" s="3"/>
      <c r="T441" s="1"/>
    </row>
    <row r="442" spans="1:20" x14ac:dyDescent="0.55000000000000004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3"/>
      <c r="R442" s="3"/>
      <c r="S442" s="3"/>
      <c r="T442" s="1"/>
    </row>
    <row r="443" spans="1:20" x14ac:dyDescent="0.55000000000000004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3"/>
      <c r="R443" s="3"/>
      <c r="S443" s="3"/>
      <c r="T443" s="1"/>
    </row>
    <row r="444" spans="1:20" x14ac:dyDescent="0.5500000000000000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3"/>
      <c r="R444" s="3"/>
      <c r="S444" s="3"/>
      <c r="T444" s="1"/>
    </row>
    <row r="445" spans="1:20" x14ac:dyDescent="0.55000000000000004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3"/>
      <c r="R445" s="3"/>
      <c r="S445" s="3"/>
      <c r="T445" s="1"/>
    </row>
    <row r="446" spans="1:20" x14ac:dyDescent="0.55000000000000004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3"/>
      <c r="R446" s="3"/>
      <c r="S446" s="3"/>
      <c r="T446" s="1"/>
    </row>
    <row r="447" spans="1:20" x14ac:dyDescent="0.55000000000000004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3"/>
      <c r="R447" s="3"/>
      <c r="S447" s="3"/>
      <c r="T447" s="1"/>
    </row>
    <row r="448" spans="1:20" x14ac:dyDescent="0.55000000000000004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3"/>
      <c r="R448" s="3"/>
      <c r="S448" s="3"/>
      <c r="T448" s="1"/>
    </row>
    <row r="449" spans="1:20" x14ac:dyDescent="0.55000000000000004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3"/>
      <c r="R449" s="3"/>
      <c r="S449" s="3"/>
      <c r="T449" s="1"/>
    </row>
    <row r="450" spans="1:20" x14ac:dyDescent="0.55000000000000004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3"/>
      <c r="R450" s="3"/>
      <c r="S450" s="3"/>
      <c r="T450" s="1"/>
    </row>
    <row r="451" spans="1:20" x14ac:dyDescent="0.55000000000000004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3"/>
      <c r="R451" s="3"/>
      <c r="S451" s="3"/>
      <c r="T451" s="1"/>
    </row>
    <row r="452" spans="1:20" x14ac:dyDescent="0.55000000000000004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3"/>
      <c r="R452" s="3"/>
      <c r="S452" s="3"/>
      <c r="T452" s="1"/>
    </row>
    <row r="453" spans="1:20" x14ac:dyDescent="0.55000000000000004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3"/>
      <c r="R453" s="3"/>
      <c r="S453" s="3"/>
      <c r="T453" s="1"/>
    </row>
    <row r="454" spans="1:20" x14ac:dyDescent="0.5500000000000000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3"/>
      <c r="R454" s="3"/>
      <c r="S454" s="3"/>
      <c r="T454" s="1"/>
    </row>
    <row r="455" spans="1:20" x14ac:dyDescent="0.55000000000000004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3"/>
      <c r="R455" s="3"/>
      <c r="S455" s="3"/>
      <c r="T455" s="1"/>
    </row>
    <row r="456" spans="1:20" x14ac:dyDescent="0.55000000000000004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3"/>
      <c r="R456" s="3"/>
      <c r="S456" s="3"/>
      <c r="T456" s="1"/>
    </row>
    <row r="457" spans="1:20" x14ac:dyDescent="0.55000000000000004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3"/>
      <c r="R457" s="3"/>
      <c r="S457" s="3"/>
      <c r="T457" s="1"/>
    </row>
    <row r="458" spans="1:20" x14ac:dyDescent="0.55000000000000004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3"/>
      <c r="R458" s="3"/>
      <c r="S458" s="3"/>
      <c r="T458" s="1"/>
    </row>
    <row r="459" spans="1:20" x14ac:dyDescent="0.55000000000000004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3"/>
      <c r="R459" s="3"/>
      <c r="S459" s="3"/>
      <c r="T459" s="1"/>
    </row>
    <row r="460" spans="1:20" x14ac:dyDescent="0.55000000000000004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3"/>
      <c r="R460" s="3"/>
      <c r="S460" s="3"/>
      <c r="T460" s="1"/>
    </row>
    <row r="461" spans="1:20" x14ac:dyDescent="0.55000000000000004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3"/>
      <c r="R461" s="3"/>
      <c r="S461" s="3"/>
      <c r="T461" s="1"/>
    </row>
    <row r="462" spans="1:20" x14ac:dyDescent="0.55000000000000004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3"/>
      <c r="R462" s="3"/>
      <c r="S462" s="3"/>
      <c r="T462" s="1"/>
    </row>
    <row r="463" spans="1:20" x14ac:dyDescent="0.55000000000000004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3"/>
      <c r="R463" s="3"/>
      <c r="S463" s="3"/>
      <c r="T463" s="1"/>
    </row>
    <row r="464" spans="1:20" x14ac:dyDescent="0.5500000000000000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3"/>
      <c r="R464" s="3"/>
      <c r="S464" s="3"/>
      <c r="T464" s="1"/>
    </row>
    <row r="465" spans="1:20" x14ac:dyDescent="0.55000000000000004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3"/>
      <c r="R465" s="3"/>
      <c r="S465" s="3"/>
      <c r="T465" s="1"/>
    </row>
    <row r="466" spans="1:20" x14ac:dyDescent="0.55000000000000004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3"/>
      <c r="R466" s="3"/>
      <c r="S466" s="3"/>
      <c r="T466" s="1"/>
    </row>
    <row r="467" spans="1:20" x14ac:dyDescent="0.55000000000000004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3"/>
      <c r="R467" s="3"/>
      <c r="S467" s="3"/>
      <c r="T467" s="1"/>
    </row>
    <row r="468" spans="1:20" x14ac:dyDescent="0.55000000000000004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3"/>
      <c r="R468" s="3"/>
      <c r="S468" s="3"/>
      <c r="T468" s="1"/>
    </row>
    <row r="469" spans="1:20" x14ac:dyDescent="0.55000000000000004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3"/>
      <c r="R469" s="3"/>
      <c r="S469" s="3"/>
      <c r="T469" s="1"/>
    </row>
    <row r="470" spans="1:20" x14ac:dyDescent="0.55000000000000004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3"/>
      <c r="R470" s="3"/>
      <c r="S470" s="3"/>
      <c r="T470" s="1"/>
    </row>
    <row r="471" spans="1:20" x14ac:dyDescent="0.55000000000000004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3"/>
      <c r="R471" s="3"/>
      <c r="S471" s="3"/>
      <c r="T471" s="1"/>
    </row>
    <row r="472" spans="1:20" x14ac:dyDescent="0.55000000000000004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3"/>
      <c r="R472" s="3"/>
      <c r="S472" s="3"/>
      <c r="T472" s="1"/>
    </row>
    <row r="473" spans="1:20" x14ac:dyDescent="0.55000000000000004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3"/>
      <c r="R473" s="3"/>
      <c r="S473" s="3"/>
      <c r="T473" s="1"/>
    </row>
    <row r="474" spans="1:20" x14ac:dyDescent="0.5500000000000000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3"/>
      <c r="R474" s="3"/>
      <c r="S474" s="3"/>
      <c r="T474" s="1"/>
    </row>
    <row r="475" spans="1:20" x14ac:dyDescent="0.55000000000000004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3"/>
      <c r="R475" s="3"/>
      <c r="S475" s="3"/>
      <c r="T475" s="1"/>
    </row>
    <row r="476" spans="1:20" x14ac:dyDescent="0.55000000000000004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3"/>
      <c r="R476" s="3"/>
      <c r="S476" s="3"/>
      <c r="T476" s="1"/>
    </row>
    <row r="477" spans="1:20" x14ac:dyDescent="0.55000000000000004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3"/>
      <c r="R477" s="3"/>
      <c r="S477" s="3"/>
      <c r="T477" s="1"/>
    </row>
    <row r="478" spans="1:20" x14ac:dyDescent="0.55000000000000004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3"/>
      <c r="R478" s="3"/>
      <c r="S478" s="3"/>
      <c r="T478" s="1"/>
    </row>
    <row r="479" spans="1:20" x14ac:dyDescent="0.55000000000000004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3"/>
      <c r="R479" s="3"/>
      <c r="S479" s="3"/>
      <c r="T479" s="1"/>
    </row>
    <row r="480" spans="1:20" x14ac:dyDescent="0.55000000000000004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3"/>
      <c r="R480" s="3"/>
      <c r="S480" s="3"/>
      <c r="T480" s="1"/>
    </row>
    <row r="481" spans="1:20" x14ac:dyDescent="0.55000000000000004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3"/>
      <c r="R481" s="3"/>
      <c r="S481" s="3"/>
      <c r="T481" s="1"/>
    </row>
    <row r="482" spans="1:20" x14ac:dyDescent="0.55000000000000004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3"/>
      <c r="R482" s="3"/>
      <c r="S482" s="3"/>
      <c r="T482" s="1"/>
    </row>
    <row r="483" spans="1:20" x14ac:dyDescent="0.55000000000000004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3"/>
      <c r="R483" s="3"/>
      <c r="S483" s="3"/>
      <c r="T483" s="1"/>
    </row>
    <row r="484" spans="1:20" x14ac:dyDescent="0.5500000000000000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3"/>
      <c r="R484" s="3"/>
      <c r="S484" s="3"/>
      <c r="T484" s="1"/>
    </row>
    <row r="485" spans="1:20" x14ac:dyDescent="0.55000000000000004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3"/>
      <c r="R485" s="3"/>
      <c r="S485" s="3"/>
      <c r="T485" s="1"/>
    </row>
    <row r="486" spans="1:20" x14ac:dyDescent="0.55000000000000004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3"/>
      <c r="R486" s="3"/>
      <c r="S486" s="3"/>
      <c r="T486" s="1"/>
    </row>
    <row r="487" spans="1:20" x14ac:dyDescent="0.55000000000000004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3"/>
      <c r="R487" s="3"/>
      <c r="S487" s="3"/>
      <c r="T487" s="1"/>
    </row>
    <row r="488" spans="1:20" x14ac:dyDescent="0.55000000000000004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3"/>
      <c r="R488" s="3"/>
      <c r="S488" s="3"/>
      <c r="T488" s="1"/>
    </row>
    <row r="489" spans="1:20" x14ac:dyDescent="0.55000000000000004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3"/>
      <c r="R489" s="3"/>
      <c r="S489" s="3"/>
      <c r="T489" s="1"/>
    </row>
    <row r="490" spans="1:20" x14ac:dyDescent="0.55000000000000004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3"/>
      <c r="R490" s="3"/>
      <c r="S490" s="3"/>
      <c r="T490" s="1"/>
    </row>
    <row r="491" spans="1:20" x14ac:dyDescent="0.55000000000000004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3"/>
      <c r="R491" s="3"/>
      <c r="S491" s="3"/>
      <c r="T491" s="1"/>
    </row>
    <row r="492" spans="1:20" x14ac:dyDescent="0.55000000000000004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3"/>
      <c r="R492" s="3"/>
      <c r="S492" s="3"/>
      <c r="T492" s="1"/>
    </row>
    <row r="493" spans="1:20" x14ac:dyDescent="0.55000000000000004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3"/>
      <c r="R493" s="3"/>
      <c r="S493" s="3"/>
      <c r="T493" s="1"/>
    </row>
    <row r="494" spans="1:20" x14ac:dyDescent="0.5500000000000000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3"/>
      <c r="R494" s="3"/>
      <c r="S494" s="3"/>
      <c r="T494" s="1"/>
    </row>
    <row r="495" spans="1:20" x14ac:dyDescent="0.55000000000000004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3"/>
      <c r="R495" s="3"/>
      <c r="S495" s="3"/>
      <c r="T495" s="1"/>
    </row>
    <row r="496" spans="1:20" x14ac:dyDescent="0.55000000000000004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3"/>
      <c r="R496" s="3"/>
      <c r="S496" s="3"/>
      <c r="T496" s="1"/>
    </row>
    <row r="497" spans="1:20" x14ac:dyDescent="0.55000000000000004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3"/>
      <c r="R497" s="3"/>
      <c r="S497" s="3"/>
      <c r="T497" s="1"/>
    </row>
    <row r="498" spans="1:20" x14ac:dyDescent="0.55000000000000004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3"/>
      <c r="R498" s="3"/>
      <c r="S498" s="3"/>
      <c r="T498" s="1"/>
    </row>
    <row r="499" spans="1:20" x14ac:dyDescent="0.55000000000000004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3"/>
      <c r="R499" s="3"/>
      <c r="S499" s="3"/>
      <c r="T499" s="1"/>
    </row>
    <row r="500" spans="1:20" x14ac:dyDescent="0.55000000000000004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3"/>
      <c r="R500" s="3"/>
      <c r="S500" s="3"/>
      <c r="T500" s="1"/>
    </row>
    <row r="501" spans="1:20" x14ac:dyDescent="0.55000000000000004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3"/>
      <c r="R501" s="3"/>
      <c r="S501" s="3"/>
      <c r="T501" s="1"/>
    </row>
    <row r="502" spans="1:20" x14ac:dyDescent="0.55000000000000004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3"/>
      <c r="R502" s="3"/>
      <c r="S502" s="3"/>
      <c r="T502" s="1"/>
    </row>
    <row r="503" spans="1:20" x14ac:dyDescent="0.55000000000000004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3"/>
      <c r="R503" s="3"/>
      <c r="S503" s="3"/>
      <c r="T503" s="1"/>
    </row>
    <row r="504" spans="1:20" x14ac:dyDescent="0.550000000000000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3"/>
      <c r="R504" s="3"/>
      <c r="S504" s="3"/>
      <c r="T504" s="1"/>
    </row>
    <row r="505" spans="1:20" x14ac:dyDescent="0.55000000000000004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3"/>
      <c r="R505" s="3"/>
      <c r="S505" s="3"/>
      <c r="T505" s="1"/>
    </row>
    <row r="506" spans="1:20" x14ac:dyDescent="0.55000000000000004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3"/>
      <c r="R506" s="3"/>
      <c r="S506" s="3"/>
      <c r="T506" s="1"/>
    </row>
    <row r="507" spans="1:20" x14ac:dyDescent="0.55000000000000004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3"/>
      <c r="R507" s="3"/>
      <c r="S507" s="3"/>
      <c r="T507" s="1"/>
    </row>
    <row r="508" spans="1:20" x14ac:dyDescent="0.55000000000000004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3"/>
      <c r="R508" s="3"/>
      <c r="S508" s="3"/>
      <c r="T508" s="1"/>
    </row>
    <row r="509" spans="1:20" x14ac:dyDescent="0.55000000000000004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3"/>
      <c r="R509" s="3"/>
      <c r="S509" s="3"/>
      <c r="T509" s="1"/>
    </row>
    <row r="510" spans="1:20" x14ac:dyDescent="0.55000000000000004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3"/>
      <c r="R510" s="3"/>
      <c r="S510" s="3"/>
      <c r="T510" s="1"/>
    </row>
    <row r="511" spans="1:20" x14ac:dyDescent="0.55000000000000004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3"/>
      <c r="R511" s="3"/>
      <c r="S511" s="3"/>
      <c r="T511" s="1"/>
    </row>
    <row r="512" spans="1:20" x14ac:dyDescent="0.55000000000000004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3"/>
      <c r="R512" s="3"/>
      <c r="S512" s="3"/>
      <c r="T512" s="1"/>
    </row>
    <row r="513" spans="1:20" x14ac:dyDescent="0.55000000000000004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3"/>
      <c r="R513" s="3"/>
      <c r="S513" s="3"/>
      <c r="T513" s="1"/>
    </row>
    <row r="514" spans="1:20" x14ac:dyDescent="0.5500000000000000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3"/>
      <c r="R514" s="3"/>
      <c r="S514" s="3"/>
      <c r="T514" s="1"/>
    </row>
    <row r="515" spans="1:20" x14ac:dyDescent="0.55000000000000004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3"/>
      <c r="R515" s="3"/>
      <c r="S515" s="3"/>
      <c r="T515" s="1"/>
    </row>
    <row r="516" spans="1:20" x14ac:dyDescent="0.55000000000000004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3"/>
      <c r="R516" s="3"/>
      <c r="S516" s="3"/>
      <c r="T516" s="1"/>
    </row>
    <row r="517" spans="1:20" x14ac:dyDescent="0.55000000000000004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3"/>
      <c r="R517" s="3"/>
      <c r="S517" s="3"/>
      <c r="T517" s="1"/>
    </row>
    <row r="518" spans="1:20" x14ac:dyDescent="0.55000000000000004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3"/>
      <c r="R518" s="3"/>
      <c r="S518" s="3"/>
      <c r="T518" s="1"/>
    </row>
    <row r="519" spans="1:20" x14ac:dyDescent="0.55000000000000004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3"/>
      <c r="R519" s="3"/>
      <c r="S519" s="3"/>
      <c r="T519" s="1"/>
    </row>
    <row r="520" spans="1:20" x14ac:dyDescent="0.55000000000000004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3"/>
      <c r="R520" s="3"/>
      <c r="S520" s="3"/>
      <c r="T520" s="1"/>
    </row>
    <row r="521" spans="1:20" x14ac:dyDescent="0.55000000000000004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3"/>
      <c r="R521" s="3"/>
      <c r="S521" s="3"/>
      <c r="T521" s="1"/>
    </row>
    <row r="522" spans="1:20" x14ac:dyDescent="0.55000000000000004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3"/>
      <c r="R522" s="3"/>
      <c r="S522" s="3"/>
      <c r="T522" s="1"/>
    </row>
    <row r="523" spans="1:20" x14ac:dyDescent="0.55000000000000004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3"/>
      <c r="R523" s="3"/>
      <c r="S523" s="3"/>
      <c r="T523" s="1"/>
    </row>
    <row r="524" spans="1:20" x14ac:dyDescent="0.5500000000000000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3"/>
      <c r="R524" s="3"/>
      <c r="S524" s="3"/>
      <c r="T524" s="1"/>
    </row>
    <row r="525" spans="1:20" x14ac:dyDescent="0.55000000000000004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3"/>
      <c r="R525" s="3"/>
      <c r="S525" s="3"/>
      <c r="T525" s="1"/>
    </row>
    <row r="526" spans="1:20" x14ac:dyDescent="0.55000000000000004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3"/>
      <c r="R526" s="3"/>
      <c r="S526" s="3"/>
      <c r="T526" s="1"/>
    </row>
    <row r="527" spans="1:20" x14ac:dyDescent="0.55000000000000004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3"/>
      <c r="R527" s="3"/>
      <c r="S527" s="3"/>
      <c r="T527" s="1"/>
    </row>
    <row r="528" spans="1:20" x14ac:dyDescent="0.55000000000000004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3"/>
      <c r="R528" s="3"/>
      <c r="S528" s="3"/>
      <c r="T528" s="1"/>
    </row>
    <row r="529" spans="1:20" x14ac:dyDescent="0.55000000000000004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3"/>
      <c r="R529" s="3"/>
      <c r="S529" s="3"/>
      <c r="T529" s="1"/>
    </row>
    <row r="530" spans="1:20" x14ac:dyDescent="0.55000000000000004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3"/>
      <c r="R530" s="3"/>
      <c r="S530" s="3"/>
      <c r="T530" s="1"/>
    </row>
    <row r="531" spans="1:20" x14ac:dyDescent="0.55000000000000004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3"/>
      <c r="R531" s="3"/>
      <c r="S531" s="3"/>
      <c r="T531" s="1"/>
    </row>
    <row r="532" spans="1:20" x14ac:dyDescent="0.55000000000000004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3"/>
      <c r="R532" s="3"/>
      <c r="S532" s="3"/>
      <c r="T532" s="1"/>
    </row>
    <row r="533" spans="1:20" x14ac:dyDescent="0.55000000000000004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3"/>
      <c r="R533" s="3"/>
      <c r="S533" s="3"/>
      <c r="T533" s="1"/>
    </row>
    <row r="534" spans="1:20" x14ac:dyDescent="0.5500000000000000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3"/>
      <c r="R534" s="3"/>
      <c r="S534" s="3"/>
      <c r="T534" s="1"/>
    </row>
    <row r="535" spans="1:20" x14ac:dyDescent="0.55000000000000004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3"/>
      <c r="R535" s="3"/>
      <c r="S535" s="3"/>
      <c r="T535" s="1"/>
    </row>
    <row r="536" spans="1:20" x14ac:dyDescent="0.55000000000000004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3"/>
      <c r="R536" s="3"/>
      <c r="S536" s="3"/>
      <c r="T536" s="1"/>
    </row>
    <row r="537" spans="1:20" x14ac:dyDescent="0.55000000000000004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3"/>
      <c r="R537" s="3"/>
      <c r="S537" s="3"/>
      <c r="T537" s="1"/>
    </row>
    <row r="538" spans="1:20" x14ac:dyDescent="0.55000000000000004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3"/>
      <c r="R538" s="3"/>
      <c r="S538" s="3"/>
      <c r="T538" s="1"/>
    </row>
    <row r="539" spans="1:20" x14ac:dyDescent="0.55000000000000004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3"/>
      <c r="R539" s="3"/>
      <c r="S539" s="3"/>
      <c r="T539" s="1"/>
    </row>
    <row r="540" spans="1:20" x14ac:dyDescent="0.55000000000000004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3"/>
      <c r="R540" s="3"/>
      <c r="S540" s="3"/>
      <c r="T540" s="1"/>
    </row>
    <row r="541" spans="1:20" x14ac:dyDescent="0.55000000000000004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3"/>
      <c r="R541" s="3"/>
      <c r="S541" s="3"/>
      <c r="T541" s="1"/>
    </row>
    <row r="542" spans="1:20" x14ac:dyDescent="0.55000000000000004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3"/>
      <c r="R542" s="3"/>
      <c r="S542" s="3"/>
      <c r="T542" s="1"/>
    </row>
    <row r="543" spans="1:20" x14ac:dyDescent="0.55000000000000004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3"/>
      <c r="R543" s="3"/>
      <c r="S543" s="3"/>
      <c r="T543" s="1"/>
    </row>
    <row r="544" spans="1:20" x14ac:dyDescent="0.5500000000000000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3"/>
      <c r="R544" s="3"/>
      <c r="S544" s="3"/>
      <c r="T544" s="1"/>
    </row>
    <row r="545" spans="1:20" x14ac:dyDescent="0.55000000000000004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3"/>
      <c r="R545" s="3"/>
      <c r="S545" s="3"/>
      <c r="T545" s="1"/>
    </row>
    <row r="546" spans="1:20" x14ac:dyDescent="0.55000000000000004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3"/>
      <c r="R546" s="3"/>
      <c r="S546" s="3"/>
      <c r="T546" s="1"/>
    </row>
    <row r="547" spans="1:20" x14ac:dyDescent="0.55000000000000004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3"/>
      <c r="R547" s="3"/>
      <c r="S547" s="3"/>
      <c r="T547" s="1"/>
    </row>
    <row r="548" spans="1:20" x14ac:dyDescent="0.55000000000000004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3"/>
      <c r="R548" s="3"/>
      <c r="S548" s="3"/>
      <c r="T548" s="1"/>
    </row>
    <row r="549" spans="1:20" x14ac:dyDescent="0.55000000000000004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3"/>
      <c r="R549" s="3"/>
      <c r="S549" s="3"/>
      <c r="T549" s="1"/>
    </row>
    <row r="550" spans="1:20" x14ac:dyDescent="0.55000000000000004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3"/>
      <c r="R550" s="3"/>
      <c r="S550" s="3"/>
      <c r="T550" s="1"/>
    </row>
    <row r="551" spans="1:20" x14ac:dyDescent="0.55000000000000004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3"/>
      <c r="R551" s="3"/>
      <c r="S551" s="3"/>
      <c r="T551" s="1"/>
    </row>
    <row r="552" spans="1:20" x14ac:dyDescent="0.55000000000000004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3"/>
      <c r="R552" s="3"/>
      <c r="S552" s="3"/>
      <c r="T552" s="1"/>
    </row>
    <row r="553" spans="1:20" x14ac:dyDescent="0.55000000000000004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3"/>
      <c r="R553" s="3"/>
      <c r="S553" s="3"/>
      <c r="T553" s="1"/>
    </row>
    <row r="554" spans="1:20" x14ac:dyDescent="0.5500000000000000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3"/>
      <c r="R554" s="3"/>
      <c r="S554" s="3"/>
      <c r="T554" s="1"/>
    </row>
    <row r="555" spans="1:20" x14ac:dyDescent="0.55000000000000004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3"/>
      <c r="R555" s="3"/>
      <c r="S555" s="3"/>
      <c r="T555" s="1"/>
    </row>
    <row r="556" spans="1:20" x14ac:dyDescent="0.55000000000000004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3"/>
      <c r="R556" s="3"/>
      <c r="S556" s="3"/>
      <c r="T556" s="1"/>
    </row>
    <row r="557" spans="1:20" x14ac:dyDescent="0.55000000000000004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3"/>
      <c r="R557" s="3"/>
      <c r="S557" s="3"/>
      <c r="T557" s="1"/>
    </row>
    <row r="558" spans="1:20" x14ac:dyDescent="0.55000000000000004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3"/>
      <c r="R558" s="3"/>
      <c r="S558" s="3"/>
      <c r="T558" s="1"/>
    </row>
    <row r="559" spans="1:20" x14ac:dyDescent="0.55000000000000004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3"/>
      <c r="R559" s="3"/>
      <c r="S559" s="3"/>
      <c r="T559" s="1"/>
    </row>
    <row r="560" spans="1:20" x14ac:dyDescent="0.55000000000000004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3"/>
      <c r="R560" s="3"/>
      <c r="S560" s="3"/>
      <c r="T560" s="1"/>
    </row>
    <row r="561" spans="1:20" x14ac:dyDescent="0.55000000000000004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3"/>
      <c r="R561" s="3"/>
      <c r="S561" s="3"/>
      <c r="T561" s="1"/>
    </row>
    <row r="562" spans="1:20" x14ac:dyDescent="0.55000000000000004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3"/>
      <c r="R562" s="3"/>
      <c r="S562" s="3"/>
      <c r="T562" s="1"/>
    </row>
    <row r="563" spans="1:20" x14ac:dyDescent="0.55000000000000004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3"/>
      <c r="R563" s="3"/>
      <c r="S563" s="3"/>
      <c r="T563" s="1"/>
    </row>
    <row r="564" spans="1:20" x14ac:dyDescent="0.5500000000000000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3"/>
      <c r="R564" s="3"/>
      <c r="S564" s="3"/>
      <c r="T564" s="1"/>
    </row>
    <row r="565" spans="1:20" x14ac:dyDescent="0.55000000000000004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3"/>
      <c r="R565" s="3"/>
      <c r="S565" s="3"/>
      <c r="T565" s="1"/>
    </row>
    <row r="566" spans="1:20" x14ac:dyDescent="0.55000000000000004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3"/>
      <c r="R566" s="3"/>
      <c r="S566" s="3"/>
      <c r="T566" s="1"/>
    </row>
    <row r="567" spans="1:20" x14ac:dyDescent="0.55000000000000004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3"/>
      <c r="R567" s="3"/>
      <c r="S567" s="3"/>
      <c r="T567" s="1"/>
    </row>
    <row r="568" spans="1:20" x14ac:dyDescent="0.55000000000000004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3"/>
      <c r="R568" s="3"/>
      <c r="S568" s="3"/>
      <c r="T568" s="1"/>
    </row>
    <row r="569" spans="1:20" x14ac:dyDescent="0.55000000000000004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3"/>
      <c r="R569" s="3"/>
      <c r="S569" s="3"/>
      <c r="T569" s="1"/>
    </row>
    <row r="570" spans="1:20" x14ac:dyDescent="0.55000000000000004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3"/>
      <c r="R570" s="3"/>
      <c r="S570" s="3"/>
      <c r="T570" s="1"/>
    </row>
    <row r="571" spans="1:20" x14ac:dyDescent="0.55000000000000004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3"/>
      <c r="R571" s="3"/>
      <c r="S571" s="3"/>
      <c r="T571" s="1"/>
    </row>
    <row r="572" spans="1:20" x14ac:dyDescent="0.55000000000000004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3"/>
      <c r="R572" s="3"/>
      <c r="S572" s="3"/>
      <c r="T572" s="1"/>
    </row>
    <row r="573" spans="1:20" x14ac:dyDescent="0.55000000000000004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3"/>
      <c r="R573" s="3"/>
      <c r="S573" s="3"/>
      <c r="T573" s="1"/>
    </row>
    <row r="574" spans="1:20" x14ac:dyDescent="0.5500000000000000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3"/>
      <c r="R574" s="3"/>
      <c r="S574" s="3"/>
      <c r="T574" s="1"/>
    </row>
    <row r="575" spans="1:20" x14ac:dyDescent="0.55000000000000004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3"/>
      <c r="R575" s="3"/>
      <c r="S575" s="3"/>
      <c r="T575" s="1"/>
    </row>
    <row r="576" spans="1:20" x14ac:dyDescent="0.55000000000000004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3"/>
      <c r="R576" s="3"/>
      <c r="S576" s="3"/>
      <c r="T576" s="1"/>
    </row>
    <row r="577" spans="1:20" x14ac:dyDescent="0.55000000000000004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3"/>
      <c r="R577" s="3"/>
      <c r="S577" s="3"/>
      <c r="T577" s="1"/>
    </row>
    <row r="578" spans="1:20" x14ac:dyDescent="0.55000000000000004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3"/>
      <c r="R578" s="3"/>
      <c r="S578" s="3"/>
      <c r="T578" s="1"/>
    </row>
    <row r="579" spans="1:20" x14ac:dyDescent="0.55000000000000004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3"/>
      <c r="R579" s="3"/>
      <c r="S579" s="3"/>
      <c r="T579" s="1"/>
    </row>
    <row r="580" spans="1:20" x14ac:dyDescent="0.55000000000000004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3"/>
      <c r="R580" s="3"/>
      <c r="S580" s="3"/>
      <c r="T580" s="1"/>
    </row>
    <row r="581" spans="1:20" x14ac:dyDescent="0.55000000000000004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3"/>
      <c r="R581" s="3"/>
      <c r="S581" s="3"/>
      <c r="T581" s="1"/>
    </row>
    <row r="582" spans="1:20" x14ac:dyDescent="0.55000000000000004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3"/>
      <c r="R582" s="3"/>
      <c r="S582" s="3"/>
      <c r="T582" s="1"/>
    </row>
    <row r="583" spans="1:20" x14ac:dyDescent="0.55000000000000004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3"/>
      <c r="R583" s="3"/>
      <c r="S583" s="3"/>
      <c r="T583" s="1"/>
    </row>
    <row r="584" spans="1:20" x14ac:dyDescent="0.5500000000000000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3"/>
      <c r="R584" s="3"/>
      <c r="S584" s="3"/>
      <c r="T584" s="1"/>
    </row>
    <row r="585" spans="1:20" x14ac:dyDescent="0.55000000000000004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3"/>
      <c r="R585" s="3"/>
      <c r="S585" s="3"/>
      <c r="T585" s="1"/>
    </row>
    <row r="586" spans="1:20" x14ac:dyDescent="0.55000000000000004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3"/>
      <c r="R586" s="3"/>
      <c r="S586" s="3"/>
      <c r="T586" s="1"/>
    </row>
    <row r="587" spans="1:20" x14ac:dyDescent="0.55000000000000004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3"/>
      <c r="R587" s="3"/>
      <c r="S587" s="3"/>
      <c r="T587" s="1"/>
    </row>
    <row r="588" spans="1:20" x14ac:dyDescent="0.55000000000000004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3"/>
      <c r="R588" s="3"/>
      <c r="S588" s="3"/>
      <c r="T588" s="1"/>
    </row>
    <row r="589" spans="1:20" x14ac:dyDescent="0.55000000000000004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3"/>
      <c r="R589" s="3"/>
      <c r="S589" s="3"/>
      <c r="T589" s="1"/>
    </row>
    <row r="590" spans="1:20" x14ac:dyDescent="0.55000000000000004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3"/>
      <c r="R590" s="3"/>
      <c r="S590" s="3"/>
      <c r="T590" s="1"/>
    </row>
    <row r="591" spans="1:20" x14ac:dyDescent="0.55000000000000004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3"/>
      <c r="R591" s="3"/>
      <c r="S591" s="3"/>
      <c r="T591" s="1"/>
    </row>
    <row r="592" spans="1:20" x14ac:dyDescent="0.55000000000000004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3"/>
      <c r="R592" s="3"/>
      <c r="S592" s="3"/>
      <c r="T592" s="1"/>
    </row>
    <row r="593" spans="1:20" x14ac:dyDescent="0.55000000000000004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3"/>
      <c r="R593" s="3"/>
      <c r="S593" s="3"/>
      <c r="T593" s="1"/>
    </row>
    <row r="594" spans="1:20" x14ac:dyDescent="0.5500000000000000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3"/>
      <c r="R594" s="3"/>
      <c r="S594" s="3"/>
      <c r="T594" s="1"/>
    </row>
    <row r="595" spans="1:20" x14ac:dyDescent="0.55000000000000004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3"/>
      <c r="R595" s="3"/>
      <c r="S595" s="3"/>
      <c r="T595" s="1"/>
    </row>
    <row r="596" spans="1:20" x14ac:dyDescent="0.55000000000000004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3"/>
      <c r="R596" s="3"/>
      <c r="S596" s="3"/>
      <c r="T596" s="1"/>
    </row>
    <row r="597" spans="1:20" x14ac:dyDescent="0.55000000000000004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3"/>
      <c r="R597" s="3"/>
      <c r="S597" s="3"/>
      <c r="T597" s="1"/>
    </row>
    <row r="598" spans="1:20" x14ac:dyDescent="0.55000000000000004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3"/>
      <c r="R598" s="3"/>
      <c r="S598" s="3"/>
      <c r="T598" s="1"/>
    </row>
    <row r="599" spans="1:20" x14ac:dyDescent="0.55000000000000004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3"/>
      <c r="R599" s="3"/>
      <c r="S599" s="3"/>
      <c r="T599" s="1"/>
    </row>
    <row r="600" spans="1:20" x14ac:dyDescent="0.55000000000000004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3"/>
      <c r="R600" s="3"/>
      <c r="S600" s="3"/>
      <c r="T600" s="1"/>
    </row>
    <row r="601" spans="1:20" x14ac:dyDescent="0.55000000000000004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3"/>
      <c r="R601" s="3"/>
      <c r="S601" s="3"/>
      <c r="T601" s="1"/>
    </row>
    <row r="602" spans="1:20" x14ac:dyDescent="0.55000000000000004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3"/>
      <c r="R602" s="3"/>
      <c r="S602" s="3"/>
      <c r="T602" s="1"/>
    </row>
    <row r="603" spans="1:20" x14ac:dyDescent="0.55000000000000004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3"/>
      <c r="R603" s="3"/>
      <c r="S603" s="3"/>
      <c r="T603" s="1"/>
    </row>
    <row r="604" spans="1:20" x14ac:dyDescent="0.550000000000000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3"/>
      <c r="R604" s="3"/>
      <c r="S604" s="3"/>
      <c r="T604" s="1"/>
    </row>
    <row r="605" spans="1:20" x14ac:dyDescent="0.55000000000000004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3"/>
      <c r="R605" s="3"/>
      <c r="S605" s="3"/>
      <c r="T605" s="1"/>
    </row>
    <row r="606" spans="1:20" x14ac:dyDescent="0.55000000000000004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3"/>
      <c r="R606" s="3"/>
      <c r="S606" s="3"/>
      <c r="T606" s="1"/>
    </row>
    <row r="607" spans="1:20" x14ac:dyDescent="0.55000000000000004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3"/>
      <c r="R607" s="3"/>
      <c r="S607" s="3"/>
      <c r="T607" s="1"/>
    </row>
    <row r="608" spans="1:20" x14ac:dyDescent="0.55000000000000004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3"/>
      <c r="R608" s="3"/>
      <c r="S608" s="3"/>
      <c r="T608" s="1"/>
    </row>
    <row r="609" spans="1:20" x14ac:dyDescent="0.55000000000000004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3"/>
      <c r="R609" s="3"/>
      <c r="S609" s="3"/>
      <c r="T609" s="1"/>
    </row>
    <row r="610" spans="1:20" x14ac:dyDescent="0.55000000000000004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3"/>
      <c r="R610" s="3"/>
      <c r="S610" s="3"/>
      <c r="T610" s="1"/>
    </row>
    <row r="611" spans="1:20" x14ac:dyDescent="0.55000000000000004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3"/>
      <c r="R611" s="3"/>
      <c r="S611" s="3"/>
      <c r="T611" s="1"/>
    </row>
    <row r="612" spans="1:20" x14ac:dyDescent="0.55000000000000004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3"/>
      <c r="R612" s="3"/>
      <c r="S612" s="3"/>
      <c r="T612" s="1"/>
    </row>
    <row r="613" spans="1:20" x14ac:dyDescent="0.55000000000000004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3"/>
      <c r="R613" s="3"/>
      <c r="S613" s="3"/>
      <c r="T613" s="1"/>
    </row>
    <row r="614" spans="1:20" x14ac:dyDescent="0.5500000000000000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3"/>
      <c r="R614" s="3"/>
      <c r="S614" s="3"/>
      <c r="T614" s="1"/>
    </row>
    <row r="615" spans="1:20" x14ac:dyDescent="0.55000000000000004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3"/>
      <c r="R615" s="3"/>
      <c r="S615" s="3"/>
      <c r="T615" s="1"/>
    </row>
    <row r="616" spans="1:20" x14ac:dyDescent="0.55000000000000004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3"/>
      <c r="R616" s="3"/>
      <c r="S616" s="3"/>
      <c r="T616" s="1"/>
    </row>
    <row r="617" spans="1:20" x14ac:dyDescent="0.55000000000000004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3"/>
      <c r="R617" s="3"/>
      <c r="S617" s="3"/>
      <c r="T617" s="1"/>
    </row>
    <row r="618" spans="1:20" x14ac:dyDescent="0.55000000000000004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3"/>
      <c r="R618" s="3"/>
      <c r="S618" s="3"/>
      <c r="T618" s="1"/>
    </row>
    <row r="619" spans="1:20" x14ac:dyDescent="0.55000000000000004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3"/>
      <c r="R619" s="3"/>
      <c r="S619" s="3"/>
      <c r="T619" s="1"/>
    </row>
    <row r="620" spans="1:20" x14ac:dyDescent="0.55000000000000004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3"/>
      <c r="R620" s="3"/>
      <c r="S620" s="3"/>
      <c r="T620" s="1"/>
    </row>
    <row r="621" spans="1:20" x14ac:dyDescent="0.55000000000000004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3"/>
      <c r="R621" s="3"/>
      <c r="S621" s="3"/>
      <c r="T621" s="1"/>
    </row>
    <row r="622" spans="1:20" x14ac:dyDescent="0.55000000000000004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3"/>
      <c r="R622" s="3"/>
      <c r="S622" s="3"/>
      <c r="T622" s="1"/>
    </row>
    <row r="623" spans="1:20" x14ac:dyDescent="0.55000000000000004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3"/>
      <c r="R623" s="3"/>
      <c r="S623" s="3"/>
      <c r="T623" s="1"/>
    </row>
    <row r="624" spans="1:20" x14ac:dyDescent="0.5500000000000000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3"/>
      <c r="R624" s="3"/>
      <c r="S624" s="3"/>
      <c r="T624" s="1"/>
    </row>
    <row r="625" spans="1:20" x14ac:dyDescent="0.55000000000000004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3"/>
      <c r="R625" s="3"/>
      <c r="S625" s="3"/>
      <c r="T625" s="1"/>
    </row>
    <row r="626" spans="1:20" x14ac:dyDescent="0.55000000000000004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3"/>
      <c r="R626" s="3"/>
      <c r="S626" s="3"/>
      <c r="T626" s="1"/>
    </row>
    <row r="627" spans="1:20" x14ac:dyDescent="0.55000000000000004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3"/>
      <c r="R627" s="3"/>
      <c r="S627" s="3"/>
      <c r="T627" s="1"/>
    </row>
    <row r="628" spans="1:20" x14ac:dyDescent="0.55000000000000004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3"/>
      <c r="R628" s="3"/>
      <c r="S628" s="3"/>
      <c r="T628" s="1"/>
    </row>
    <row r="629" spans="1:20" x14ac:dyDescent="0.55000000000000004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3"/>
      <c r="R629" s="3"/>
      <c r="S629" s="3"/>
      <c r="T629" s="1"/>
    </row>
    <row r="630" spans="1:20" x14ac:dyDescent="0.55000000000000004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3"/>
      <c r="R630" s="3"/>
      <c r="S630" s="3"/>
      <c r="T630" s="1"/>
    </row>
    <row r="631" spans="1:20" x14ac:dyDescent="0.55000000000000004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3"/>
      <c r="R631" s="3"/>
      <c r="S631" s="3"/>
      <c r="T631" s="1"/>
    </row>
    <row r="632" spans="1:20" x14ac:dyDescent="0.55000000000000004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3"/>
      <c r="R632" s="3"/>
      <c r="S632" s="3"/>
      <c r="T632" s="1"/>
    </row>
    <row r="633" spans="1:20" x14ac:dyDescent="0.55000000000000004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3"/>
      <c r="R633" s="3"/>
      <c r="S633" s="3"/>
      <c r="T633" s="1"/>
    </row>
    <row r="634" spans="1:20" x14ac:dyDescent="0.5500000000000000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3"/>
      <c r="R634" s="3"/>
      <c r="S634" s="3"/>
      <c r="T634" s="1"/>
    </row>
    <row r="635" spans="1:20" x14ac:dyDescent="0.55000000000000004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3"/>
      <c r="R635" s="3"/>
      <c r="S635" s="3"/>
      <c r="T635" s="1"/>
    </row>
    <row r="636" spans="1:20" x14ac:dyDescent="0.55000000000000004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3"/>
      <c r="R636" s="3"/>
      <c r="S636" s="3"/>
      <c r="T636" s="1"/>
    </row>
    <row r="637" spans="1:20" x14ac:dyDescent="0.55000000000000004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3"/>
      <c r="R637" s="3"/>
      <c r="S637" s="3"/>
      <c r="T637" s="1"/>
    </row>
    <row r="638" spans="1:20" x14ac:dyDescent="0.55000000000000004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3"/>
      <c r="R638" s="3"/>
      <c r="S638" s="3"/>
      <c r="T638" s="1"/>
    </row>
    <row r="639" spans="1:20" x14ac:dyDescent="0.55000000000000004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3"/>
      <c r="R639" s="3"/>
      <c r="S639" s="3"/>
      <c r="T639" s="1"/>
    </row>
    <row r="640" spans="1:20" x14ac:dyDescent="0.55000000000000004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3"/>
      <c r="R640" s="3"/>
      <c r="S640" s="3"/>
      <c r="T640" s="1"/>
    </row>
    <row r="641" spans="1:20" x14ac:dyDescent="0.55000000000000004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3"/>
      <c r="R641" s="3"/>
      <c r="S641" s="3"/>
      <c r="T641" s="1"/>
    </row>
    <row r="642" spans="1:20" x14ac:dyDescent="0.55000000000000004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3"/>
      <c r="R642" s="3"/>
      <c r="S642" s="3"/>
      <c r="T642" s="1"/>
    </row>
    <row r="643" spans="1:20" x14ac:dyDescent="0.55000000000000004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3"/>
      <c r="R643" s="3"/>
      <c r="S643" s="3"/>
      <c r="T643" s="1"/>
    </row>
    <row r="644" spans="1:20" x14ac:dyDescent="0.5500000000000000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3"/>
      <c r="R644" s="3"/>
      <c r="S644" s="3"/>
      <c r="T644" s="1"/>
    </row>
    <row r="645" spans="1:20" x14ac:dyDescent="0.55000000000000004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3"/>
      <c r="R645" s="3"/>
      <c r="S645" s="3"/>
      <c r="T645" s="1"/>
    </row>
    <row r="646" spans="1:20" x14ac:dyDescent="0.55000000000000004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3"/>
      <c r="R646" s="3"/>
      <c r="S646" s="3"/>
      <c r="T646" s="1"/>
    </row>
    <row r="647" spans="1:20" x14ac:dyDescent="0.55000000000000004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3"/>
      <c r="R647" s="3"/>
      <c r="S647" s="3"/>
      <c r="T647" s="1"/>
    </row>
    <row r="648" spans="1:20" x14ac:dyDescent="0.55000000000000004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3"/>
      <c r="R648" s="3"/>
      <c r="S648" s="3"/>
      <c r="T648" s="1"/>
    </row>
    <row r="649" spans="1:20" x14ac:dyDescent="0.55000000000000004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3"/>
      <c r="R649" s="3"/>
      <c r="S649" s="3"/>
      <c r="T649" s="1"/>
    </row>
    <row r="650" spans="1:20" x14ac:dyDescent="0.55000000000000004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3"/>
      <c r="R650" s="3"/>
      <c r="S650" s="3"/>
      <c r="T650" s="1"/>
    </row>
    <row r="651" spans="1:20" x14ac:dyDescent="0.55000000000000004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3"/>
      <c r="R651" s="3"/>
      <c r="S651" s="3"/>
      <c r="T651" s="1"/>
    </row>
    <row r="652" spans="1:20" x14ac:dyDescent="0.55000000000000004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3"/>
      <c r="R652" s="3"/>
      <c r="S652" s="3"/>
      <c r="T652" s="1"/>
    </row>
    <row r="653" spans="1:20" x14ac:dyDescent="0.55000000000000004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3"/>
      <c r="R653" s="3"/>
      <c r="S653" s="3"/>
      <c r="T653" s="1"/>
    </row>
    <row r="654" spans="1:20" x14ac:dyDescent="0.5500000000000000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3"/>
      <c r="R654" s="3"/>
      <c r="S654" s="3"/>
      <c r="T654" s="1"/>
    </row>
    <row r="655" spans="1:20" x14ac:dyDescent="0.55000000000000004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3"/>
      <c r="R655" s="3"/>
      <c r="S655" s="3"/>
      <c r="T655" s="1"/>
    </row>
    <row r="656" spans="1:20" x14ac:dyDescent="0.55000000000000004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3"/>
      <c r="R656" s="3"/>
      <c r="S656" s="3"/>
      <c r="T656" s="1"/>
    </row>
    <row r="657" spans="1:20" x14ac:dyDescent="0.55000000000000004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3"/>
      <c r="R657" s="3"/>
      <c r="S657" s="3"/>
      <c r="T657" s="1"/>
    </row>
    <row r="658" spans="1:20" x14ac:dyDescent="0.55000000000000004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3"/>
      <c r="R658" s="3"/>
      <c r="S658" s="3"/>
      <c r="T658" s="1"/>
    </row>
    <row r="659" spans="1:20" x14ac:dyDescent="0.55000000000000004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3"/>
      <c r="R659" s="3"/>
      <c r="S659" s="3"/>
      <c r="T659" s="1"/>
    </row>
    <row r="660" spans="1:20" x14ac:dyDescent="0.55000000000000004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3"/>
      <c r="R660" s="3"/>
      <c r="S660" s="3"/>
      <c r="T660" s="1"/>
    </row>
    <row r="661" spans="1:20" x14ac:dyDescent="0.55000000000000004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3"/>
      <c r="R661" s="3"/>
      <c r="S661" s="3"/>
      <c r="T661" s="1"/>
    </row>
    <row r="662" spans="1:20" x14ac:dyDescent="0.55000000000000004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3"/>
      <c r="R662" s="3"/>
      <c r="S662" s="3"/>
      <c r="T662" s="1"/>
    </row>
    <row r="663" spans="1:20" x14ac:dyDescent="0.55000000000000004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3"/>
      <c r="R663" s="3"/>
      <c r="S663" s="3"/>
      <c r="T663" s="1"/>
    </row>
    <row r="664" spans="1:20" x14ac:dyDescent="0.5500000000000000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3"/>
      <c r="R664" s="3"/>
      <c r="S664" s="3"/>
      <c r="T664" s="1"/>
    </row>
    <row r="665" spans="1:20" x14ac:dyDescent="0.55000000000000004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3"/>
      <c r="R665" s="3"/>
      <c r="S665" s="3"/>
      <c r="T665" s="1"/>
    </row>
    <row r="666" spans="1:20" x14ac:dyDescent="0.55000000000000004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3"/>
      <c r="R666" s="3"/>
      <c r="S666" s="3"/>
      <c r="T666" s="1"/>
    </row>
    <row r="667" spans="1:20" x14ac:dyDescent="0.55000000000000004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3"/>
      <c r="R667" s="3"/>
      <c r="S667" s="3"/>
      <c r="T667" s="1"/>
    </row>
    <row r="668" spans="1:20" x14ac:dyDescent="0.55000000000000004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3"/>
      <c r="R668" s="3"/>
      <c r="S668" s="3"/>
      <c r="T668" s="1"/>
    </row>
    <row r="669" spans="1:20" x14ac:dyDescent="0.55000000000000004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3"/>
      <c r="R669" s="3"/>
      <c r="S669" s="3"/>
      <c r="T669" s="1"/>
    </row>
    <row r="670" spans="1:20" x14ac:dyDescent="0.55000000000000004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3"/>
      <c r="R670" s="3"/>
      <c r="S670" s="3"/>
      <c r="T670" s="1"/>
    </row>
    <row r="671" spans="1:20" x14ac:dyDescent="0.55000000000000004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3"/>
      <c r="R671" s="3"/>
      <c r="S671" s="3"/>
      <c r="T671" s="1"/>
    </row>
    <row r="672" spans="1:20" x14ac:dyDescent="0.55000000000000004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3"/>
      <c r="R672" s="3"/>
      <c r="S672" s="3"/>
      <c r="T672" s="1"/>
    </row>
    <row r="673" spans="1:20" x14ac:dyDescent="0.55000000000000004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3"/>
      <c r="R673" s="3"/>
      <c r="S673" s="3"/>
      <c r="T673" s="1"/>
    </row>
    <row r="674" spans="1:20" x14ac:dyDescent="0.5500000000000000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3"/>
      <c r="R674" s="3"/>
      <c r="S674" s="3"/>
      <c r="T674" s="1"/>
    </row>
    <row r="675" spans="1:20" x14ac:dyDescent="0.55000000000000004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3"/>
      <c r="R675" s="3"/>
      <c r="S675" s="3"/>
      <c r="T675" s="1"/>
    </row>
    <row r="676" spans="1:20" x14ac:dyDescent="0.55000000000000004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3"/>
      <c r="R676" s="3"/>
      <c r="S676" s="3"/>
      <c r="T676" s="1"/>
    </row>
    <row r="677" spans="1:20" x14ac:dyDescent="0.55000000000000004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3"/>
      <c r="R677" s="3"/>
      <c r="S677" s="3"/>
      <c r="T677" s="1"/>
    </row>
    <row r="678" spans="1:20" x14ac:dyDescent="0.55000000000000004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3"/>
      <c r="R678" s="3"/>
      <c r="S678" s="3"/>
      <c r="T678" s="1"/>
    </row>
    <row r="679" spans="1:20" x14ac:dyDescent="0.55000000000000004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3"/>
      <c r="R679" s="3"/>
      <c r="S679" s="3"/>
      <c r="T679" s="1"/>
    </row>
    <row r="680" spans="1:20" x14ac:dyDescent="0.55000000000000004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3"/>
      <c r="R680" s="3"/>
      <c r="S680" s="3"/>
      <c r="T680" s="1"/>
    </row>
    <row r="681" spans="1:20" x14ac:dyDescent="0.55000000000000004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3"/>
      <c r="R681" s="3"/>
      <c r="S681" s="3"/>
      <c r="T681" s="1"/>
    </row>
    <row r="682" spans="1:20" x14ac:dyDescent="0.55000000000000004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3"/>
      <c r="R682" s="3"/>
      <c r="S682" s="3"/>
      <c r="T682" s="1"/>
    </row>
    <row r="683" spans="1:20" x14ac:dyDescent="0.55000000000000004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3"/>
      <c r="R683" s="3"/>
      <c r="S683" s="3"/>
      <c r="T683" s="1"/>
    </row>
    <row r="684" spans="1:20" x14ac:dyDescent="0.5500000000000000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3"/>
      <c r="R684" s="3"/>
      <c r="S684" s="3"/>
      <c r="T684" s="1"/>
    </row>
    <row r="685" spans="1:20" x14ac:dyDescent="0.55000000000000004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3"/>
      <c r="R685" s="3"/>
      <c r="S685" s="3"/>
      <c r="T685" s="1"/>
    </row>
    <row r="686" spans="1:20" x14ac:dyDescent="0.55000000000000004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3"/>
      <c r="R686" s="3"/>
      <c r="S686" s="3"/>
      <c r="T686" s="1"/>
    </row>
    <row r="687" spans="1:20" x14ac:dyDescent="0.55000000000000004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3"/>
      <c r="R687" s="3"/>
      <c r="S687" s="3"/>
      <c r="T687" s="1"/>
    </row>
    <row r="688" spans="1:20" x14ac:dyDescent="0.55000000000000004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3"/>
      <c r="R688" s="3"/>
      <c r="S688" s="3"/>
      <c r="T688" s="1"/>
    </row>
    <row r="689" spans="1:20" x14ac:dyDescent="0.55000000000000004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3"/>
      <c r="R689" s="3"/>
      <c r="S689" s="3"/>
      <c r="T689" s="1"/>
    </row>
    <row r="690" spans="1:20" x14ac:dyDescent="0.55000000000000004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3"/>
      <c r="R690" s="3"/>
      <c r="S690" s="3"/>
      <c r="T690" s="1"/>
    </row>
    <row r="691" spans="1:20" x14ac:dyDescent="0.55000000000000004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3"/>
      <c r="R691" s="3"/>
      <c r="S691" s="3"/>
      <c r="T691" s="1"/>
    </row>
    <row r="692" spans="1:20" x14ac:dyDescent="0.55000000000000004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3"/>
      <c r="R692" s="3"/>
      <c r="S692" s="3"/>
      <c r="T692" s="1"/>
    </row>
    <row r="693" spans="1:20" x14ac:dyDescent="0.55000000000000004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3"/>
      <c r="R693" s="3"/>
      <c r="S693" s="3"/>
      <c r="T693" s="1"/>
    </row>
    <row r="694" spans="1:20" x14ac:dyDescent="0.5500000000000000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3"/>
      <c r="R694" s="3"/>
      <c r="S694" s="3"/>
      <c r="T694" s="1"/>
    </row>
    <row r="695" spans="1:20" x14ac:dyDescent="0.55000000000000004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3"/>
      <c r="R695" s="3"/>
      <c r="S695" s="3"/>
      <c r="T695" s="1"/>
    </row>
    <row r="696" spans="1:20" x14ac:dyDescent="0.55000000000000004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3"/>
      <c r="R696" s="3"/>
      <c r="S696" s="3"/>
      <c r="T696" s="1"/>
    </row>
    <row r="697" spans="1:20" x14ac:dyDescent="0.55000000000000004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3"/>
      <c r="R697" s="3"/>
      <c r="S697" s="3"/>
      <c r="T697" s="1"/>
    </row>
    <row r="698" spans="1:20" x14ac:dyDescent="0.55000000000000004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3"/>
      <c r="R698" s="3"/>
      <c r="S698" s="3"/>
      <c r="T698" s="1"/>
    </row>
    <row r="699" spans="1:20" x14ac:dyDescent="0.55000000000000004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3"/>
      <c r="R699" s="3"/>
      <c r="S699" s="3"/>
      <c r="T699" s="1"/>
    </row>
    <row r="700" spans="1:20" x14ac:dyDescent="0.55000000000000004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3"/>
      <c r="R700" s="3"/>
      <c r="S700" s="3"/>
      <c r="T700" s="1"/>
    </row>
    <row r="701" spans="1:20" x14ac:dyDescent="0.55000000000000004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3"/>
      <c r="R701" s="3"/>
      <c r="S701" s="3"/>
      <c r="T701" s="1"/>
    </row>
    <row r="702" spans="1:20" x14ac:dyDescent="0.55000000000000004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3"/>
      <c r="R702" s="3"/>
      <c r="S702" s="3"/>
      <c r="T702" s="1"/>
    </row>
    <row r="703" spans="1:20" x14ac:dyDescent="0.55000000000000004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3"/>
      <c r="R703" s="3"/>
      <c r="S703" s="3"/>
      <c r="T703" s="1"/>
    </row>
    <row r="704" spans="1:20" x14ac:dyDescent="0.550000000000000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3"/>
      <c r="R704" s="3"/>
      <c r="S704" s="3"/>
      <c r="T704" s="1"/>
    </row>
    <row r="705" spans="1:20" x14ac:dyDescent="0.55000000000000004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3"/>
      <c r="R705" s="3"/>
      <c r="S705" s="3"/>
      <c r="T705" s="1"/>
    </row>
    <row r="706" spans="1:20" x14ac:dyDescent="0.55000000000000004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3"/>
      <c r="R706" s="3"/>
      <c r="S706" s="3"/>
      <c r="T706" s="1"/>
    </row>
    <row r="707" spans="1:20" x14ac:dyDescent="0.55000000000000004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3"/>
      <c r="R707" s="3"/>
      <c r="S707" s="3"/>
      <c r="T707" s="1"/>
    </row>
    <row r="708" spans="1:20" x14ac:dyDescent="0.55000000000000004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3"/>
      <c r="R708" s="3"/>
      <c r="S708" s="3"/>
      <c r="T708" s="1"/>
    </row>
    <row r="709" spans="1:20" x14ac:dyDescent="0.55000000000000004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3"/>
      <c r="R709" s="3"/>
      <c r="S709" s="3"/>
      <c r="T709" s="1"/>
    </row>
    <row r="710" spans="1:20" x14ac:dyDescent="0.55000000000000004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3"/>
      <c r="R710" s="3"/>
      <c r="S710" s="3"/>
      <c r="T710" s="1"/>
    </row>
    <row r="711" spans="1:20" x14ac:dyDescent="0.55000000000000004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3"/>
      <c r="R711" s="3"/>
      <c r="S711" s="3"/>
      <c r="T711" s="1"/>
    </row>
    <row r="712" spans="1:20" x14ac:dyDescent="0.55000000000000004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3"/>
      <c r="R712" s="3"/>
      <c r="S712" s="3"/>
      <c r="T712" s="1"/>
    </row>
    <row r="713" spans="1:20" x14ac:dyDescent="0.55000000000000004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3"/>
      <c r="R713" s="3"/>
      <c r="S713" s="3"/>
      <c r="T713" s="1"/>
    </row>
    <row r="714" spans="1:20" x14ac:dyDescent="0.5500000000000000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3"/>
      <c r="R714" s="3"/>
      <c r="S714" s="3"/>
      <c r="T714" s="1"/>
    </row>
    <row r="715" spans="1:20" x14ac:dyDescent="0.55000000000000004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3"/>
      <c r="R715" s="3"/>
      <c r="S715" s="3"/>
      <c r="T715" s="1"/>
    </row>
    <row r="716" spans="1:20" x14ac:dyDescent="0.55000000000000004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3"/>
      <c r="R716" s="3"/>
      <c r="S716" s="3"/>
      <c r="T716" s="1"/>
    </row>
    <row r="717" spans="1:20" x14ac:dyDescent="0.55000000000000004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3"/>
      <c r="R717" s="3"/>
      <c r="S717" s="3"/>
      <c r="T717" s="1"/>
    </row>
    <row r="718" spans="1:20" x14ac:dyDescent="0.55000000000000004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3"/>
      <c r="R718" s="3"/>
      <c r="S718" s="3"/>
      <c r="T718" s="1"/>
    </row>
    <row r="719" spans="1:20" x14ac:dyDescent="0.55000000000000004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3"/>
      <c r="R719" s="3"/>
      <c r="S719" s="3"/>
      <c r="T719" s="1"/>
    </row>
    <row r="720" spans="1:20" x14ac:dyDescent="0.55000000000000004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3"/>
      <c r="R720" s="3"/>
      <c r="S720" s="3"/>
      <c r="T720" s="1"/>
    </row>
    <row r="721" spans="1:20" x14ac:dyDescent="0.55000000000000004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3"/>
      <c r="R721" s="3"/>
      <c r="S721" s="3"/>
      <c r="T721" s="1"/>
    </row>
    <row r="722" spans="1:20" x14ac:dyDescent="0.55000000000000004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3"/>
      <c r="R722" s="3"/>
      <c r="S722" s="3"/>
      <c r="T722" s="1"/>
    </row>
    <row r="723" spans="1:20" x14ac:dyDescent="0.55000000000000004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3"/>
      <c r="R723" s="3"/>
      <c r="S723" s="3"/>
      <c r="T723" s="1"/>
    </row>
    <row r="724" spans="1:20" x14ac:dyDescent="0.5500000000000000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3"/>
      <c r="R724" s="3"/>
      <c r="S724" s="3"/>
      <c r="T724" s="1"/>
    </row>
    <row r="725" spans="1:20" x14ac:dyDescent="0.55000000000000004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3"/>
      <c r="R725" s="3"/>
      <c r="S725" s="3"/>
      <c r="T725" s="1"/>
    </row>
    <row r="726" spans="1:20" x14ac:dyDescent="0.55000000000000004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3"/>
      <c r="R726" s="3"/>
      <c r="S726" s="3"/>
      <c r="T726" s="1"/>
    </row>
    <row r="727" spans="1:20" x14ac:dyDescent="0.55000000000000004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3"/>
      <c r="R727" s="3"/>
      <c r="S727" s="3"/>
      <c r="T727" s="1"/>
    </row>
    <row r="728" spans="1:20" x14ac:dyDescent="0.55000000000000004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3"/>
      <c r="R728" s="3"/>
      <c r="S728" s="3"/>
      <c r="T728" s="1"/>
    </row>
    <row r="729" spans="1:20" x14ac:dyDescent="0.55000000000000004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3"/>
      <c r="R729" s="3"/>
      <c r="S729" s="3"/>
      <c r="T729" s="1"/>
    </row>
    <row r="730" spans="1:20" x14ac:dyDescent="0.55000000000000004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3"/>
      <c r="R730" s="3"/>
      <c r="S730" s="3"/>
      <c r="T730" s="1"/>
    </row>
    <row r="731" spans="1:20" x14ac:dyDescent="0.55000000000000004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3"/>
      <c r="R731" s="3"/>
      <c r="S731" s="3"/>
      <c r="T731" s="1"/>
    </row>
    <row r="732" spans="1:20" x14ac:dyDescent="0.55000000000000004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3"/>
      <c r="R732" s="3"/>
      <c r="S732" s="3"/>
      <c r="T732" s="1"/>
    </row>
    <row r="733" spans="1:20" x14ac:dyDescent="0.55000000000000004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3"/>
      <c r="R733" s="3"/>
      <c r="S733" s="3"/>
      <c r="T733" s="1"/>
    </row>
    <row r="734" spans="1:20" x14ac:dyDescent="0.5500000000000000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3"/>
      <c r="R734" s="3"/>
      <c r="S734" s="3"/>
      <c r="T734" s="1"/>
    </row>
    <row r="735" spans="1:20" x14ac:dyDescent="0.55000000000000004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3"/>
      <c r="R735" s="3"/>
      <c r="S735" s="3"/>
      <c r="T735" s="1"/>
    </row>
    <row r="736" spans="1:20" x14ac:dyDescent="0.55000000000000004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3"/>
      <c r="R736" s="3"/>
      <c r="S736" s="3"/>
      <c r="T736" s="1"/>
    </row>
    <row r="737" spans="1:20" x14ac:dyDescent="0.55000000000000004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3"/>
      <c r="R737" s="3"/>
      <c r="S737" s="3"/>
      <c r="T737" s="1"/>
    </row>
    <row r="738" spans="1:20" x14ac:dyDescent="0.55000000000000004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3"/>
      <c r="R738" s="3"/>
      <c r="S738" s="3"/>
      <c r="T738" s="1"/>
    </row>
    <row r="739" spans="1:20" x14ac:dyDescent="0.55000000000000004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3"/>
      <c r="R739" s="3"/>
      <c r="S739" s="3"/>
      <c r="T739" s="1"/>
    </row>
    <row r="740" spans="1:20" x14ac:dyDescent="0.55000000000000004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3"/>
      <c r="R740" s="3"/>
      <c r="S740" s="3"/>
      <c r="T740" s="1"/>
    </row>
    <row r="741" spans="1:20" x14ac:dyDescent="0.55000000000000004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3"/>
      <c r="R741" s="3"/>
      <c r="S741" s="3"/>
      <c r="T741" s="1"/>
    </row>
    <row r="742" spans="1:20" x14ac:dyDescent="0.55000000000000004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3"/>
      <c r="R742" s="3"/>
      <c r="S742" s="3"/>
      <c r="T742" s="1"/>
    </row>
    <row r="743" spans="1:20" x14ac:dyDescent="0.55000000000000004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3"/>
      <c r="R743" s="3"/>
      <c r="S743" s="3"/>
      <c r="T743" s="1"/>
    </row>
    <row r="744" spans="1:20" x14ac:dyDescent="0.5500000000000000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3"/>
      <c r="R744" s="3"/>
      <c r="S744" s="3"/>
      <c r="T744" s="1"/>
    </row>
    <row r="745" spans="1:20" x14ac:dyDescent="0.55000000000000004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3"/>
      <c r="R745" s="3"/>
      <c r="S745" s="3"/>
      <c r="T745" s="1"/>
    </row>
    <row r="746" spans="1:20" x14ac:dyDescent="0.55000000000000004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3"/>
      <c r="R746" s="3"/>
      <c r="S746" s="3"/>
      <c r="T746" s="1"/>
    </row>
    <row r="747" spans="1:20" x14ac:dyDescent="0.55000000000000004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3"/>
      <c r="R747" s="3"/>
      <c r="S747" s="3"/>
      <c r="T747" s="1"/>
    </row>
    <row r="748" spans="1:20" x14ac:dyDescent="0.55000000000000004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3"/>
      <c r="R748" s="3"/>
      <c r="S748" s="3"/>
      <c r="T748" s="1"/>
    </row>
    <row r="749" spans="1:20" x14ac:dyDescent="0.55000000000000004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3"/>
      <c r="R749" s="3"/>
      <c r="S749" s="3"/>
      <c r="T749" s="1"/>
    </row>
    <row r="750" spans="1:20" x14ac:dyDescent="0.55000000000000004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3"/>
      <c r="R750" s="3"/>
      <c r="S750" s="3"/>
      <c r="T750" s="1"/>
    </row>
    <row r="751" spans="1:20" x14ac:dyDescent="0.55000000000000004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3"/>
      <c r="R751" s="3"/>
      <c r="S751" s="3"/>
      <c r="T751" s="1"/>
    </row>
    <row r="752" spans="1:20" x14ac:dyDescent="0.55000000000000004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3"/>
      <c r="R752" s="3"/>
      <c r="S752" s="3"/>
      <c r="T752" s="1"/>
    </row>
    <row r="753" spans="1:20" x14ac:dyDescent="0.55000000000000004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3"/>
      <c r="R753" s="3"/>
      <c r="S753" s="3"/>
      <c r="T753" s="1"/>
    </row>
    <row r="754" spans="1:20" x14ac:dyDescent="0.5500000000000000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3"/>
      <c r="R754" s="3"/>
      <c r="S754" s="3"/>
      <c r="T754" s="1"/>
    </row>
    <row r="755" spans="1:20" x14ac:dyDescent="0.55000000000000004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3"/>
      <c r="R755" s="3"/>
      <c r="S755" s="3"/>
      <c r="T755" s="1"/>
    </row>
    <row r="756" spans="1:20" x14ac:dyDescent="0.55000000000000004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3"/>
      <c r="R756" s="3"/>
      <c r="S756" s="3"/>
      <c r="T756" s="1"/>
    </row>
    <row r="757" spans="1:20" x14ac:dyDescent="0.55000000000000004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3"/>
      <c r="R757" s="3"/>
      <c r="S757" s="3"/>
      <c r="T757" s="1"/>
    </row>
    <row r="758" spans="1:20" x14ac:dyDescent="0.55000000000000004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3"/>
      <c r="R758" s="3"/>
      <c r="S758" s="3"/>
      <c r="T758" s="1"/>
    </row>
    <row r="759" spans="1:20" x14ac:dyDescent="0.55000000000000004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3"/>
      <c r="R759" s="3"/>
      <c r="S759" s="3"/>
      <c r="T759" s="1"/>
    </row>
    <row r="760" spans="1:20" x14ac:dyDescent="0.55000000000000004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3"/>
      <c r="R760" s="3"/>
      <c r="S760" s="3"/>
      <c r="T760" s="1"/>
    </row>
    <row r="761" spans="1:20" x14ac:dyDescent="0.55000000000000004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3"/>
      <c r="R761" s="3"/>
      <c r="S761" s="3"/>
      <c r="T761" s="1"/>
    </row>
    <row r="762" spans="1:20" x14ac:dyDescent="0.55000000000000004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3"/>
      <c r="R762" s="3"/>
      <c r="S762" s="3"/>
      <c r="T762" s="1"/>
    </row>
    <row r="763" spans="1:20" x14ac:dyDescent="0.55000000000000004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3"/>
      <c r="R763" s="3"/>
      <c r="S763" s="3"/>
      <c r="T763" s="1"/>
    </row>
    <row r="764" spans="1:20" x14ac:dyDescent="0.5500000000000000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3"/>
      <c r="R764" s="3"/>
      <c r="S764" s="3"/>
      <c r="T764" s="1"/>
    </row>
    <row r="765" spans="1:20" x14ac:dyDescent="0.55000000000000004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3"/>
      <c r="R765" s="3"/>
      <c r="S765" s="3"/>
      <c r="T765" s="1"/>
    </row>
    <row r="766" spans="1:20" x14ac:dyDescent="0.55000000000000004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3"/>
      <c r="R766" s="3"/>
      <c r="S766" s="3"/>
      <c r="T766" s="1"/>
    </row>
    <row r="767" spans="1:20" x14ac:dyDescent="0.55000000000000004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3"/>
      <c r="R767" s="3"/>
      <c r="S767" s="3"/>
      <c r="T767" s="1"/>
    </row>
    <row r="768" spans="1:20" x14ac:dyDescent="0.55000000000000004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3"/>
      <c r="R768" s="3"/>
      <c r="S768" s="3"/>
      <c r="T768" s="1"/>
    </row>
    <row r="769" spans="1:20" x14ac:dyDescent="0.55000000000000004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3"/>
      <c r="R769" s="3"/>
      <c r="S769" s="3"/>
      <c r="T769" s="1"/>
    </row>
    <row r="770" spans="1:20" x14ac:dyDescent="0.55000000000000004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3"/>
      <c r="R770" s="3"/>
      <c r="S770" s="3"/>
      <c r="T770" s="1"/>
    </row>
    <row r="771" spans="1:20" x14ac:dyDescent="0.55000000000000004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3"/>
      <c r="R771" s="3"/>
      <c r="S771" s="3"/>
      <c r="T771" s="1"/>
    </row>
    <row r="772" spans="1:20" x14ac:dyDescent="0.55000000000000004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3"/>
      <c r="R772" s="3"/>
      <c r="S772" s="3"/>
      <c r="T772" s="1"/>
    </row>
    <row r="773" spans="1:20" x14ac:dyDescent="0.55000000000000004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3"/>
      <c r="R773" s="3"/>
      <c r="S773" s="3"/>
      <c r="T773" s="1"/>
    </row>
    <row r="774" spans="1:20" x14ac:dyDescent="0.5500000000000000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3"/>
      <c r="R774" s="3"/>
      <c r="S774" s="3"/>
      <c r="T774" s="1"/>
    </row>
    <row r="775" spans="1:20" x14ac:dyDescent="0.55000000000000004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3"/>
      <c r="R775" s="3"/>
      <c r="S775" s="3"/>
      <c r="T775" s="1"/>
    </row>
    <row r="776" spans="1:20" x14ac:dyDescent="0.55000000000000004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3"/>
      <c r="R776" s="3"/>
      <c r="S776" s="3"/>
      <c r="T776" s="1"/>
    </row>
    <row r="777" spans="1:20" x14ac:dyDescent="0.55000000000000004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3"/>
      <c r="R777" s="3"/>
      <c r="S777" s="3"/>
      <c r="T777" s="1"/>
    </row>
    <row r="778" spans="1:20" x14ac:dyDescent="0.55000000000000004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3"/>
      <c r="R778" s="3"/>
      <c r="S778" s="3"/>
      <c r="T778" s="1"/>
    </row>
    <row r="779" spans="1:20" x14ac:dyDescent="0.55000000000000004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3"/>
      <c r="R779" s="3"/>
      <c r="S779" s="3"/>
      <c r="T779" s="1"/>
    </row>
    <row r="780" spans="1:20" x14ac:dyDescent="0.55000000000000004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3"/>
      <c r="R780" s="3"/>
      <c r="S780" s="3"/>
      <c r="T780" s="1"/>
    </row>
    <row r="781" spans="1:20" x14ac:dyDescent="0.55000000000000004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3"/>
      <c r="R781" s="3"/>
      <c r="S781" s="3"/>
      <c r="T781" s="1"/>
    </row>
    <row r="782" spans="1:20" x14ac:dyDescent="0.55000000000000004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3"/>
      <c r="R782" s="3"/>
      <c r="S782" s="3"/>
      <c r="T782" s="1"/>
    </row>
    <row r="783" spans="1:20" x14ac:dyDescent="0.55000000000000004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3"/>
      <c r="R783" s="3"/>
      <c r="S783" s="3"/>
      <c r="T783" s="1"/>
    </row>
    <row r="784" spans="1:20" x14ac:dyDescent="0.5500000000000000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3"/>
      <c r="R784" s="3"/>
      <c r="S784" s="3"/>
      <c r="T784" s="1"/>
    </row>
    <row r="785" spans="1:20" x14ac:dyDescent="0.55000000000000004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3"/>
      <c r="R785" s="3"/>
      <c r="S785" s="3"/>
      <c r="T785" s="1"/>
    </row>
    <row r="786" spans="1:20" x14ac:dyDescent="0.55000000000000004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3"/>
      <c r="R786" s="3"/>
      <c r="S786" s="3"/>
      <c r="T786" s="1"/>
    </row>
    <row r="787" spans="1:20" x14ac:dyDescent="0.55000000000000004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3"/>
      <c r="R787" s="3"/>
      <c r="S787" s="3"/>
      <c r="T787" s="1"/>
    </row>
    <row r="788" spans="1:20" x14ac:dyDescent="0.55000000000000004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3"/>
      <c r="R788" s="3"/>
      <c r="S788" s="3"/>
      <c r="T788" s="1"/>
    </row>
    <row r="789" spans="1:20" x14ac:dyDescent="0.55000000000000004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3"/>
      <c r="R789" s="3"/>
      <c r="S789" s="3"/>
      <c r="T789" s="1"/>
    </row>
    <row r="790" spans="1:20" x14ac:dyDescent="0.55000000000000004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3"/>
      <c r="R790" s="3"/>
      <c r="S790" s="3"/>
      <c r="T790" s="1"/>
    </row>
    <row r="791" spans="1:20" x14ac:dyDescent="0.55000000000000004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3"/>
      <c r="R791" s="3"/>
      <c r="S791" s="3"/>
      <c r="T791" s="1"/>
    </row>
    <row r="792" spans="1:20" x14ac:dyDescent="0.55000000000000004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3"/>
      <c r="R792" s="3"/>
      <c r="S792" s="3"/>
      <c r="T792" s="1"/>
    </row>
    <row r="793" spans="1:20" x14ac:dyDescent="0.55000000000000004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3"/>
      <c r="R793" s="3"/>
      <c r="S793" s="3"/>
      <c r="T793" s="1"/>
    </row>
    <row r="794" spans="1:20" x14ac:dyDescent="0.5500000000000000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3"/>
      <c r="R794" s="3"/>
      <c r="S794" s="3"/>
      <c r="T794" s="1"/>
    </row>
    <row r="795" spans="1:20" x14ac:dyDescent="0.55000000000000004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3"/>
      <c r="R795" s="3"/>
      <c r="S795" s="3"/>
      <c r="T795" s="1"/>
    </row>
    <row r="796" spans="1:20" x14ac:dyDescent="0.55000000000000004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3"/>
      <c r="R796" s="3"/>
      <c r="S796" s="3"/>
      <c r="T796" s="1"/>
    </row>
    <row r="797" spans="1:20" x14ac:dyDescent="0.55000000000000004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3"/>
      <c r="R797" s="3"/>
      <c r="S797" s="3"/>
      <c r="T797" s="1"/>
    </row>
    <row r="798" spans="1:20" x14ac:dyDescent="0.55000000000000004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3"/>
      <c r="R798" s="3"/>
      <c r="S798" s="3"/>
      <c r="T798" s="1"/>
    </row>
    <row r="799" spans="1:20" x14ac:dyDescent="0.55000000000000004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3"/>
      <c r="R799" s="3"/>
      <c r="S799" s="3"/>
      <c r="T799" s="1"/>
    </row>
    <row r="800" spans="1:20" x14ac:dyDescent="0.55000000000000004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3"/>
      <c r="R800" s="3"/>
      <c r="S800" s="3"/>
      <c r="T800" s="1"/>
    </row>
    <row r="801" spans="1:20" x14ac:dyDescent="0.55000000000000004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3"/>
      <c r="R801" s="3"/>
      <c r="S801" s="3"/>
      <c r="T801" s="1"/>
    </row>
    <row r="802" spans="1:20" x14ac:dyDescent="0.55000000000000004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3"/>
      <c r="R802" s="3"/>
      <c r="S802" s="3"/>
      <c r="T802" s="1"/>
    </row>
    <row r="803" spans="1:20" x14ac:dyDescent="0.55000000000000004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3"/>
      <c r="R803" s="3"/>
      <c r="S803" s="3"/>
      <c r="T803" s="1"/>
    </row>
    <row r="804" spans="1:20" x14ac:dyDescent="0.550000000000000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3"/>
      <c r="R804" s="3"/>
      <c r="S804" s="3"/>
      <c r="T804" s="1"/>
    </row>
    <row r="805" spans="1:20" x14ac:dyDescent="0.55000000000000004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3"/>
      <c r="R805" s="3"/>
      <c r="S805" s="3"/>
      <c r="T805" s="1"/>
    </row>
    <row r="806" spans="1:20" x14ac:dyDescent="0.55000000000000004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3"/>
      <c r="R806" s="3"/>
      <c r="S806" s="3"/>
      <c r="T806" s="1"/>
    </row>
    <row r="807" spans="1:20" x14ac:dyDescent="0.55000000000000004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3"/>
      <c r="R807" s="3"/>
      <c r="S807" s="3"/>
      <c r="T807" s="1"/>
    </row>
    <row r="808" spans="1:20" x14ac:dyDescent="0.55000000000000004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3"/>
      <c r="R808" s="3"/>
      <c r="S808" s="3"/>
      <c r="T808" s="1"/>
    </row>
    <row r="809" spans="1:20" x14ac:dyDescent="0.55000000000000004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3"/>
      <c r="R809" s="3"/>
      <c r="S809" s="3"/>
      <c r="T809" s="1"/>
    </row>
    <row r="810" spans="1:20" x14ac:dyDescent="0.55000000000000004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3"/>
      <c r="R810" s="3"/>
      <c r="S810" s="3"/>
      <c r="T810" s="1"/>
    </row>
    <row r="811" spans="1:20" x14ac:dyDescent="0.55000000000000004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3"/>
      <c r="R811" s="3"/>
      <c r="S811" s="3"/>
      <c r="T811" s="1"/>
    </row>
    <row r="812" spans="1:20" x14ac:dyDescent="0.55000000000000004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3"/>
      <c r="R812" s="3"/>
      <c r="S812" s="3"/>
      <c r="T812" s="1"/>
    </row>
    <row r="813" spans="1:20" x14ac:dyDescent="0.55000000000000004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3"/>
      <c r="R813" s="3"/>
      <c r="S813" s="3"/>
      <c r="T813" s="1"/>
    </row>
    <row r="814" spans="1:20" x14ac:dyDescent="0.5500000000000000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3"/>
      <c r="R814" s="3"/>
      <c r="S814" s="3"/>
      <c r="T814" s="1"/>
    </row>
    <row r="815" spans="1:20" x14ac:dyDescent="0.55000000000000004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3"/>
      <c r="R815" s="3"/>
      <c r="S815" s="3"/>
      <c r="T815" s="1"/>
    </row>
    <row r="816" spans="1:20" x14ac:dyDescent="0.55000000000000004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3"/>
      <c r="R816" s="3"/>
      <c r="S816" s="3"/>
      <c r="T816" s="1"/>
    </row>
    <row r="817" spans="1:20" x14ac:dyDescent="0.55000000000000004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3"/>
      <c r="R817" s="3"/>
      <c r="S817" s="3"/>
      <c r="T817" s="1"/>
    </row>
    <row r="818" spans="1:20" x14ac:dyDescent="0.55000000000000004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3"/>
      <c r="R818" s="3"/>
      <c r="S818" s="3"/>
      <c r="T818" s="1"/>
    </row>
    <row r="819" spans="1:20" x14ac:dyDescent="0.55000000000000004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3"/>
      <c r="R819" s="3"/>
      <c r="S819" s="3"/>
      <c r="T819" s="1"/>
    </row>
    <row r="820" spans="1:20" x14ac:dyDescent="0.55000000000000004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3"/>
      <c r="R820" s="3"/>
      <c r="S820" s="3"/>
      <c r="T820" s="1"/>
    </row>
    <row r="821" spans="1:20" x14ac:dyDescent="0.55000000000000004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3"/>
      <c r="R821" s="3"/>
      <c r="S821" s="3"/>
      <c r="T821" s="1"/>
    </row>
    <row r="822" spans="1:20" x14ac:dyDescent="0.55000000000000004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3"/>
      <c r="R822" s="3"/>
      <c r="S822" s="3"/>
      <c r="T822" s="1"/>
    </row>
    <row r="823" spans="1:20" x14ac:dyDescent="0.55000000000000004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3"/>
      <c r="R823" s="3"/>
      <c r="S823" s="3"/>
      <c r="T823" s="1"/>
    </row>
  </sheetData>
  <mergeCells count="5">
    <mergeCell ref="B1:E1"/>
    <mergeCell ref="F1:H1"/>
    <mergeCell ref="M1:P1"/>
    <mergeCell ref="Q1:S1"/>
    <mergeCell ref="I1:L1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E927DC-9A75-4BAA-9D07-33FEB5BB5256}">
  <dimension ref="A1:T37"/>
  <sheetViews>
    <sheetView tabSelected="1" zoomScale="70" zoomScaleNormal="70" workbookViewId="0">
      <selection activeCell="I3" sqref="I3"/>
    </sheetView>
  </sheetViews>
  <sheetFormatPr defaultRowHeight="14.4" x14ac:dyDescent="0.55000000000000004"/>
  <cols>
    <col min="2" max="4" width="8.83984375" style="22" customWidth="1"/>
    <col min="5" max="5" width="12.83984375" customWidth="1"/>
    <col min="12" max="12" width="12.734375" customWidth="1"/>
    <col min="13" max="15" width="8.83984375" style="22" customWidth="1"/>
    <col min="17" max="18" width="8.83984375" style="22" customWidth="1"/>
    <col min="19" max="19" width="9.15625" style="22" customWidth="1"/>
  </cols>
  <sheetData>
    <row r="1" spans="1:20" x14ac:dyDescent="0.55000000000000004">
      <c r="A1" s="8"/>
      <c r="B1" s="42" t="s">
        <v>4</v>
      </c>
      <c r="C1" s="42"/>
      <c r="D1" s="42"/>
      <c r="E1" s="42"/>
      <c r="F1" s="43" t="s">
        <v>15</v>
      </c>
      <c r="G1" s="43"/>
      <c r="H1" s="43"/>
      <c r="I1" s="43" t="s">
        <v>13</v>
      </c>
      <c r="J1" s="43"/>
      <c r="K1" s="43"/>
      <c r="L1" s="43"/>
      <c r="M1" s="44" t="s">
        <v>10</v>
      </c>
      <c r="N1" s="44"/>
      <c r="O1" s="44"/>
      <c r="P1" s="44"/>
      <c r="Q1" s="44" t="s">
        <v>12</v>
      </c>
      <c r="R1" s="44"/>
      <c r="S1" s="44"/>
      <c r="T1" s="44"/>
    </row>
    <row r="2" spans="1:20" ht="14.7" thickBot="1" x14ac:dyDescent="0.6">
      <c r="A2" s="14" t="s">
        <v>5</v>
      </c>
      <c r="B2" s="23" t="s">
        <v>0</v>
      </c>
      <c r="C2" s="23" t="s">
        <v>1</v>
      </c>
      <c r="D2" s="23" t="s">
        <v>2</v>
      </c>
      <c r="E2" s="15" t="s">
        <v>3</v>
      </c>
      <c r="F2" s="14" t="s">
        <v>6</v>
      </c>
      <c r="G2" s="14" t="s">
        <v>7</v>
      </c>
      <c r="H2" s="14" t="s">
        <v>8</v>
      </c>
      <c r="I2" s="30" t="s">
        <v>6</v>
      </c>
      <c r="J2" s="30" t="s">
        <v>7</v>
      </c>
      <c r="K2" s="30" t="s">
        <v>8</v>
      </c>
      <c r="L2" s="30" t="s">
        <v>14</v>
      </c>
      <c r="M2" s="23"/>
      <c r="N2" s="23"/>
      <c r="O2" s="23"/>
      <c r="P2" s="15" t="s">
        <v>9</v>
      </c>
      <c r="Q2" s="27"/>
      <c r="R2" s="27"/>
      <c r="S2" s="27"/>
      <c r="T2" s="16" t="s">
        <v>11</v>
      </c>
    </row>
    <row r="3" spans="1:20" s="22" customFormat="1" ht="14.7" thickBot="1" x14ac:dyDescent="0.6">
      <c r="A3" s="17">
        <v>2</v>
      </c>
      <c r="B3" s="18">
        <f>PI()</f>
        <v>3.1415926535897931</v>
      </c>
      <c r="C3" s="18">
        <f>MAX(A4:A32)</f>
        <v>1020</v>
      </c>
      <c r="D3" s="18">
        <f>A3*B3</f>
        <v>6.2831853071795862</v>
      </c>
      <c r="E3" s="19">
        <f>D3*A4/C4</f>
        <v>0.10471975511965978</v>
      </c>
      <c r="F3" s="19">
        <f>LN(1 + E3) * COS(E3)</f>
        <v>9.9046113842870862E-2</v>
      </c>
      <c r="G3" s="19">
        <f>LN(1 + E3) * SIN(E3)</f>
        <v>1.0410166051492073E-2</v>
      </c>
      <c r="H3" s="20">
        <f t="shared" ref="H3:H32" si="0">0.5 * (E3^1.5)</f>
        <v>1.6943882508068234E-2</v>
      </c>
      <c r="I3" s="36">
        <f>(LN(1 + A3)*COS(A3))*0.000000000000386</f>
        <v>-1.7647303500912526E-13</v>
      </c>
      <c r="J3" s="36">
        <f xml:space="preserve"> (LN(1 + A3)*SIN(A3))*0.000000000000386</f>
        <v>3.8560061628568436E-13</v>
      </c>
      <c r="K3" s="20">
        <f xml:space="preserve"> (A3^1.5)*0.00000000000243</f>
        <v>6.8730779131332411E-12</v>
      </c>
      <c r="L3" s="20">
        <f>(A3^1.5)*(0.000000000000386-13/137)*(2*PI())</f>
        <v>-1.6863497283452207</v>
      </c>
      <c r="M3" s="18">
        <f>DEGREES(((COS(B4)/(1+B4) - LN(1+B4)*SIN(B4))^2 +((SIN(B4))/((1+B4)+LN(1+B4)*COS(B4)))^2+0.25))</f>
        <v>17.664263303876968</v>
      </c>
      <c r="N3" s="18">
        <f>DEGREES((B4)^2)/(1 + 1/(1+B4))^2</f>
        <v>366.91190920040015</v>
      </c>
      <c r="O3" s="18">
        <f>DEGREES(B4)^1.5</f>
        <v>2414.9534156997729</v>
      </c>
      <c r="P3" s="18">
        <f>M3*N3*O3</f>
        <v>15651865.081369715</v>
      </c>
      <c r="Q3" s="19">
        <f>(((3/(8*DEGREES(B3)))*((SIN(B3)/(1+B3))+LN(1+B3)*COS(B3)))-((COS(B3)/(1+B3)^2-SIN(B3)/(1+B3)-LN(1+B3)*SIN(B3))))</f>
        <v>5.5338970398543443E-2</v>
      </c>
      <c r="R3" s="19">
        <f>((0.25*DEGREES(B3))/((P3)^2))</f>
        <v>1.8368780414002235E-13</v>
      </c>
      <c r="S3" s="19"/>
      <c r="T3" s="21">
        <f>Q3*R3</f>
        <v>1.0165093955878142E-14</v>
      </c>
    </row>
    <row r="4" spans="1:20" ht="14.7" thickBot="1" x14ac:dyDescent="0.6">
      <c r="A4" s="8">
        <v>17</v>
      </c>
      <c r="B4" s="24">
        <f>PI()</f>
        <v>3.1415926535897931</v>
      </c>
      <c r="C4" s="24">
        <f>MAX(A5:A33)</f>
        <v>1020</v>
      </c>
      <c r="D4" s="24">
        <v>6.2831849999999996</v>
      </c>
      <c r="E4" s="10">
        <f t="shared" ref="E4:E10" si="1">D4*A4/C4</f>
        <v>0.10471975</v>
      </c>
      <c r="F4" s="11">
        <f>LN(1 + E4) * COS(E4)</f>
        <v>9.9046109287203393E-2</v>
      </c>
      <c r="G4" s="11">
        <f>LN(1 + E4) * SIN(E4)</f>
        <v>1.0410165059988057E-2</v>
      </c>
      <c r="H4" s="12">
        <f t="shared" si="0"/>
        <v>1.6943881265510233E-2</v>
      </c>
      <c r="I4" s="36">
        <f t="shared" ref="I4:I32" si="2">(LN(1 + A4)*COS(A4))*0.000000000000386</f>
        <v>-3.0699519566952957E-13</v>
      </c>
      <c r="J4" s="36">
        <f t="shared" ref="J4:J32" si="3" xml:space="preserve"> (LN(1 + A4)*SIN(A4))*0.000000000000386</f>
        <v>-1.072615317235379E-12</v>
      </c>
      <c r="K4" s="20">
        <f t="shared" ref="K4:K32" si="4" xml:space="preserve"> (A4^1.5)*0.00000000000243</f>
        <v>1.7032549339426563E-10</v>
      </c>
      <c r="L4" s="20">
        <f t="shared" ref="L4:L32" si="5">(A4^1.5)*(0.000000000000386-13/137)*(2*PI())</f>
        <v>-41.790352611432318</v>
      </c>
      <c r="M4" s="24">
        <f>DEGREES(((COS(B4)/(1+B4) - LN(1+B4)*SIN(B4))^2 +((SIN(B4))/((1+B4)+LN(1+B4)*COS(B4)))^2))</f>
        <v>3.34031842560639</v>
      </c>
      <c r="N4" s="24">
        <f>(1.5*DEGREES((B4)^2)/(1 + 1/(1+B4))^2)</f>
        <v>550.36786380060028</v>
      </c>
      <c r="O4" s="24">
        <f>(1.5*DEGREES(B4)^2)^1.5</f>
        <v>10714068.134933611</v>
      </c>
      <c r="P4" s="9">
        <f>M4+N4+O4</f>
        <v>10714621.843115838</v>
      </c>
      <c r="Q4" s="28">
        <f>(((1.5/(2*DEGREES(B4)))*((SIN(B4)/(1+B4))+LN(1+B4)*COS(B4)))-((COS(B4)/(1+B4)^2-SIN(B4)/(1+B4)-LN(1+B4)*SIN(B4))))</f>
        <v>5.2378386205221998E-2</v>
      </c>
      <c r="R4" s="28">
        <f>((1.5*DEGREES(B4)))</f>
        <v>270</v>
      </c>
      <c r="S4" s="28">
        <f>(H4^2 * ((1/(1+B4))^2) + (LN(1+B4)^2) + (1.5*(DEGREES(B4)^2 )))</f>
        <v>48602.019486277146</v>
      </c>
      <c r="T4" s="5">
        <f>Q4*R4/S4</f>
        <v>2.9097894336269298E-4</v>
      </c>
    </row>
    <row r="5" spans="1:20" ht="14.7" thickBot="1" x14ac:dyDescent="0.6">
      <c r="A5" s="7">
        <v>30</v>
      </c>
      <c r="B5" s="22">
        <f>PI()</f>
        <v>3.1415926535897931</v>
      </c>
      <c r="C5" s="22">
        <f>MAX(A6:A34)</f>
        <v>1020</v>
      </c>
      <c r="D5" s="25">
        <v>6.2831849999999996</v>
      </c>
      <c r="E5" s="5">
        <f t="shared" si="1"/>
        <v>0.18479955882352939</v>
      </c>
      <c r="F5" s="3">
        <f>LN(1 + E5) * COS(E5)</f>
        <v>0.16668629890814468</v>
      </c>
      <c r="G5" s="3">
        <f t="shared" ref="G5:G32" si="6">LN(1 + E5) * SIN(E5)</f>
        <v>3.1159067861372781E-2</v>
      </c>
      <c r="H5" s="12">
        <f>0.5 * (E5^1.5)</f>
        <v>3.9721112120011247E-2</v>
      </c>
      <c r="I5" s="36">
        <f t="shared" si="2"/>
        <v>2.044632370022767E-13</v>
      </c>
      <c r="J5" s="36">
        <f t="shared" si="3"/>
        <v>-1.3096547505379644E-12</v>
      </c>
      <c r="K5" s="20">
        <f t="shared" si="4"/>
        <v>3.9928974442126601E-10</v>
      </c>
      <c r="L5" s="20">
        <f t="shared" si="5"/>
        <v>-97.968066206436603</v>
      </c>
      <c r="M5" s="24">
        <f>DEGREES(((COS(B5)/(1+B5) - LN(1+B5)*SIN(B5))^2 +((SIN(B5))/((1+B5)+LN(1+B5)*COS(B5)))^2))</f>
        <v>3.34031842560639</v>
      </c>
      <c r="N5" s="24">
        <f t="shared" ref="N5:N32" si="7">(1.5*DEGREES((B5)^2)/(1 + 1/(1+B5))^2)</f>
        <v>550.36786380060028</v>
      </c>
      <c r="O5" s="24">
        <f t="shared" ref="O5:O32" si="8">(1.5*DEGREES(B5)^2)^1.5</f>
        <v>10714068.134933611</v>
      </c>
      <c r="P5" s="9">
        <f t="shared" ref="P5:P32" si="9">M5+N5+O5</f>
        <v>10714621.843115838</v>
      </c>
      <c r="Q5" s="28">
        <f t="shared" ref="Q5:Q32" si="10">(((1.5/(2*DEGREES(B5)))*((SIN(B5)/(1+B5))+LN(1+B5)*COS(B5)))-((COS(B5)/(1+B5)^2-SIN(B5)/(1+B5)-LN(1+B5)*SIN(B5))))</f>
        <v>5.2378386205221998E-2</v>
      </c>
      <c r="R5" s="28">
        <f t="shared" ref="R5:R32" si="11">((1.5*DEGREES(B5)))</f>
        <v>270</v>
      </c>
      <c r="S5" s="28">
        <f t="shared" ref="S5:S32" si="12">(H5^2 * ((1/(1+B5))^2) + (LN(1+B5)^2) + (1.5*(DEGREES(B5)^2 )))</f>
        <v>48602.019561522728</v>
      </c>
      <c r="T5" s="5">
        <f t="shared" ref="T5:T32" si="13">Q5*R5</f>
        <v>14.142164275409939</v>
      </c>
    </row>
    <row r="6" spans="1:20" ht="14.7" thickBot="1" x14ac:dyDescent="0.6">
      <c r="A6" s="2">
        <v>48</v>
      </c>
      <c r="B6" s="22">
        <f>PI()</f>
        <v>3.1415926535897931</v>
      </c>
      <c r="C6" s="22">
        <f t="shared" ref="C6:C21" si="14">MAX(A7:A35)</f>
        <v>1020</v>
      </c>
      <c r="D6" s="26">
        <v>6.2831849999999996</v>
      </c>
      <c r="E6" s="5">
        <f t="shared" si="1"/>
        <v>0.29567929411764704</v>
      </c>
      <c r="F6" s="3">
        <f t="shared" ref="F6:F32" si="15">LN(1 + E6) * COS(E6)</f>
        <v>0.24779413122815946</v>
      </c>
      <c r="G6" s="3">
        <f t="shared" si="6"/>
        <v>7.5480171283816233E-2</v>
      </c>
      <c r="H6" s="12">
        <f t="shared" si="0"/>
        <v>8.038987871625923E-2</v>
      </c>
      <c r="I6" s="36">
        <f t="shared" si="2"/>
        <v>-9.6165211934980455E-13</v>
      </c>
      <c r="J6" s="36">
        <f t="shared" si="3"/>
        <v>-1.1541049068322149E-12</v>
      </c>
      <c r="K6" s="20">
        <f t="shared" si="4"/>
        <v>8.0810562477933578E-10</v>
      </c>
      <c r="L6" s="20">
        <f t="shared" si="5"/>
        <v>-198.27342539168731</v>
      </c>
      <c r="M6" s="24">
        <f t="shared" ref="M6:M32" si="16">DEGREES(((COS(B6)/(1+B6) - LN(1+B6)*SIN(B6))^2 +((SIN(B6))/((1+B6)+LN(1+B6)*COS(B6)))^2))</f>
        <v>3.34031842560639</v>
      </c>
      <c r="N6" s="24">
        <f t="shared" si="7"/>
        <v>550.36786380060028</v>
      </c>
      <c r="O6" s="24">
        <f t="shared" si="8"/>
        <v>10714068.134933611</v>
      </c>
      <c r="P6" s="9">
        <f t="shared" si="9"/>
        <v>10714621.843115838</v>
      </c>
      <c r="Q6" s="28">
        <f t="shared" si="10"/>
        <v>5.2378386205221998E-2</v>
      </c>
      <c r="R6" s="28">
        <f t="shared" si="11"/>
        <v>270</v>
      </c>
      <c r="S6" s="28">
        <f t="shared" si="12"/>
        <v>48602.019846302399</v>
      </c>
      <c r="T6" s="5">
        <f t="shared" si="13"/>
        <v>14.142164275409939</v>
      </c>
    </row>
    <row r="7" spans="1:20" ht="14.7" thickBot="1" x14ac:dyDescent="0.6">
      <c r="A7" s="2">
        <v>291</v>
      </c>
      <c r="B7" s="22">
        <f>PI()</f>
        <v>3.1415926535897931</v>
      </c>
      <c r="C7" s="22">
        <f t="shared" si="14"/>
        <v>1020</v>
      </c>
      <c r="D7" s="26">
        <v>6.2831849999999996</v>
      </c>
      <c r="E7" s="5">
        <f t="shared" si="1"/>
        <v>1.792555720588235</v>
      </c>
      <c r="F7" s="3">
        <f>LN(1 + E7) * COS(E7)</f>
        <v>-0.22587540919416088</v>
      </c>
      <c r="G7" s="3">
        <f t="shared" si="6"/>
        <v>1.0018090642854338</v>
      </c>
      <c r="H7" s="12">
        <f t="shared" si="0"/>
        <v>1.1999937963354224</v>
      </c>
      <c r="I7" s="36">
        <f t="shared" si="2"/>
        <v>-8.5870890099607394E-13</v>
      </c>
      <c r="J7" s="36">
        <f t="shared" si="3"/>
        <v>2.0159599815518983E-12</v>
      </c>
      <c r="K7" s="20">
        <f t="shared" si="4"/>
        <v>1.206273416510121E-8</v>
      </c>
      <c r="L7" s="20">
        <f t="shared" si="5"/>
        <v>-2959.6621396578498</v>
      </c>
      <c r="M7" s="24">
        <f t="shared" si="16"/>
        <v>3.34031842560639</v>
      </c>
      <c r="N7" s="24">
        <f t="shared" si="7"/>
        <v>550.36786380060028</v>
      </c>
      <c r="O7" s="24">
        <f t="shared" si="8"/>
        <v>10714068.134933611</v>
      </c>
      <c r="P7" s="9">
        <f t="shared" si="9"/>
        <v>10714621.843115838</v>
      </c>
      <c r="Q7" s="28">
        <f t="shared" si="10"/>
        <v>5.2378386205221998E-2</v>
      </c>
      <c r="R7" s="28">
        <f t="shared" si="11"/>
        <v>270</v>
      </c>
      <c r="S7" s="28">
        <f t="shared" si="12"/>
        <v>48602.103420030231</v>
      </c>
      <c r="T7" s="5">
        <f t="shared" si="13"/>
        <v>14.142164275409939</v>
      </c>
    </row>
    <row r="8" spans="1:20" ht="14.7" thickBot="1" x14ac:dyDescent="0.6">
      <c r="A8" s="2">
        <v>100</v>
      </c>
      <c r="B8" s="22">
        <f>PI()</f>
        <v>3.1415926535897931</v>
      </c>
      <c r="C8" s="22">
        <f t="shared" si="14"/>
        <v>1020</v>
      </c>
      <c r="D8" s="26">
        <v>6.2831849999999996</v>
      </c>
      <c r="E8" s="5">
        <f t="shared" si="1"/>
        <v>0.61599852941176469</v>
      </c>
      <c r="F8" s="3">
        <f t="shared" si="15"/>
        <v>0.39173620590327557</v>
      </c>
      <c r="G8" s="3">
        <f t="shared" si="6"/>
        <v>0.27730430084399688</v>
      </c>
      <c r="H8" s="12">
        <f t="shared" si="0"/>
        <v>0.24173499019246691</v>
      </c>
      <c r="I8" s="36">
        <f t="shared" si="2"/>
        <v>1.536166330547963E-12</v>
      </c>
      <c r="J8" s="36">
        <f t="shared" si="3"/>
        <v>-9.0205824529332262E-13</v>
      </c>
      <c r="K8" s="20">
        <f t="shared" si="4"/>
        <v>2.4300000000000017E-9</v>
      </c>
      <c r="L8" s="20">
        <f t="shared" si="5"/>
        <v>-596.2146641824994</v>
      </c>
      <c r="M8" s="24">
        <f t="shared" si="16"/>
        <v>3.34031842560639</v>
      </c>
      <c r="N8" s="24">
        <f t="shared" si="7"/>
        <v>550.36786380060028</v>
      </c>
      <c r="O8" s="24">
        <f t="shared" si="8"/>
        <v>10714068.134933611</v>
      </c>
      <c r="P8" s="9">
        <f t="shared" si="9"/>
        <v>10714621.843115838</v>
      </c>
      <c r="Q8" s="28">
        <f t="shared" si="10"/>
        <v>5.2378386205221998E-2</v>
      </c>
      <c r="R8" s="28">
        <f t="shared" si="11"/>
        <v>270</v>
      </c>
      <c r="S8" s="28">
        <f t="shared" si="12"/>
        <v>48602.022876321062</v>
      </c>
      <c r="T8" s="5">
        <f t="shared" si="13"/>
        <v>14.142164275409939</v>
      </c>
    </row>
    <row r="9" spans="1:20" ht="14.7" thickBot="1" x14ac:dyDescent="0.6">
      <c r="A9" s="2">
        <v>10</v>
      </c>
      <c r="B9" s="22">
        <f>PI()</f>
        <v>3.1415926535897931</v>
      </c>
      <c r="C9" s="22">
        <f t="shared" si="14"/>
        <v>1020</v>
      </c>
      <c r="D9" s="26">
        <v>6.2831849999999996</v>
      </c>
      <c r="E9" s="5">
        <f t="shared" si="1"/>
        <v>6.1599852941176467E-2</v>
      </c>
      <c r="F9" s="3">
        <f t="shared" si="15"/>
        <v>5.9663688078952608E-2</v>
      </c>
      <c r="G9" s="3">
        <f t="shared" si="6"/>
        <v>3.6799301391553739E-3</v>
      </c>
      <c r="H9" s="12">
        <f t="shared" si="0"/>
        <v>7.6443315916666036E-3</v>
      </c>
      <c r="I9" s="36">
        <f t="shared" si="2"/>
        <v>-7.7663418210128071E-13</v>
      </c>
      <c r="J9" s="36">
        <f t="shared" si="3"/>
        <v>-5.0353918094019736E-13</v>
      </c>
      <c r="K9" s="20">
        <f t="shared" si="4"/>
        <v>7.6843347142091641E-11</v>
      </c>
      <c r="L9" s="20">
        <f t="shared" si="5"/>
        <v>-18.853963132091092</v>
      </c>
      <c r="M9" s="24">
        <f t="shared" si="16"/>
        <v>3.34031842560639</v>
      </c>
      <c r="N9" s="24">
        <f t="shared" si="7"/>
        <v>550.36786380060028</v>
      </c>
      <c r="O9" s="24">
        <f t="shared" si="8"/>
        <v>10714068.134933611</v>
      </c>
      <c r="P9" s="9">
        <f t="shared" si="9"/>
        <v>10714621.843115838</v>
      </c>
      <c r="Q9" s="28">
        <f t="shared" si="10"/>
        <v>5.2378386205221998E-2</v>
      </c>
      <c r="R9" s="28">
        <f t="shared" si="11"/>
        <v>270</v>
      </c>
      <c r="S9" s="28">
        <f t="shared" si="12"/>
        <v>48602.019472946406</v>
      </c>
      <c r="T9" s="5">
        <f t="shared" si="13"/>
        <v>14.142164275409939</v>
      </c>
    </row>
    <row r="10" spans="1:20" ht="14.7" thickBot="1" x14ac:dyDescent="0.6">
      <c r="A10" s="2">
        <v>1</v>
      </c>
      <c r="B10" s="22">
        <f>PI()</f>
        <v>3.1415926535897931</v>
      </c>
      <c r="C10" s="22">
        <f t="shared" si="14"/>
        <v>1020</v>
      </c>
      <c r="D10" s="26">
        <v>6.2831849999999996</v>
      </c>
      <c r="E10" s="5">
        <f t="shared" si="1"/>
        <v>6.1599852941176467E-3</v>
      </c>
      <c r="F10" s="3">
        <f t="shared" si="15"/>
        <v>6.1409736281639402E-3</v>
      </c>
      <c r="G10" s="3">
        <f t="shared" si="6"/>
        <v>3.782878571863713E-5</v>
      </c>
      <c r="H10" s="12">
        <f t="shared" si="0"/>
        <v>2.4173499019246693E-4</v>
      </c>
      <c r="I10" s="36">
        <f t="shared" si="2"/>
        <v>1.4456048170553978E-13</v>
      </c>
      <c r="J10" s="36">
        <f t="shared" si="3"/>
        <v>2.2513961088804131E-13</v>
      </c>
      <c r="K10" s="20">
        <f t="shared" si="4"/>
        <v>2.4299999999999999E-12</v>
      </c>
      <c r="L10" s="20">
        <f t="shared" si="5"/>
        <v>-0.59621466418249891</v>
      </c>
      <c r="M10" s="24">
        <f t="shared" si="16"/>
        <v>3.34031842560639</v>
      </c>
      <c r="N10" s="24">
        <f t="shared" si="7"/>
        <v>550.36786380060028</v>
      </c>
      <c r="O10" s="24">
        <f t="shared" si="8"/>
        <v>10714068.134933611</v>
      </c>
      <c r="P10" s="9">
        <f t="shared" si="9"/>
        <v>10714621.843115838</v>
      </c>
      <c r="Q10" s="28">
        <f t="shared" si="10"/>
        <v>5.2378386205221998E-2</v>
      </c>
      <c r="R10" s="28">
        <f t="shared" si="11"/>
        <v>270</v>
      </c>
      <c r="S10" s="28">
        <f t="shared" si="12"/>
        <v>48602.019469543033</v>
      </c>
      <c r="T10" s="5">
        <f t="shared" si="13"/>
        <v>14.142164275409939</v>
      </c>
    </row>
    <row r="11" spans="1:20" ht="14.7" thickBot="1" x14ac:dyDescent="0.6">
      <c r="A11" s="2">
        <v>0</v>
      </c>
      <c r="B11" s="22">
        <f>PI()</f>
        <v>3.1415926535897931</v>
      </c>
      <c r="C11" s="22">
        <f t="shared" si="14"/>
        <v>1020</v>
      </c>
      <c r="D11" s="26">
        <v>6.2831849999999996</v>
      </c>
      <c r="E11" s="5">
        <f t="shared" ref="E11:E32" si="17">D11*A11/C11</f>
        <v>0</v>
      </c>
      <c r="F11" s="3">
        <f t="shared" si="15"/>
        <v>0</v>
      </c>
      <c r="G11" s="3">
        <f t="shared" si="6"/>
        <v>0</v>
      </c>
      <c r="H11" s="12">
        <f t="shared" si="0"/>
        <v>0</v>
      </c>
      <c r="I11" s="36">
        <f t="shared" si="2"/>
        <v>0</v>
      </c>
      <c r="J11" s="36">
        <f t="shared" si="3"/>
        <v>0</v>
      </c>
      <c r="K11" s="20">
        <f t="shared" si="4"/>
        <v>0</v>
      </c>
      <c r="L11" s="20">
        <f t="shared" si="5"/>
        <v>0</v>
      </c>
      <c r="M11" s="24">
        <f t="shared" si="16"/>
        <v>3.34031842560639</v>
      </c>
      <c r="N11" s="24">
        <f t="shared" si="7"/>
        <v>550.36786380060028</v>
      </c>
      <c r="O11" s="24">
        <f t="shared" si="8"/>
        <v>10714068.134933611</v>
      </c>
      <c r="P11" s="9">
        <f t="shared" si="9"/>
        <v>10714621.843115838</v>
      </c>
      <c r="Q11" s="28">
        <f t="shared" si="10"/>
        <v>5.2378386205221998E-2</v>
      </c>
      <c r="R11" s="28">
        <f t="shared" si="11"/>
        <v>270</v>
      </c>
      <c r="S11" s="28">
        <f t="shared" si="12"/>
        <v>48602.019469539628</v>
      </c>
      <c r="T11" s="5">
        <f t="shared" si="13"/>
        <v>14.142164275409939</v>
      </c>
    </row>
    <row r="12" spans="1:20" ht="14.7" thickBot="1" x14ac:dyDescent="0.6">
      <c r="A12" s="2">
        <v>87</v>
      </c>
      <c r="B12" s="22">
        <f>PI()</f>
        <v>3.1415926535897931</v>
      </c>
      <c r="C12" s="22">
        <f t="shared" si="14"/>
        <v>1020</v>
      </c>
      <c r="D12" s="26">
        <v>6.2831849999999996</v>
      </c>
      <c r="E12" s="5">
        <f t="shared" si="17"/>
        <v>0.5359187205882352</v>
      </c>
      <c r="F12" s="3">
        <f t="shared" si="15"/>
        <v>0.36896481290590133</v>
      </c>
      <c r="G12" s="3">
        <f t="shared" si="6"/>
        <v>0.21912649914407265</v>
      </c>
      <c r="H12" s="12">
        <f t="shared" si="0"/>
        <v>0.19616358790102656</v>
      </c>
      <c r="I12" s="36">
        <f t="shared" si="2"/>
        <v>9.8467216061359535E-13</v>
      </c>
      <c r="J12" s="36">
        <f t="shared" si="3"/>
        <v>-1.4203083283304191E-12</v>
      </c>
      <c r="K12" s="20">
        <f t="shared" si="4"/>
        <v>1.9719012056135063E-9</v>
      </c>
      <c r="L12" s="20">
        <f t="shared" si="5"/>
        <v>-483.81745477609934</v>
      </c>
      <c r="M12" s="24">
        <f t="shared" si="16"/>
        <v>3.34031842560639</v>
      </c>
      <c r="N12" s="24">
        <f t="shared" si="7"/>
        <v>550.36786380060028</v>
      </c>
      <c r="O12" s="24">
        <f t="shared" si="8"/>
        <v>10714068.134933611</v>
      </c>
      <c r="P12" s="9">
        <f t="shared" si="9"/>
        <v>10714621.843115838</v>
      </c>
      <c r="Q12" s="28">
        <f t="shared" si="10"/>
        <v>5.2378386205221998E-2</v>
      </c>
      <c r="R12" s="28">
        <f t="shared" si="11"/>
        <v>270</v>
      </c>
      <c r="S12" s="28">
        <f t="shared" si="12"/>
        <v>48602.021712915419</v>
      </c>
      <c r="T12" s="5">
        <f t="shared" si="13"/>
        <v>14.142164275409939</v>
      </c>
    </row>
    <row r="13" spans="1:20" ht="14.7" thickBot="1" x14ac:dyDescent="0.6">
      <c r="A13" s="2">
        <v>108</v>
      </c>
      <c r="B13" s="22">
        <f>PI()</f>
        <v>3.1415926535897931</v>
      </c>
      <c r="C13" s="22">
        <f t="shared" si="14"/>
        <v>1020</v>
      </c>
      <c r="D13" s="26">
        <v>6.2831849999999996</v>
      </c>
      <c r="E13" s="5">
        <f t="shared" si="17"/>
        <v>0.66527841176470592</v>
      </c>
      <c r="F13" s="3">
        <f t="shared" si="15"/>
        <v>0.40123388936702853</v>
      </c>
      <c r="G13" s="3">
        <f t="shared" si="6"/>
        <v>0.31480714141140903</v>
      </c>
      <c r="H13" s="12">
        <f t="shared" si="0"/>
        <v>0.27131584066737502</v>
      </c>
      <c r="I13" s="36">
        <f t="shared" si="2"/>
        <v>6.7999541630902203E-13</v>
      </c>
      <c r="J13" s="36">
        <f t="shared" si="3"/>
        <v>1.6783388205845673E-12</v>
      </c>
      <c r="K13" s="20">
        <f t="shared" si="4"/>
        <v>2.7273564836302579E-9</v>
      </c>
      <c r="L13" s="20">
        <f t="shared" si="5"/>
        <v>-669.17281069694457</v>
      </c>
      <c r="M13" s="24">
        <f t="shared" si="16"/>
        <v>3.34031842560639</v>
      </c>
      <c r="N13" s="24">
        <f t="shared" si="7"/>
        <v>550.36786380060028</v>
      </c>
      <c r="O13" s="24">
        <f t="shared" si="8"/>
        <v>10714068.134933611</v>
      </c>
      <c r="P13" s="9">
        <f t="shared" si="9"/>
        <v>10714621.843115838</v>
      </c>
      <c r="Q13" s="28">
        <f t="shared" si="10"/>
        <v>5.2378386205221998E-2</v>
      </c>
      <c r="R13" s="28">
        <f t="shared" si="11"/>
        <v>270</v>
      </c>
      <c r="S13" s="28">
        <f t="shared" si="12"/>
        <v>48602.023761103075</v>
      </c>
      <c r="T13" s="5">
        <f t="shared" si="13"/>
        <v>14.142164275409939</v>
      </c>
    </row>
    <row r="14" spans="1:20" ht="14.7" thickBot="1" x14ac:dyDescent="0.6">
      <c r="A14" s="2">
        <v>150</v>
      </c>
      <c r="B14" s="22">
        <f>PI()</f>
        <v>3.1415926535897931</v>
      </c>
      <c r="C14" s="22">
        <f t="shared" si="14"/>
        <v>1020</v>
      </c>
      <c r="D14" s="26">
        <v>6.2831849999999996</v>
      </c>
      <c r="E14" s="5">
        <f t="shared" si="17"/>
        <v>0.92399779411764693</v>
      </c>
      <c r="F14" s="3">
        <f t="shared" si="15"/>
        <v>0.39436726679320516</v>
      </c>
      <c r="G14" s="3">
        <f t="shared" si="6"/>
        <v>0.52222660998295023</v>
      </c>
      <c r="H14" s="12">
        <f t="shared" si="0"/>
        <v>0.44409553421117981</v>
      </c>
      <c r="I14" s="36">
        <f t="shared" si="2"/>
        <v>1.3542180712771232E-12</v>
      </c>
      <c r="J14" s="36">
        <f t="shared" si="3"/>
        <v>-1.3844797471303633E-12</v>
      </c>
      <c r="K14" s="20">
        <f t="shared" si="4"/>
        <v>4.46419505622234E-9</v>
      </c>
      <c r="L14" s="20">
        <f t="shared" si="5"/>
        <v>-1095.3162783089608</v>
      </c>
      <c r="M14" s="24">
        <f t="shared" si="16"/>
        <v>3.34031842560639</v>
      </c>
      <c r="N14" s="24">
        <f t="shared" si="7"/>
        <v>550.36786380060028</v>
      </c>
      <c r="O14" s="24">
        <f t="shared" si="8"/>
        <v>10714068.134933611</v>
      </c>
      <c r="P14" s="9">
        <f t="shared" si="9"/>
        <v>10714621.843115838</v>
      </c>
      <c r="Q14" s="28">
        <f t="shared" si="10"/>
        <v>5.2378386205221998E-2</v>
      </c>
      <c r="R14" s="28">
        <f t="shared" si="11"/>
        <v>270</v>
      </c>
      <c r="S14" s="28">
        <f t="shared" si="12"/>
        <v>48602.030967426959</v>
      </c>
      <c r="T14" s="5">
        <f t="shared" si="13"/>
        <v>14.142164275409939</v>
      </c>
    </row>
    <row r="15" spans="1:20" ht="14.7" thickBot="1" x14ac:dyDescent="0.6">
      <c r="A15" s="2">
        <v>14</v>
      </c>
      <c r="B15" s="22">
        <f>PI()</f>
        <v>3.1415926535897931</v>
      </c>
      <c r="C15" s="22">
        <f t="shared" si="14"/>
        <v>1020</v>
      </c>
      <c r="D15" s="26">
        <v>6.2831849999999996</v>
      </c>
      <c r="E15" s="5">
        <f t="shared" si="17"/>
        <v>8.623979411764704E-2</v>
      </c>
      <c r="F15" s="3">
        <f t="shared" si="15"/>
        <v>8.2414578379610207E-2</v>
      </c>
      <c r="G15" s="3">
        <f t="shared" si="6"/>
        <v>7.1250888487599199E-3</v>
      </c>
      <c r="H15" s="12">
        <f t="shared" si="0"/>
        <v>1.2662853163735175E-2</v>
      </c>
      <c r="I15" s="36">
        <f t="shared" si="2"/>
        <v>1.429324229886299E-13</v>
      </c>
      <c r="J15" s="36">
        <f t="shared" si="3"/>
        <v>1.0354891772378893E-12</v>
      </c>
      <c r="K15" s="20">
        <f t="shared" si="4"/>
        <v>1.2729118429804943E-10</v>
      </c>
      <c r="L15" s="20">
        <f t="shared" si="5"/>
        <v>-31.231634032779471</v>
      </c>
      <c r="M15" s="24">
        <f t="shared" si="16"/>
        <v>3.34031842560639</v>
      </c>
      <c r="N15" s="24">
        <f t="shared" si="7"/>
        <v>550.36786380060028</v>
      </c>
      <c r="O15" s="24">
        <f t="shared" si="8"/>
        <v>10714068.134933611</v>
      </c>
      <c r="P15" s="9">
        <f t="shared" si="9"/>
        <v>10714621.843115838</v>
      </c>
      <c r="Q15" s="28">
        <f t="shared" si="10"/>
        <v>5.2378386205221998E-2</v>
      </c>
      <c r="R15" s="28">
        <f t="shared" si="11"/>
        <v>270</v>
      </c>
      <c r="S15" s="28">
        <f t="shared" si="12"/>
        <v>48602.019478887836</v>
      </c>
      <c r="T15" s="5">
        <f t="shared" si="13"/>
        <v>14.142164275409939</v>
      </c>
    </row>
    <row r="16" spans="1:20" ht="14.7" thickBot="1" x14ac:dyDescent="0.6">
      <c r="A16" s="2">
        <v>86</v>
      </c>
      <c r="B16" s="22">
        <f>PI()</f>
        <v>3.1415926535897931</v>
      </c>
      <c r="C16" s="22">
        <f t="shared" si="14"/>
        <v>1020</v>
      </c>
      <c r="D16" s="26">
        <v>6.2831849999999996</v>
      </c>
      <c r="E16" s="5">
        <f t="shared" si="17"/>
        <v>0.52975873529411754</v>
      </c>
      <c r="F16" s="3">
        <f t="shared" si="15"/>
        <v>0.36683978162381281</v>
      </c>
      <c r="G16" s="3">
        <f t="shared" si="6"/>
        <v>0.21481879643652924</v>
      </c>
      <c r="H16" s="12">
        <f t="shared" si="0"/>
        <v>0.19279119454093063</v>
      </c>
      <c r="I16" s="36">
        <f t="shared" si="2"/>
        <v>-6.6143493216064978E-13</v>
      </c>
      <c r="J16" s="36">
        <f t="shared" si="3"/>
        <v>-1.5918951022262154E-12</v>
      </c>
      <c r="K16" s="20">
        <f t="shared" si="4"/>
        <v>1.9380007931886912E-9</v>
      </c>
      <c r="L16" s="20">
        <f t="shared" si="5"/>
        <v>-475.4997909861778</v>
      </c>
      <c r="M16" s="24">
        <f t="shared" si="16"/>
        <v>3.34031842560639</v>
      </c>
      <c r="N16" s="24">
        <f t="shared" si="7"/>
        <v>550.36786380060028</v>
      </c>
      <c r="O16" s="24">
        <f t="shared" si="8"/>
        <v>10714068.134933611</v>
      </c>
      <c r="P16" s="9">
        <f t="shared" si="9"/>
        <v>10714621.843115838</v>
      </c>
      <c r="Q16" s="28">
        <f t="shared" si="10"/>
        <v>5.2378386205221998E-2</v>
      </c>
      <c r="R16" s="28">
        <f t="shared" si="11"/>
        <v>270</v>
      </c>
      <c r="S16" s="28">
        <f t="shared" si="12"/>
        <v>48602.021636443395</v>
      </c>
      <c r="T16" s="5">
        <f t="shared" si="13"/>
        <v>14.142164275409939</v>
      </c>
    </row>
    <row r="17" spans="1:20" ht="14.7" thickBot="1" x14ac:dyDescent="0.6">
      <c r="A17" s="2">
        <v>14</v>
      </c>
      <c r="B17" s="22">
        <f>PI()</f>
        <v>3.1415926535897931</v>
      </c>
      <c r="C17" s="22">
        <f t="shared" si="14"/>
        <v>1020</v>
      </c>
      <c r="D17" s="26">
        <v>6.2831849999999996</v>
      </c>
      <c r="E17" s="5">
        <f t="shared" si="17"/>
        <v>8.623979411764704E-2</v>
      </c>
      <c r="F17" s="3">
        <f t="shared" si="15"/>
        <v>8.2414578379610207E-2</v>
      </c>
      <c r="G17" s="3">
        <f t="shared" si="6"/>
        <v>7.1250888487599199E-3</v>
      </c>
      <c r="H17" s="12">
        <f t="shared" si="0"/>
        <v>1.2662853163735175E-2</v>
      </c>
      <c r="I17" s="36">
        <f t="shared" si="2"/>
        <v>1.429324229886299E-13</v>
      </c>
      <c r="J17" s="36">
        <f t="shared" si="3"/>
        <v>1.0354891772378893E-12</v>
      </c>
      <c r="K17" s="20">
        <f t="shared" si="4"/>
        <v>1.2729118429804943E-10</v>
      </c>
      <c r="L17" s="20">
        <f t="shared" si="5"/>
        <v>-31.231634032779471</v>
      </c>
      <c r="M17" s="24">
        <f t="shared" si="16"/>
        <v>3.34031842560639</v>
      </c>
      <c r="N17" s="24">
        <f t="shared" si="7"/>
        <v>550.36786380060028</v>
      </c>
      <c r="O17" s="24">
        <f t="shared" si="8"/>
        <v>10714068.134933611</v>
      </c>
      <c r="P17" s="9">
        <f t="shared" si="9"/>
        <v>10714621.843115838</v>
      </c>
      <c r="Q17" s="28">
        <f t="shared" si="10"/>
        <v>5.2378386205221998E-2</v>
      </c>
      <c r="R17" s="28">
        <f t="shared" si="11"/>
        <v>270</v>
      </c>
      <c r="S17" s="28">
        <f t="shared" si="12"/>
        <v>48602.019478887836</v>
      </c>
      <c r="T17" s="5">
        <f t="shared" si="13"/>
        <v>14.142164275409939</v>
      </c>
    </row>
    <row r="18" spans="1:20" ht="14.7" thickBot="1" x14ac:dyDescent="0.6">
      <c r="A18" s="2">
        <v>92</v>
      </c>
      <c r="B18" s="22">
        <f>PI()</f>
        <v>3.1415926535897931</v>
      </c>
      <c r="C18" s="22">
        <f t="shared" si="14"/>
        <v>1020</v>
      </c>
      <c r="D18" s="26">
        <v>6.2831849999999996</v>
      </c>
      <c r="E18" s="5">
        <f t="shared" si="17"/>
        <v>0.56671864705882347</v>
      </c>
      <c r="F18" s="3">
        <f t="shared" si="15"/>
        <v>0.37879254989138261</v>
      </c>
      <c r="G18" s="3">
        <f t="shared" si="6"/>
        <v>0.24104417904098421</v>
      </c>
      <c r="H18" s="12">
        <f t="shared" si="0"/>
        <v>0.21331493267050117</v>
      </c>
      <c r="I18" s="36">
        <f t="shared" si="2"/>
        <v>-1.0960168098156107E-12</v>
      </c>
      <c r="J18" s="36">
        <f t="shared" si="3"/>
        <v>-1.3637408996593122E-12</v>
      </c>
      <c r="K18" s="20">
        <f t="shared" si="4"/>
        <v>2.1443121907035837E-9</v>
      </c>
      <c r="L18" s="20">
        <f t="shared" si="5"/>
        <v>-526.11949493118334</v>
      </c>
      <c r="M18" s="24">
        <f t="shared" si="16"/>
        <v>3.34031842560639</v>
      </c>
      <c r="N18" s="24">
        <f t="shared" si="7"/>
        <v>550.36786380060028</v>
      </c>
      <c r="O18" s="24">
        <f t="shared" si="8"/>
        <v>10714068.134933611</v>
      </c>
      <c r="P18" s="9">
        <f t="shared" si="9"/>
        <v>10714621.843115838</v>
      </c>
      <c r="Q18" s="28">
        <f t="shared" si="10"/>
        <v>5.2378386205221998E-2</v>
      </c>
      <c r="R18" s="28">
        <f t="shared" si="11"/>
        <v>270</v>
      </c>
      <c r="S18" s="28">
        <f t="shared" si="12"/>
        <v>48602.022122359449</v>
      </c>
      <c r="T18" s="5">
        <f t="shared" si="13"/>
        <v>14.142164275409939</v>
      </c>
    </row>
    <row r="19" spans="1:20" ht="14.7" thickBot="1" x14ac:dyDescent="0.6">
      <c r="A19" s="2">
        <v>17</v>
      </c>
      <c r="B19" s="22">
        <f>PI()</f>
        <v>3.1415926535897931</v>
      </c>
      <c r="C19" s="22">
        <f t="shared" si="14"/>
        <v>1020</v>
      </c>
      <c r="D19" s="26">
        <v>6.2831849999999996</v>
      </c>
      <c r="E19" s="5">
        <f t="shared" si="17"/>
        <v>0.10471975</v>
      </c>
      <c r="F19" s="3">
        <f t="shared" si="15"/>
        <v>9.9046109287203393E-2</v>
      </c>
      <c r="G19" s="3">
        <f t="shared" si="6"/>
        <v>1.0410165059988057E-2</v>
      </c>
      <c r="H19" s="12">
        <f t="shared" si="0"/>
        <v>1.6943881265510233E-2</v>
      </c>
      <c r="I19" s="36">
        <f t="shared" si="2"/>
        <v>-3.0699519566952957E-13</v>
      </c>
      <c r="J19" s="36">
        <f t="shared" si="3"/>
        <v>-1.072615317235379E-12</v>
      </c>
      <c r="K19" s="20">
        <f t="shared" si="4"/>
        <v>1.7032549339426563E-10</v>
      </c>
      <c r="L19" s="20">
        <f t="shared" si="5"/>
        <v>-41.790352611432318</v>
      </c>
      <c r="M19" s="24">
        <f t="shared" si="16"/>
        <v>3.34031842560639</v>
      </c>
      <c r="N19" s="24">
        <f t="shared" si="7"/>
        <v>550.36786380060028</v>
      </c>
      <c r="O19" s="24">
        <f t="shared" si="8"/>
        <v>10714068.134933611</v>
      </c>
      <c r="P19" s="9">
        <f t="shared" si="9"/>
        <v>10714621.843115838</v>
      </c>
      <c r="Q19" s="28">
        <f t="shared" si="10"/>
        <v>5.2378386205221998E-2</v>
      </c>
      <c r="R19" s="28">
        <f t="shared" si="11"/>
        <v>270</v>
      </c>
      <c r="S19" s="28">
        <f t="shared" si="12"/>
        <v>48602.019486277146</v>
      </c>
      <c r="T19" s="5">
        <f t="shared" si="13"/>
        <v>14.142164275409939</v>
      </c>
    </row>
    <row r="20" spans="1:20" ht="14.7" thickBot="1" x14ac:dyDescent="0.6">
      <c r="A20" s="2">
        <v>43</v>
      </c>
      <c r="B20" s="22">
        <f>PI()</f>
        <v>3.1415926535897931</v>
      </c>
      <c r="C20" s="22">
        <f t="shared" si="14"/>
        <v>1020</v>
      </c>
      <c r="D20" s="26">
        <v>6.2831849999999996</v>
      </c>
      <c r="E20" s="5">
        <f t="shared" si="17"/>
        <v>0.26487936764705877</v>
      </c>
      <c r="F20" s="3">
        <f t="shared" si="15"/>
        <v>0.22678172755980741</v>
      </c>
      <c r="G20" s="3">
        <f t="shared" si="6"/>
        <v>6.1515233453533269E-2</v>
      </c>
      <c r="H20" s="12">
        <f t="shared" si="0"/>
        <v>6.8161980506473485E-2</v>
      </c>
      <c r="I20" s="36">
        <f t="shared" si="2"/>
        <v>8.1085244448809463E-13</v>
      </c>
      <c r="J20" s="36">
        <f t="shared" si="3"/>
        <v>-1.2149710365007261E-12</v>
      </c>
      <c r="K20" s="20">
        <f t="shared" si="4"/>
        <v>6.851867514043162E-10</v>
      </c>
      <c r="L20" s="20">
        <f t="shared" si="5"/>
        <v>-168.11456332955629</v>
      </c>
      <c r="M20" s="24">
        <f t="shared" si="16"/>
        <v>3.34031842560639</v>
      </c>
      <c r="N20" s="24">
        <f t="shared" si="7"/>
        <v>550.36786380060028</v>
      </c>
      <c r="O20" s="24">
        <f t="shared" si="8"/>
        <v>10714068.134933611</v>
      </c>
      <c r="P20" s="9">
        <f t="shared" si="9"/>
        <v>10714621.843115838</v>
      </c>
      <c r="Q20" s="28">
        <f t="shared" si="10"/>
        <v>5.2378386205221998E-2</v>
      </c>
      <c r="R20" s="28">
        <f t="shared" si="11"/>
        <v>270</v>
      </c>
      <c r="S20" s="28">
        <f t="shared" si="12"/>
        <v>48602.019740402597</v>
      </c>
      <c r="T20" s="5">
        <f t="shared" si="13"/>
        <v>14.142164275409939</v>
      </c>
    </row>
    <row r="21" spans="1:20" ht="14.7" thickBot="1" x14ac:dyDescent="0.6">
      <c r="A21" s="2">
        <v>0</v>
      </c>
      <c r="B21" s="22">
        <f>PI()</f>
        <v>3.1415926535897931</v>
      </c>
      <c r="C21" s="22">
        <f t="shared" si="14"/>
        <v>1020</v>
      </c>
      <c r="D21" s="26">
        <v>6.2831849999999996</v>
      </c>
      <c r="E21" s="5">
        <f t="shared" si="17"/>
        <v>0</v>
      </c>
      <c r="F21" s="3">
        <f t="shared" si="15"/>
        <v>0</v>
      </c>
      <c r="G21" s="3">
        <f t="shared" si="6"/>
        <v>0</v>
      </c>
      <c r="H21" s="12">
        <f t="shared" si="0"/>
        <v>0</v>
      </c>
      <c r="I21" s="36">
        <f t="shared" si="2"/>
        <v>0</v>
      </c>
      <c r="J21" s="36">
        <f t="shared" si="3"/>
        <v>0</v>
      </c>
      <c r="K21" s="20">
        <f t="shared" si="4"/>
        <v>0</v>
      </c>
      <c r="L21" s="20">
        <f t="shared" si="5"/>
        <v>0</v>
      </c>
      <c r="M21" s="24">
        <f t="shared" si="16"/>
        <v>3.34031842560639</v>
      </c>
      <c r="N21" s="24">
        <f t="shared" si="7"/>
        <v>550.36786380060028</v>
      </c>
      <c r="O21" s="24">
        <f t="shared" si="8"/>
        <v>10714068.134933611</v>
      </c>
      <c r="P21" s="9">
        <f t="shared" si="9"/>
        <v>10714621.843115838</v>
      </c>
      <c r="Q21" s="28">
        <f t="shared" si="10"/>
        <v>5.2378386205221998E-2</v>
      </c>
      <c r="R21" s="28">
        <f t="shared" si="11"/>
        <v>270</v>
      </c>
      <c r="S21" s="28">
        <f t="shared" si="12"/>
        <v>48602.019469539628</v>
      </c>
      <c r="T21" s="5">
        <f t="shared" si="13"/>
        <v>14.142164275409939</v>
      </c>
    </row>
    <row r="22" spans="1:20" ht="14.7" thickBot="1" x14ac:dyDescent="0.6">
      <c r="A22" s="2">
        <v>1020</v>
      </c>
      <c r="B22" s="22">
        <f>PI()</f>
        <v>3.1415926535897931</v>
      </c>
      <c r="C22" s="22">
        <v>1020</v>
      </c>
      <c r="D22" s="26">
        <v>6.2831849999999996</v>
      </c>
      <c r="E22" s="5">
        <f t="shared" si="17"/>
        <v>6.2831849999999996</v>
      </c>
      <c r="F22" s="3">
        <f t="shared" si="15"/>
        <v>1.9855682665332801</v>
      </c>
      <c r="G22" s="3">
        <f t="shared" si="6"/>
        <v>-6.0992603987760077E-7</v>
      </c>
      <c r="H22" s="12">
        <f t="shared" si="0"/>
        <v>7.8748043953724371</v>
      </c>
      <c r="I22" s="36">
        <f t="shared" si="2"/>
        <v>-1.4051351107933469E-12</v>
      </c>
      <c r="J22" s="36">
        <f t="shared" si="3"/>
        <v>2.2755425968839905E-12</v>
      </c>
      <c r="K22" s="20">
        <f t="shared" si="4"/>
        <v>7.9160135922066212E-8</v>
      </c>
      <c r="L22" s="20">
        <f t="shared" si="5"/>
        <v>-19422.400763545545</v>
      </c>
      <c r="M22" s="24">
        <f t="shared" si="16"/>
        <v>3.34031842560639</v>
      </c>
      <c r="N22" s="24">
        <f t="shared" si="7"/>
        <v>550.36786380060028</v>
      </c>
      <c r="O22" s="24">
        <f t="shared" si="8"/>
        <v>10714068.134933611</v>
      </c>
      <c r="P22" s="9">
        <f t="shared" si="9"/>
        <v>10714621.843115838</v>
      </c>
      <c r="Q22" s="28">
        <f t="shared" si="10"/>
        <v>5.2378386205221998E-2</v>
      </c>
      <c r="R22" s="28">
        <f t="shared" si="11"/>
        <v>270</v>
      </c>
      <c r="S22" s="28">
        <f t="shared" si="12"/>
        <v>48605.634773249411</v>
      </c>
      <c r="T22" s="5">
        <f t="shared" si="13"/>
        <v>14.142164275409939</v>
      </c>
    </row>
    <row r="23" spans="1:20" ht="14.7" thickBot="1" x14ac:dyDescent="0.6">
      <c r="A23" s="2">
        <v>16</v>
      </c>
      <c r="B23" s="22">
        <f>PI()</f>
        <v>3.1415926535897931</v>
      </c>
      <c r="C23" s="22">
        <v>1020</v>
      </c>
      <c r="D23" s="26">
        <v>6.2831849999999996</v>
      </c>
      <c r="E23" s="5">
        <f t="shared" si="17"/>
        <v>9.8559764705882347E-2</v>
      </c>
      <c r="F23" s="3">
        <f t="shared" si="15"/>
        <v>9.3543827206868477E-2</v>
      </c>
      <c r="G23" s="3">
        <f t="shared" si="6"/>
        <v>9.2496273904888252E-3</v>
      </c>
      <c r="H23" s="12">
        <f t="shared" si="0"/>
        <v>1.5471039372317879E-2</v>
      </c>
      <c r="I23" s="36">
        <f t="shared" si="2"/>
        <v>-1.0473158968236639E-12</v>
      </c>
      <c r="J23" s="36">
        <f t="shared" si="3"/>
        <v>-3.148569261693731E-13</v>
      </c>
      <c r="K23" s="20">
        <f t="shared" si="4"/>
        <v>1.5551999999999994E-10</v>
      </c>
      <c r="L23" s="20">
        <f t="shared" si="5"/>
        <v>-38.157738507679923</v>
      </c>
      <c r="M23" s="24">
        <f t="shared" si="16"/>
        <v>3.34031842560639</v>
      </c>
      <c r="N23" s="24">
        <f t="shared" si="7"/>
        <v>550.36786380060028</v>
      </c>
      <c r="O23" s="24">
        <f t="shared" si="8"/>
        <v>10714068.134933611</v>
      </c>
      <c r="P23" s="9">
        <f t="shared" si="9"/>
        <v>10714621.843115838</v>
      </c>
      <c r="Q23" s="28">
        <f t="shared" si="10"/>
        <v>5.2378386205221998E-2</v>
      </c>
      <c r="R23" s="28">
        <f t="shared" si="11"/>
        <v>270</v>
      </c>
      <c r="S23" s="28">
        <f t="shared" si="12"/>
        <v>48602.019483493801</v>
      </c>
      <c r="T23" s="5">
        <f t="shared" si="13"/>
        <v>14.142164275409939</v>
      </c>
    </row>
    <row r="24" spans="1:20" ht="14.7" thickBot="1" x14ac:dyDescent="0.6">
      <c r="A24" s="2">
        <v>39</v>
      </c>
      <c r="B24" s="22">
        <f>PI()</f>
        <v>3.1415926535897931</v>
      </c>
      <c r="C24" s="22">
        <v>1020</v>
      </c>
      <c r="D24" s="26">
        <v>6.2831849999999996</v>
      </c>
      <c r="E24" s="5">
        <f t="shared" si="17"/>
        <v>0.24023942647058821</v>
      </c>
      <c r="F24" s="3">
        <f t="shared" si="15"/>
        <v>0.20912112590616697</v>
      </c>
      <c r="G24" s="3">
        <f t="shared" si="6"/>
        <v>5.1228503096661514E-2</v>
      </c>
      <c r="H24" s="12">
        <f t="shared" si="0"/>
        <v>5.887574666589767E-2</v>
      </c>
      <c r="I24" s="36">
        <f t="shared" si="2"/>
        <v>3.7967486302016409E-13</v>
      </c>
      <c r="J24" s="36">
        <f t="shared" si="3"/>
        <v>1.3723554493952062E-12</v>
      </c>
      <c r="K24" s="20">
        <f t="shared" si="4"/>
        <v>5.9183846030821583E-10</v>
      </c>
      <c r="L24" s="20">
        <f t="shared" si="5"/>
        <v>-145.21101599298359</v>
      </c>
      <c r="M24" s="24">
        <f t="shared" si="16"/>
        <v>3.34031842560639</v>
      </c>
      <c r="N24" s="24">
        <f t="shared" si="7"/>
        <v>550.36786380060028</v>
      </c>
      <c r="O24" s="24">
        <f t="shared" si="8"/>
        <v>10714068.134933611</v>
      </c>
      <c r="P24" s="9">
        <f t="shared" si="9"/>
        <v>10714621.843115838</v>
      </c>
      <c r="Q24" s="28">
        <f t="shared" si="10"/>
        <v>5.2378386205221998E-2</v>
      </c>
      <c r="R24" s="28">
        <f t="shared" si="11"/>
        <v>270</v>
      </c>
      <c r="S24" s="28">
        <f t="shared" si="12"/>
        <v>48602.019671626498</v>
      </c>
      <c r="T24" s="5">
        <f t="shared" si="13"/>
        <v>14.142164275409939</v>
      </c>
    </row>
    <row r="25" spans="1:20" ht="14.7" thickBot="1" x14ac:dyDescent="0.6">
      <c r="A25" s="2">
        <v>314</v>
      </c>
      <c r="B25" s="22">
        <f>PI()</f>
        <v>3.1415926535897931</v>
      </c>
      <c r="C25" s="22">
        <v>1020</v>
      </c>
      <c r="D25" s="26">
        <v>6.2831849999999996</v>
      </c>
      <c r="E25" s="5">
        <f t="shared" si="17"/>
        <v>1.934235382352941</v>
      </c>
      <c r="F25" s="3">
        <f t="shared" si="15"/>
        <v>-0.38266691114261847</v>
      </c>
      <c r="G25" s="3">
        <f t="shared" si="6"/>
        <v>1.0061331763182111</v>
      </c>
      <c r="H25" s="12">
        <f t="shared" si="0"/>
        <v>1.3450362510784184</v>
      </c>
      <c r="I25" s="36">
        <f t="shared" si="2"/>
        <v>2.1923906089289572E-12</v>
      </c>
      <c r="J25" s="36">
        <f t="shared" si="3"/>
        <v>-3.5215444380567976E-13</v>
      </c>
      <c r="K25" s="20">
        <f t="shared" si="4"/>
        <v>1.3520748847811655E-8</v>
      </c>
      <c r="L25" s="20">
        <f t="shared" si="5"/>
        <v>-3317.3945406559401</v>
      </c>
      <c r="M25" s="24">
        <f t="shared" si="16"/>
        <v>3.34031842560639</v>
      </c>
      <c r="N25" s="24">
        <f t="shared" si="7"/>
        <v>550.36786380060028</v>
      </c>
      <c r="O25" s="24">
        <f t="shared" si="8"/>
        <v>10714068.134933611</v>
      </c>
      <c r="P25" s="9">
        <f t="shared" si="9"/>
        <v>10714621.843115838</v>
      </c>
      <c r="Q25" s="28">
        <f t="shared" si="10"/>
        <v>5.2378386205221998E-2</v>
      </c>
      <c r="R25" s="28">
        <f t="shared" si="11"/>
        <v>270</v>
      </c>
      <c r="S25" s="28">
        <f t="shared" si="12"/>
        <v>48602.124940576556</v>
      </c>
      <c r="T25" s="5">
        <f t="shared" si="13"/>
        <v>14.142164275409939</v>
      </c>
    </row>
    <row r="26" spans="1:20" ht="14.7" thickBot="1" x14ac:dyDescent="0.6">
      <c r="A26" s="2">
        <v>429</v>
      </c>
      <c r="B26" s="22">
        <f>PI()</f>
        <v>3.1415926535897931</v>
      </c>
      <c r="C26" s="22">
        <v>1020</v>
      </c>
      <c r="D26" s="26">
        <v>6.2831849999999996</v>
      </c>
      <c r="E26" s="5">
        <f t="shared" si="17"/>
        <v>2.6426336911764703</v>
      </c>
      <c r="F26" s="3">
        <f t="shared" si="15"/>
        <v>-1.1351016622873624</v>
      </c>
      <c r="G26" s="3">
        <f t="shared" si="6"/>
        <v>0.61857538321050132</v>
      </c>
      <c r="H26" s="12">
        <f>0.5 * (E26^1.5)</f>
        <v>2.1479563703708053</v>
      </c>
      <c r="I26" s="36">
        <f t="shared" si="2"/>
        <v>-4.0199474020150109E-13</v>
      </c>
      <c r="J26" s="36">
        <f t="shared" si="3"/>
        <v>2.3058419977079509E-12</v>
      </c>
      <c r="K26" s="20">
        <f t="shared" si="4"/>
        <v>2.1591967202784011E-8</v>
      </c>
      <c r="L26" s="20">
        <f t="shared" si="5"/>
        <v>-5297.7150102252672</v>
      </c>
      <c r="M26" s="24">
        <f t="shared" si="16"/>
        <v>3.34031842560639</v>
      </c>
      <c r="N26" s="24">
        <f t="shared" si="7"/>
        <v>550.36786380060028</v>
      </c>
      <c r="O26" s="24">
        <f t="shared" si="8"/>
        <v>10714068.134933611</v>
      </c>
      <c r="P26" s="9">
        <f t="shared" si="9"/>
        <v>10714621.843115838</v>
      </c>
      <c r="Q26" s="28">
        <f t="shared" si="10"/>
        <v>5.2378386205221998E-2</v>
      </c>
      <c r="R26" s="28">
        <f t="shared" si="11"/>
        <v>270</v>
      </c>
      <c r="S26" s="28">
        <f t="shared" si="12"/>
        <v>48602.288447160616</v>
      </c>
      <c r="T26" s="5">
        <f t="shared" si="13"/>
        <v>14.142164275409939</v>
      </c>
    </row>
    <row r="27" spans="1:20" ht="14.7" thickBot="1" x14ac:dyDescent="0.6">
      <c r="A27" s="2">
        <v>102</v>
      </c>
      <c r="B27" s="22">
        <f>PI()</f>
        <v>3.1415926535897931</v>
      </c>
      <c r="C27" s="22">
        <v>1020</v>
      </c>
      <c r="D27" s="26">
        <v>6.2831849999999996</v>
      </c>
      <c r="E27" s="5">
        <f t="shared" si="17"/>
        <v>0.6283185</v>
      </c>
      <c r="F27" s="3">
        <f t="shared" si="15"/>
        <v>0.39443453517291555</v>
      </c>
      <c r="G27" s="3">
        <f t="shared" si="6"/>
        <v>0.28657344580520727</v>
      </c>
      <c r="H27" s="12">
        <f t="shared" si="0"/>
        <v>0.24902318017682026</v>
      </c>
      <c r="I27" s="36">
        <f t="shared" si="2"/>
        <v>1.8173737140500085E-13</v>
      </c>
      <c r="J27" s="36">
        <f t="shared" si="3"/>
        <v>1.7797504913160449E-12</v>
      </c>
      <c r="K27" s="20">
        <f t="shared" si="4"/>
        <v>2.5032632940224245E-9</v>
      </c>
      <c r="L27" s="20">
        <f t="shared" si="5"/>
        <v>-614.19024041397358</v>
      </c>
      <c r="M27" s="24">
        <f t="shared" si="16"/>
        <v>3.34031842560639</v>
      </c>
      <c r="N27" s="24">
        <f t="shared" si="7"/>
        <v>550.36786380060028</v>
      </c>
      <c r="O27" s="24">
        <f t="shared" si="8"/>
        <v>10714068.134933611</v>
      </c>
      <c r="P27" s="9">
        <f t="shared" si="9"/>
        <v>10714621.843115838</v>
      </c>
      <c r="Q27" s="28">
        <f t="shared" si="10"/>
        <v>5.2378386205221998E-2</v>
      </c>
      <c r="R27" s="28">
        <f t="shared" si="11"/>
        <v>270</v>
      </c>
      <c r="S27" s="28">
        <f t="shared" si="12"/>
        <v>48602.023084843335</v>
      </c>
      <c r="T27" s="5">
        <f t="shared" si="13"/>
        <v>14.142164275409939</v>
      </c>
    </row>
    <row r="28" spans="1:20" ht="14.7" thickBot="1" x14ac:dyDescent="0.6">
      <c r="A28" s="2">
        <v>372</v>
      </c>
      <c r="B28" s="22">
        <f>PI()</f>
        <v>3.1415926535897931</v>
      </c>
      <c r="C28" s="22">
        <v>1020</v>
      </c>
      <c r="D28" s="26">
        <v>6.2831849999999996</v>
      </c>
      <c r="E28" s="5">
        <f t="shared" si="17"/>
        <v>2.2915145294117645</v>
      </c>
      <c r="F28" s="3">
        <f t="shared" si="15"/>
        <v>-0.78619954392678271</v>
      </c>
      <c r="G28" s="3">
        <f t="shared" si="6"/>
        <v>0.89509768337792162</v>
      </c>
      <c r="H28" s="12">
        <f t="shared" si="0"/>
        <v>1.7344186196633864</v>
      </c>
      <c r="I28" s="36">
        <f t="shared" si="2"/>
        <v>6.288826534775552E-13</v>
      </c>
      <c r="J28" s="36">
        <f t="shared" si="3"/>
        <v>2.1975133455362272E-12</v>
      </c>
      <c r="K28" s="20">
        <f t="shared" si="4"/>
        <v>1.7434949083814364E-8</v>
      </c>
      <c r="L28" s="20">
        <f t="shared" si="5"/>
        <v>-4277.7663839692796</v>
      </c>
      <c r="M28" s="24">
        <f t="shared" si="16"/>
        <v>3.34031842560639</v>
      </c>
      <c r="N28" s="24">
        <f t="shared" si="7"/>
        <v>550.36786380060028</v>
      </c>
      <c r="O28" s="24">
        <f t="shared" si="8"/>
        <v>10714068.134933611</v>
      </c>
      <c r="P28" s="9">
        <f t="shared" si="9"/>
        <v>10714621.843115838</v>
      </c>
      <c r="Q28" s="28">
        <f t="shared" si="10"/>
        <v>5.2378386205221998E-2</v>
      </c>
      <c r="R28" s="28">
        <f t="shared" si="11"/>
        <v>270</v>
      </c>
      <c r="S28" s="28">
        <f t="shared" si="12"/>
        <v>48602.194846723127</v>
      </c>
      <c r="T28" s="5">
        <f t="shared" si="13"/>
        <v>14.142164275409939</v>
      </c>
    </row>
    <row r="29" spans="1:20" ht="14.7" thickBot="1" x14ac:dyDescent="0.6">
      <c r="A29" s="2">
        <v>229</v>
      </c>
      <c r="B29" s="22">
        <f>PI()</f>
        <v>3.1415926535897931</v>
      </c>
      <c r="C29" s="22">
        <v>1020</v>
      </c>
      <c r="D29" s="26">
        <v>6.2831849999999996</v>
      </c>
      <c r="E29" s="5">
        <f t="shared" si="17"/>
        <v>1.4106366323529409</v>
      </c>
      <c r="F29" s="3">
        <f t="shared" si="15"/>
        <v>0.14032135344092109</v>
      </c>
      <c r="G29" s="3">
        <f t="shared" si="6"/>
        <v>0.86862988114355533</v>
      </c>
      <c r="H29" s="12">
        <f t="shared" si="0"/>
        <v>0.83770815040544666</v>
      </c>
      <c r="I29" s="36">
        <f t="shared" si="2"/>
        <v>-1.9815366770086996E-12</v>
      </c>
      <c r="J29" s="36">
        <f t="shared" si="3"/>
        <v>6.9262355272809594E-13</v>
      </c>
      <c r="K29" s="20">
        <f t="shared" si="4"/>
        <v>8.4209191390310834E-9</v>
      </c>
      <c r="L29" s="20">
        <f t="shared" si="5"/>
        <v>-2066.1215953026317</v>
      </c>
      <c r="M29" s="24">
        <f t="shared" si="16"/>
        <v>3.34031842560639</v>
      </c>
      <c r="N29" s="24">
        <f t="shared" si="7"/>
        <v>550.36786380060028</v>
      </c>
      <c r="O29" s="24">
        <f t="shared" si="8"/>
        <v>10714068.134933611</v>
      </c>
      <c r="P29" s="9">
        <f t="shared" si="9"/>
        <v>10714621.843115838</v>
      </c>
      <c r="Q29" s="28">
        <f t="shared" si="10"/>
        <v>5.2378386205221998E-2</v>
      </c>
      <c r="R29" s="28">
        <f t="shared" si="11"/>
        <v>270</v>
      </c>
      <c r="S29" s="28">
        <f t="shared" si="12"/>
        <v>48602.060381540367</v>
      </c>
      <c r="T29" s="5">
        <f t="shared" si="13"/>
        <v>14.142164275409939</v>
      </c>
    </row>
    <row r="30" spans="1:20" ht="14.7" thickBot="1" x14ac:dyDescent="0.6">
      <c r="A30" s="2">
        <v>17</v>
      </c>
      <c r="B30" s="22">
        <f>PI()</f>
        <v>3.1415926535897931</v>
      </c>
      <c r="C30" s="22">
        <v>1020</v>
      </c>
      <c r="D30" s="26">
        <v>6.2831849999999996</v>
      </c>
      <c r="E30" s="5">
        <f t="shared" si="17"/>
        <v>0.10471975</v>
      </c>
      <c r="F30" s="3">
        <f t="shared" si="15"/>
        <v>9.9046109287203393E-2</v>
      </c>
      <c r="G30" s="3">
        <f t="shared" si="6"/>
        <v>1.0410165059988057E-2</v>
      </c>
      <c r="H30" s="12">
        <f t="shared" si="0"/>
        <v>1.6943881265510233E-2</v>
      </c>
      <c r="I30" s="36">
        <f t="shared" si="2"/>
        <v>-3.0699519566952957E-13</v>
      </c>
      <c r="J30" s="36">
        <f t="shared" si="3"/>
        <v>-1.072615317235379E-12</v>
      </c>
      <c r="K30" s="20">
        <f t="shared" si="4"/>
        <v>1.7032549339426563E-10</v>
      </c>
      <c r="L30" s="20">
        <f t="shared" si="5"/>
        <v>-41.790352611432318</v>
      </c>
      <c r="M30" s="24">
        <f t="shared" si="16"/>
        <v>3.34031842560639</v>
      </c>
      <c r="N30" s="24">
        <f t="shared" si="7"/>
        <v>550.36786380060028</v>
      </c>
      <c r="O30" s="24">
        <f t="shared" si="8"/>
        <v>10714068.134933611</v>
      </c>
      <c r="P30" s="9">
        <f t="shared" si="9"/>
        <v>10714621.843115838</v>
      </c>
      <c r="Q30" s="28">
        <f t="shared" si="10"/>
        <v>5.2378386205221998E-2</v>
      </c>
      <c r="R30" s="28">
        <f t="shared" si="11"/>
        <v>270</v>
      </c>
      <c r="S30" s="28">
        <f t="shared" si="12"/>
        <v>48602.019486277146</v>
      </c>
      <c r="T30" s="5">
        <f t="shared" si="13"/>
        <v>14.142164275409939</v>
      </c>
    </row>
    <row r="31" spans="1:20" ht="14.7" thickBot="1" x14ac:dyDescent="0.6">
      <c r="A31" s="2">
        <v>74</v>
      </c>
      <c r="B31" s="22">
        <f>PI()</f>
        <v>3.1415926535897931</v>
      </c>
      <c r="C31" s="22">
        <v>1020</v>
      </c>
      <c r="D31" s="26">
        <v>6.2831849999999996</v>
      </c>
      <c r="E31" s="5">
        <f t="shared" si="17"/>
        <v>0.45583891176470581</v>
      </c>
      <c r="F31" s="3">
        <f t="shared" si="15"/>
        <v>0.33723236380119814</v>
      </c>
      <c r="G31" s="3">
        <f t="shared" si="6"/>
        <v>0.16533723562037789</v>
      </c>
      <c r="H31" s="12">
        <f t="shared" si="0"/>
        <v>0.153881743040511</v>
      </c>
      <c r="I31" s="36">
        <f t="shared" si="2"/>
        <v>2.8617560674557937E-13</v>
      </c>
      <c r="J31" s="36">
        <f t="shared" si="3"/>
        <v>-1.641795906091232E-12</v>
      </c>
      <c r="K31" s="20">
        <f t="shared" si="4"/>
        <v>1.5468701295196066E-9</v>
      </c>
      <c r="L31" s="20">
        <f t="shared" si="5"/>
        <v>-379.53360280060531</v>
      </c>
      <c r="M31" s="24">
        <f t="shared" si="16"/>
        <v>3.34031842560639</v>
      </c>
      <c r="N31" s="24">
        <f t="shared" si="7"/>
        <v>550.36786380060028</v>
      </c>
      <c r="O31" s="24">
        <f t="shared" si="8"/>
        <v>10714068.134933611</v>
      </c>
      <c r="P31" s="9">
        <f t="shared" si="9"/>
        <v>10714621.843115838</v>
      </c>
      <c r="Q31" s="28">
        <f t="shared" si="10"/>
        <v>5.2378386205221998E-2</v>
      </c>
      <c r="R31" s="28">
        <f t="shared" si="11"/>
        <v>270</v>
      </c>
      <c r="S31" s="28">
        <f t="shared" si="12"/>
        <v>48602.02085004923</v>
      </c>
      <c r="T31" s="5">
        <f t="shared" si="13"/>
        <v>14.142164275409939</v>
      </c>
    </row>
    <row r="32" spans="1:20" ht="14.7" thickBot="1" x14ac:dyDescent="0.6">
      <c r="A32" s="2">
        <v>2</v>
      </c>
      <c r="B32" s="22">
        <f>PI()</f>
        <v>3.1415926535897931</v>
      </c>
      <c r="C32" s="22">
        <v>1020</v>
      </c>
      <c r="D32" s="26">
        <v>6.2831849999999996</v>
      </c>
      <c r="E32" s="5">
        <f t="shared" si="17"/>
        <v>1.2319970588235293E-2</v>
      </c>
      <c r="F32" s="3">
        <f t="shared" si="15"/>
        <v>1.2243768114029149E-2</v>
      </c>
      <c r="G32" s="3">
        <f t="shared" si="6"/>
        <v>1.508504952448701E-4</v>
      </c>
      <c r="H32" s="12">
        <f t="shared" si="0"/>
        <v>6.8372980326062717E-4</v>
      </c>
      <c r="I32" s="36">
        <f t="shared" si="2"/>
        <v>-1.7647303500912526E-13</v>
      </c>
      <c r="J32" s="36">
        <f t="shared" si="3"/>
        <v>3.8560061628568436E-13</v>
      </c>
      <c r="K32" s="20">
        <f t="shared" si="4"/>
        <v>6.8730779131332411E-12</v>
      </c>
      <c r="L32" s="20">
        <f t="shared" si="5"/>
        <v>-1.6863497283452207</v>
      </c>
      <c r="M32" s="24">
        <f t="shared" si="16"/>
        <v>3.34031842560639</v>
      </c>
      <c r="N32" s="24">
        <f t="shared" si="7"/>
        <v>550.36786380060028</v>
      </c>
      <c r="O32" s="24">
        <f t="shared" si="8"/>
        <v>10714068.134933611</v>
      </c>
      <c r="P32" s="9">
        <f t="shared" si="9"/>
        <v>10714621.843115838</v>
      </c>
      <c r="Q32" s="28">
        <f t="shared" si="10"/>
        <v>5.2378386205221998E-2</v>
      </c>
      <c r="R32" s="28">
        <f t="shared" si="11"/>
        <v>270</v>
      </c>
      <c r="S32" s="28">
        <f t="shared" si="12"/>
        <v>48602.019469566883</v>
      </c>
      <c r="T32" s="5">
        <f t="shared" si="13"/>
        <v>14.142164275409939</v>
      </c>
    </row>
    <row r="33" s="1" customFormat="1" x14ac:dyDescent="0.55000000000000004"/>
    <row r="34" s="1" customFormat="1" x14ac:dyDescent="0.55000000000000004"/>
    <row r="35" s="1" customFormat="1" x14ac:dyDescent="0.55000000000000004"/>
    <row r="36" s="1" customFormat="1" x14ac:dyDescent="0.55000000000000004"/>
    <row r="37" s="1" customFormat="1" x14ac:dyDescent="0.55000000000000004"/>
  </sheetData>
  <mergeCells count="5">
    <mergeCell ref="B1:E1"/>
    <mergeCell ref="F1:H1"/>
    <mergeCell ref="M1:P1"/>
    <mergeCell ref="Q1:T1"/>
    <mergeCell ref="I1:L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0,5</vt:lpstr>
      <vt:lpstr>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User2</dc:creator>
  <cp:lastModifiedBy>Сергей Овчинников</cp:lastModifiedBy>
  <dcterms:created xsi:type="dcterms:W3CDTF">2015-06-05T18:19:34Z</dcterms:created>
  <dcterms:modified xsi:type="dcterms:W3CDTF">2025-07-29T06:39:40Z</dcterms:modified>
</cp:coreProperties>
</file>