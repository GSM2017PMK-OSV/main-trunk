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2\Desktop\"/>
    </mc:Choice>
  </mc:AlternateContent>
  <xr:revisionPtr revIDLastSave="0" documentId="8_{8EDD64CE-9B2D-4006-8514-EE62C22A33D8}" xr6:coauthVersionLast="47" xr6:coauthVersionMax="47" xr10:uidLastSave="{00000000-0000-0000-0000-000000000000}"/>
  <bookViews>
    <workbookView xWindow="-96" yWindow="-96" windowWidth="17472" windowHeight="10992" tabRatio="605" xr2:uid="{00000000-000D-0000-FFFF-FFFF00000000}"/>
  </bookViews>
  <sheets>
    <sheet name="Лист 2" sheetId="3" r:id="rId1"/>
  </sheets>
  <definedNames>
    <definedName name="_xlnm.Print_Area" localSheetId="0">'Лист 2'!$A$1:$AT$88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7" i="3" l="1"/>
  <c r="V68" i="3"/>
  <c r="AF36" i="3"/>
  <c r="AF37" i="3"/>
  <c r="U67" i="3"/>
  <c r="T67" i="3"/>
  <c r="AA67" i="3" s="1"/>
  <c r="AB67" i="3" s="1"/>
  <c r="S67" i="3"/>
  <c r="R67" i="3"/>
  <c r="Y67" i="3" s="1"/>
  <c r="T57" i="3"/>
  <c r="T68" i="3"/>
  <c r="AA68" i="3" s="1"/>
  <c r="AB68" i="3" s="1"/>
  <c r="U36" i="3"/>
  <c r="U37" i="3"/>
  <c r="V37" i="3"/>
  <c r="U38" i="3"/>
  <c r="U39" i="3"/>
  <c r="U40" i="3"/>
  <c r="U41" i="3"/>
  <c r="V41" i="3"/>
  <c r="U42" i="3"/>
  <c r="V42" i="3"/>
  <c r="U43" i="3"/>
  <c r="V43" i="3"/>
  <c r="U44" i="3"/>
  <c r="U45" i="3"/>
  <c r="U46" i="3"/>
  <c r="V46" i="3"/>
  <c r="U47" i="3"/>
  <c r="V47" i="3"/>
  <c r="U48" i="3"/>
  <c r="V48" i="3"/>
  <c r="U49" i="3"/>
  <c r="V49" i="3"/>
  <c r="U50" i="3"/>
  <c r="V50" i="3"/>
  <c r="U51" i="3"/>
  <c r="V51" i="3"/>
  <c r="U52" i="3"/>
  <c r="V52" i="3"/>
  <c r="U53" i="3"/>
  <c r="V53" i="3"/>
  <c r="U54" i="3"/>
  <c r="V54" i="3"/>
  <c r="U55" i="3"/>
  <c r="V55" i="3"/>
  <c r="U56" i="3"/>
  <c r="V56" i="3"/>
  <c r="U57" i="3"/>
  <c r="V57" i="3"/>
  <c r="U58" i="3"/>
  <c r="V58" i="3"/>
  <c r="U59" i="3"/>
  <c r="V59" i="3"/>
  <c r="U60" i="3"/>
  <c r="V60" i="3"/>
  <c r="U61" i="3"/>
  <c r="V61" i="3"/>
  <c r="U62" i="3"/>
  <c r="V62" i="3"/>
  <c r="U63" i="3"/>
  <c r="V63" i="3"/>
  <c r="U64" i="3"/>
  <c r="V64" i="3"/>
  <c r="U65" i="3"/>
  <c r="V65" i="3"/>
  <c r="U66" i="3"/>
  <c r="V66" i="3"/>
  <c r="U68" i="3"/>
  <c r="T38" i="3"/>
  <c r="AA38" i="3" s="1"/>
  <c r="AB38" i="3" s="1"/>
  <c r="S38" i="3"/>
  <c r="Z38" i="3" s="1"/>
  <c r="R38" i="3"/>
  <c r="Y38" i="3" s="1"/>
  <c r="T39" i="3"/>
  <c r="X39" i="3" s="1"/>
  <c r="S39" i="3"/>
  <c r="Z39" i="3" s="1"/>
  <c r="R39" i="3"/>
  <c r="Y39" i="3" s="1"/>
  <c r="T40" i="3"/>
  <c r="X40" i="3" s="1"/>
  <c r="S40" i="3"/>
  <c r="Z40" i="3" s="1"/>
  <c r="R40" i="3"/>
  <c r="Y40" i="3" s="1"/>
  <c r="R45" i="3"/>
  <c r="Y45" i="3" s="1"/>
  <c r="S45" i="3"/>
  <c r="Z45" i="3" s="1"/>
  <c r="T45" i="3"/>
  <c r="X45" i="3" s="1"/>
  <c r="T44" i="3"/>
  <c r="AA44" i="3" s="1"/>
  <c r="AB44" i="3" s="1"/>
  <c r="S44" i="3"/>
  <c r="Z44" i="3" s="1"/>
  <c r="R44" i="3"/>
  <c r="Y44" i="3" s="1"/>
  <c r="T36" i="3"/>
  <c r="X36" i="3" s="1"/>
  <c r="S36" i="3"/>
  <c r="Z36" i="3" s="1"/>
  <c r="R36" i="3"/>
  <c r="R51" i="3"/>
  <c r="Y51" i="3" s="1"/>
  <c r="S51" i="3"/>
  <c r="Z51" i="3" s="1"/>
  <c r="T51" i="3"/>
  <c r="AF51" i="3" s="1"/>
  <c r="T37" i="3"/>
  <c r="X37" i="3" s="1"/>
  <c r="T41" i="3"/>
  <c r="X41" i="3" s="1"/>
  <c r="S37" i="3"/>
  <c r="Z37" i="3" s="1"/>
  <c r="R37" i="3"/>
  <c r="Y37" i="3" s="1"/>
  <c r="B4" i="3"/>
  <c r="B6" i="3"/>
  <c r="B7" i="3"/>
  <c r="B8" i="3"/>
  <c r="B9" i="3"/>
  <c r="B5" i="3"/>
  <c r="T60" i="3"/>
  <c r="X60" i="3" s="1"/>
  <c r="S60" i="3"/>
  <c r="Z60" i="3" s="1"/>
  <c r="R60" i="3"/>
  <c r="Y60" i="3" s="1"/>
  <c r="T56" i="3"/>
  <c r="X56" i="3" s="1"/>
  <c r="S56" i="3"/>
  <c r="Z56" i="3" s="1"/>
  <c r="R56" i="3"/>
  <c r="Y56" i="3" s="1"/>
  <c r="R48" i="3"/>
  <c r="Y48" i="3" s="1"/>
  <c r="S48" i="3"/>
  <c r="Z48" i="3" s="1"/>
  <c r="T48" i="3"/>
  <c r="T46" i="3"/>
  <c r="AA46" i="3" s="1"/>
  <c r="AB46" i="3" s="1"/>
  <c r="S46" i="3"/>
  <c r="Z46" i="3" s="1"/>
  <c r="R46" i="3"/>
  <c r="Y46" i="3" s="1"/>
  <c r="R63" i="3"/>
  <c r="Y63" i="3" s="1"/>
  <c r="S63" i="3"/>
  <c r="Z63" i="3" s="1"/>
  <c r="T63" i="3"/>
  <c r="AA63" i="3" s="1"/>
  <c r="AB63" i="3" s="1"/>
  <c r="T61" i="3"/>
  <c r="X61" i="3" s="1"/>
  <c r="S61" i="3"/>
  <c r="Z61" i="3" s="1"/>
  <c r="R61" i="3"/>
  <c r="Y61" i="3" s="1"/>
  <c r="S42" i="3"/>
  <c r="Z42" i="3" s="1"/>
  <c r="S43" i="3"/>
  <c r="Z43" i="3" s="1"/>
  <c r="S47" i="3"/>
  <c r="Z47" i="3" s="1"/>
  <c r="S49" i="3"/>
  <c r="Z49" i="3" s="1"/>
  <c r="S50" i="3"/>
  <c r="Z50" i="3" s="1"/>
  <c r="S52" i="3"/>
  <c r="Z52" i="3" s="1"/>
  <c r="S53" i="3"/>
  <c r="Z53" i="3" s="1"/>
  <c r="S54" i="3"/>
  <c r="Z54" i="3" s="1"/>
  <c r="S55" i="3"/>
  <c r="Z55" i="3" s="1"/>
  <c r="S57" i="3"/>
  <c r="Z57" i="3" s="1"/>
  <c r="S58" i="3"/>
  <c r="Z58" i="3" s="1"/>
  <c r="S59" i="3"/>
  <c r="Z59" i="3" s="1"/>
  <c r="S62" i="3"/>
  <c r="Z62" i="3" s="1"/>
  <c r="S64" i="3"/>
  <c r="Z64" i="3" s="1"/>
  <c r="S65" i="3"/>
  <c r="Z65" i="3" s="1"/>
  <c r="S66" i="3"/>
  <c r="Z66" i="3" s="1"/>
  <c r="S68" i="3"/>
  <c r="Z68" i="3" s="1"/>
  <c r="S41" i="3"/>
  <c r="Z41" i="3" s="1"/>
  <c r="R55" i="3"/>
  <c r="Y55" i="3" s="1"/>
  <c r="T55" i="3"/>
  <c r="X55" i="3" s="1"/>
  <c r="T66" i="3"/>
  <c r="R66" i="3"/>
  <c r="Y66" i="3" s="1"/>
  <c r="T65" i="3"/>
  <c r="AA65" i="3" s="1"/>
  <c r="AB65" i="3" s="1"/>
  <c r="R65" i="3"/>
  <c r="Y65" i="3" s="1"/>
  <c r="T64" i="3"/>
  <c r="R64" i="3"/>
  <c r="Y64" i="3" s="1"/>
  <c r="R68" i="3"/>
  <c r="Y68" i="3" s="1"/>
  <c r="T62" i="3"/>
  <c r="X62" i="3" s="1"/>
  <c r="R62" i="3"/>
  <c r="Y62" i="3" s="1"/>
  <c r="T59" i="3"/>
  <c r="X59" i="3" s="1"/>
  <c r="R59" i="3"/>
  <c r="Y59" i="3" s="1"/>
  <c r="T58" i="3"/>
  <c r="X58" i="3" s="1"/>
  <c r="R58" i="3"/>
  <c r="Y58" i="3" s="1"/>
  <c r="R57" i="3"/>
  <c r="Y57" i="3" s="1"/>
  <c r="T54" i="3"/>
  <c r="X54" i="3" s="1"/>
  <c r="R54" i="3"/>
  <c r="Y54" i="3" s="1"/>
  <c r="T53" i="3"/>
  <c r="AA53" i="3" s="1"/>
  <c r="AB53" i="3" s="1"/>
  <c r="R53" i="3"/>
  <c r="Y53" i="3" s="1"/>
  <c r="T52" i="3"/>
  <c r="AD52" i="3" s="1"/>
  <c r="R52" i="3"/>
  <c r="Y52" i="3" s="1"/>
  <c r="T50" i="3"/>
  <c r="AA50" i="3" s="1"/>
  <c r="AB50" i="3" s="1"/>
  <c r="R50" i="3"/>
  <c r="Y50" i="3" s="1"/>
  <c r="T49" i="3"/>
  <c r="W48" i="3" s="1"/>
  <c r="R49" i="3"/>
  <c r="Y49" i="3" s="1"/>
  <c r="T47" i="3"/>
  <c r="R47" i="3"/>
  <c r="Y47" i="3" s="1"/>
  <c r="T43" i="3"/>
  <c r="X43" i="3" s="1"/>
  <c r="R43" i="3"/>
  <c r="Y43" i="3" s="1"/>
  <c r="T42" i="3"/>
  <c r="X42" i="3" s="1"/>
  <c r="R42" i="3"/>
  <c r="Y42" i="3" s="1"/>
  <c r="R41" i="3"/>
  <c r="Y41" i="3" s="1"/>
  <c r="AD61" i="3" l="1"/>
  <c r="AD60" i="3"/>
  <c r="AD58" i="3"/>
  <c r="AC42" i="3"/>
  <c r="AC41" i="3"/>
  <c r="AC40" i="3"/>
  <c r="AC36" i="3"/>
  <c r="AE56" i="3"/>
  <c r="AE48" i="3"/>
  <c r="AE53" i="3"/>
  <c r="W63" i="3"/>
  <c r="AE51" i="3"/>
  <c r="AE50" i="3"/>
  <c r="AF41" i="3"/>
  <c r="AF40" i="3"/>
  <c r="AF39" i="3"/>
  <c r="AF38" i="3"/>
  <c r="AE47" i="3"/>
  <c r="W56" i="3"/>
  <c r="W36" i="3"/>
  <c r="AC38" i="3"/>
  <c r="AD48" i="3"/>
  <c r="AC55" i="3"/>
  <c r="AE68" i="3"/>
  <c r="AE46" i="3"/>
  <c r="AF53" i="3"/>
  <c r="AE55" i="3"/>
  <c r="X67" i="3"/>
  <c r="AG66" i="3"/>
  <c r="AF66" i="3" s="1"/>
  <c r="AD47" i="3"/>
  <c r="AC54" i="3"/>
  <c r="AE67" i="3"/>
  <c r="AE45" i="3"/>
  <c r="AF52" i="3"/>
  <c r="AG64" i="3"/>
  <c r="AF64" i="3" s="1"/>
  <c r="AD46" i="3"/>
  <c r="AC53" i="3"/>
  <c r="AE66" i="3"/>
  <c r="AE44" i="3"/>
  <c r="AC63" i="3"/>
  <c r="AF60" i="3"/>
  <c r="AF57" i="3"/>
  <c r="AG63" i="3"/>
  <c r="AF63" i="3" s="1"/>
  <c r="AD44" i="3"/>
  <c r="AC52" i="3"/>
  <c r="AE65" i="3"/>
  <c r="AE43" i="3"/>
  <c r="AF50" i="3"/>
  <c r="AC39" i="3"/>
  <c r="AC37" i="3"/>
  <c r="AG62" i="3"/>
  <c r="AF62" i="3" s="1"/>
  <c r="AD42" i="3"/>
  <c r="AC51" i="3"/>
  <c r="AE64" i="3"/>
  <c r="AE42" i="3"/>
  <c r="AF49" i="3"/>
  <c r="AC65" i="3"/>
  <c r="AE54" i="3"/>
  <c r="AD57" i="3"/>
  <c r="AG61" i="3"/>
  <c r="AF61" i="3" s="1"/>
  <c r="AD41" i="3"/>
  <c r="AC50" i="3"/>
  <c r="AE63" i="3"/>
  <c r="AE41" i="3"/>
  <c r="AF48" i="3"/>
  <c r="X57" i="3"/>
  <c r="AC62" i="3"/>
  <c r="AC60" i="3"/>
  <c r="AG60" i="3"/>
  <c r="AD40" i="3"/>
  <c r="AC49" i="3"/>
  <c r="AE62" i="3"/>
  <c r="AE40" i="3"/>
  <c r="AF47" i="3"/>
  <c r="AC64" i="3"/>
  <c r="AC59" i="3"/>
  <c r="W44" i="3"/>
  <c r="AD66" i="3"/>
  <c r="AD38" i="3"/>
  <c r="AC48" i="3"/>
  <c r="AE61" i="3"/>
  <c r="AE39" i="3"/>
  <c r="AF46" i="3"/>
  <c r="AC61" i="3"/>
  <c r="AD65" i="3"/>
  <c r="AG58" i="3"/>
  <c r="AF58" i="3" s="1"/>
  <c r="AC47" i="3"/>
  <c r="AE60" i="3"/>
  <c r="AE38" i="3"/>
  <c r="AF45" i="3"/>
  <c r="AC43" i="3"/>
  <c r="AE52" i="3"/>
  <c r="AD56" i="3"/>
  <c r="Y36" i="3"/>
  <c r="AD64" i="3"/>
  <c r="AC68" i="3"/>
  <c r="AC46" i="3"/>
  <c r="AE59" i="3"/>
  <c r="AE37" i="3"/>
  <c r="AF44" i="3"/>
  <c r="AA66" i="3"/>
  <c r="AB66" i="3" s="1"/>
  <c r="AD63" i="3"/>
  <c r="AC67" i="3"/>
  <c r="AC45" i="3"/>
  <c r="AE58" i="3"/>
  <c r="AF68" i="3"/>
  <c r="AF43" i="3"/>
  <c r="AD62" i="3"/>
  <c r="AC66" i="3"/>
  <c r="AC44" i="3"/>
  <c r="AE57" i="3"/>
  <c r="AF42" i="3"/>
  <c r="AD59" i="3"/>
  <c r="AD54" i="3"/>
  <c r="AD53" i="3"/>
  <c r="AC58" i="3"/>
  <c r="AE49" i="3"/>
  <c r="AF56" i="3"/>
  <c r="W38" i="3"/>
  <c r="AC57" i="3"/>
  <c r="AD36" i="3"/>
  <c r="AF55" i="3"/>
  <c r="AD49" i="3"/>
  <c r="AC56" i="3"/>
  <c r="AE36" i="3"/>
  <c r="AF54" i="3"/>
  <c r="AD45" i="3"/>
  <c r="W45" i="3"/>
  <c r="AA56" i="3"/>
  <c r="AB56" i="3" s="1"/>
  <c r="AA54" i="3"/>
  <c r="AB54" i="3" s="1"/>
  <c r="AA45" i="3"/>
  <c r="AB45" i="3" s="1"/>
  <c r="AA36" i="3"/>
  <c r="AB36" i="3" s="1"/>
  <c r="AA43" i="3"/>
  <c r="AB43" i="3" s="1"/>
  <c r="AA64" i="3"/>
  <c r="AB64" i="3" s="1"/>
  <c r="AA42" i="3"/>
  <c r="AB42" i="3" s="1"/>
  <c r="AA41" i="3"/>
  <c r="AB41" i="3" s="1"/>
  <c r="AA62" i="3"/>
  <c r="AB62" i="3" s="1"/>
  <c r="AA40" i="3"/>
  <c r="AB40" i="3" s="1"/>
  <c r="AA61" i="3"/>
  <c r="AB61" i="3" s="1"/>
  <c r="AA39" i="3"/>
  <c r="AB39" i="3" s="1"/>
  <c r="W62" i="3"/>
  <c r="AA60" i="3"/>
  <c r="AB60" i="3" s="1"/>
  <c r="AA59" i="3"/>
  <c r="AB59" i="3" s="1"/>
  <c r="AA37" i="3"/>
  <c r="AB37" i="3" s="1"/>
  <c r="AA57" i="3"/>
  <c r="AB57" i="3" s="1"/>
  <c r="W65" i="3"/>
  <c r="W64" i="3"/>
  <c r="W40" i="3"/>
  <c r="AA51" i="3"/>
  <c r="AB51" i="3" s="1"/>
  <c r="W47" i="3"/>
  <c r="W43" i="3"/>
  <c r="AA49" i="3"/>
  <c r="AB49" i="3" s="1"/>
  <c r="AA58" i="3"/>
  <c r="AB58" i="3" s="1"/>
  <c r="W49" i="3"/>
  <c r="AA52" i="3"/>
  <c r="AB52" i="3" s="1"/>
  <c r="X44" i="3"/>
  <c r="AA48" i="3"/>
  <c r="AB48" i="3" s="1"/>
  <c r="AA55" i="3"/>
  <c r="AB55" i="3" s="1"/>
  <c r="AA47" i="3"/>
  <c r="AB47" i="3" s="1"/>
  <c r="W61" i="3"/>
  <c r="X53" i="3"/>
  <c r="W60" i="3"/>
  <c r="X52" i="3"/>
  <c r="W59" i="3"/>
  <c r="W42" i="3"/>
  <c r="X51" i="3"/>
  <c r="W58" i="3"/>
  <c r="W41" i="3"/>
  <c r="X50" i="3"/>
  <c r="W57" i="3"/>
  <c r="X49" i="3"/>
  <c r="W39" i="3"/>
  <c r="X48" i="3"/>
  <c r="X68" i="3"/>
  <c r="X66" i="3"/>
  <c r="X65" i="3"/>
  <c r="X47" i="3"/>
  <c r="X64" i="3"/>
  <c r="X46" i="3"/>
  <c r="X63" i="3"/>
  <c r="X38" i="3"/>
</calcChain>
</file>

<file path=xl/sharedStrings.xml><?xml version="1.0" encoding="utf-8"?>
<sst xmlns="http://schemas.openxmlformats.org/spreadsheetml/2006/main" count="35" uniqueCount="35">
  <si>
    <t xml:space="preserve"> </t>
  </si>
  <si>
    <t>L</t>
  </si>
  <si>
    <t>λ = L/h</t>
  </si>
  <si>
    <t xml:space="preserve">Таблица данных </t>
  </si>
  <si>
    <t>Проверка ATAN2(-(A3/2)*SIN(1); (0,5/2)*COS(1)))*90</t>
  </si>
  <si>
    <t>θ (расчетная в ExcеI )</t>
  </si>
  <si>
    <t>θ1</t>
  </si>
  <si>
    <t>θ2</t>
  </si>
  <si>
    <t>Примечание</t>
  </si>
  <si>
    <t>ЕСЛИ(2*Q34&lt; 5;340,5;ЕСЛИ(И(2*Q34&gt;= 5; 2*Q34 &lt; 7);340,5 - 70,5 * (7 - 2*Q34)/2;ЕСЛИ(И(2*Q34 &gt;= 7; 2*Q34 &lt; 8);340,5 - 128 * (2*Q34 - 7);ЕСЛИ(И(2*Q34 &gt;= 8; 2*Q34 &lt; 8,28);212,5 - 5,357 * (2*Q34 - 8);ЕСЛИ(2*Q34 = 8,28;211;ЕСЛИ(И(2*Q34 &gt; 8,28; 2*Q34 &lt; 20);180;ЕСЛИ(2*Q34 &gt;= 20;6 + 174 * EXP(-3,5 * (2*Q34 - 20));"Ошибка")))))))</t>
  </si>
  <si>
    <t>Физический статус системы</t>
  </si>
  <si>
    <t>ЕСЛИ(2*Q34 &lt; 5;"Сингулярность";ЕСЛИ(И(2*Q34 &gt;= 5; 2*Q34 &lt; 7);"Предбифуркация";ЕСЛИ(И(2*Q34 &gt;= 7; 2*Q34&lt;= 8,28);"Бифуркация"; ЕСЛИ(И(2*Q34&gt; 8,28; 2*Q34 &lt; 20);"Стабилизация"; ЕСЛИ(2*Q34 &gt;= 20;"Распад"; "Н/Д")))))</t>
  </si>
  <si>
    <t>Разброс в зоне стабилизации (±Δθ)</t>
  </si>
  <si>
    <t>ЕСЛИ(И(2*Q34 &gt;= 8,28; 2*Q34 &lt; 20);31 * EXP(-0,15 * (2*Q34 - 8,28));"")</t>
  </si>
  <si>
    <t>столбец 5 Таблицы</t>
  </si>
  <si>
    <t>столбец 6 Таблицы</t>
  </si>
  <si>
    <t>столбец 7 Таблицы</t>
  </si>
  <si>
    <t>θ (определенная в ExcеI при построении )</t>
  </si>
  <si>
    <t xml:space="preserve">Проверка ATAN2     ((0,5/2)*SIN(45*ПИ()/180); (A3/2)*COS(45*ПИ()/180)) * 180/ПИ()            </t>
  </si>
  <si>
    <t xml:space="preserve">L </t>
  </si>
  <si>
    <t>Возможный переход</t>
  </si>
  <si>
    <t>Число оборотов вокруг оси</t>
  </si>
  <si>
    <t>от знач.п.4</t>
  </si>
  <si>
    <t>от знач.п.5</t>
  </si>
  <si>
    <t>от знач.п.3</t>
  </si>
  <si>
    <t>Статистическая значимость</t>
  </si>
  <si>
    <t>Теоретическая значимость связь                                                                   1. с а(-1)</t>
  </si>
  <si>
    <t>эксперемент</t>
  </si>
  <si>
    <t>проверка</t>
  </si>
  <si>
    <t>Погрешность</t>
  </si>
  <si>
    <t>Коэффициент спада</t>
  </si>
  <si>
    <t>a</t>
  </si>
  <si>
    <t>b</t>
  </si>
  <si>
    <t xml:space="preserve">Базовый градиент </t>
  </si>
  <si>
    <t xml:space="preserve">Экспонента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</si>
</sst>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11"/>
      <color rgb="FFFA7D00"/>
      <name val="Times New Roman"/>
      <family val="1"/>
      <charset val="204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1" fillId="2" borderId="1" applyAlignment="0"/>
  </cellStyleXfs>
  <cellXfs count="103">
    <xf numFmtId="0" fontId="0" fillId="0" borderId="0" xfId="0"/>
    <xf numFmtId="0" fontId="0" fillId="3" borderId="0" xfId="0" applyFill="1"/>
    <xf numFmtId="0" fontId="1" fillId="2" borderId="1" xfId="1"/>
    <xf numFmtId="0" fontId="2" fillId="0" borderId="0" xfId="0" applyFont="1"/>
    <xf numFmtId="0" fontId="3" fillId="0" borderId="0" xfId="0" applyFont="1"/>
    <xf numFmtId="0" fontId="4" fillId="0" borderId="0" xfId="0" applyFont="1"/>
    <xf numFmtId="2" fontId="1" fillId="2" borderId="1" xfId="1" applyNumberFormat="1" applyAlignment="1">
      <alignment horizontal="center" vertical="center"/>
    </xf>
    <xf numFmtId="4" fontId="5" fillId="2" borderId="1" xfId="1" applyNumberFormat="1" applyFont="1" applyAlignment="1">
      <alignment horizontal="center" vertical="center" wrapText="1"/>
    </xf>
    <xf numFmtId="4" fontId="5" fillId="2" borderId="1" xfId="1" applyNumberFormat="1" applyFont="1" applyAlignment="1">
      <alignment horizontal="center"/>
    </xf>
    <xf numFmtId="0" fontId="0" fillId="0" borderId="0" xfId="0" applyAlignment="1">
      <alignment vertical="top"/>
    </xf>
    <xf numFmtId="3" fontId="1" fillId="2" borderId="1" xfId="1" applyNumberFormat="1" applyAlignment="1">
      <alignment horizontal="center" vertical="center" wrapText="1"/>
    </xf>
    <xf numFmtId="0" fontId="0" fillId="3" borderId="0" xfId="0" applyFill="1" applyBorder="1"/>
    <xf numFmtId="0" fontId="0" fillId="0" borderId="0" xfId="0" applyAlignment="1">
      <alignment wrapText="1"/>
    </xf>
    <xf numFmtId="0" fontId="0" fillId="3" borderId="0" xfId="0" applyFill="1" applyBorder="1" applyAlignment="1">
      <alignment wrapText="1"/>
    </xf>
    <xf numFmtId="0" fontId="1" fillId="3" borderId="0" xfId="1" applyFill="1" applyBorder="1"/>
    <xf numFmtId="2" fontId="1" fillId="2" borderId="1" xfId="1" applyNumberFormat="1" applyAlignment="1">
      <alignment horizontal="center" vertical="center" wrapText="1"/>
    </xf>
    <xf numFmtId="2" fontId="6" fillId="3" borderId="0" xfId="1" applyNumberFormat="1" applyFont="1" applyFill="1" applyBorder="1" applyAlignment="1">
      <alignment horizontal="center" vertical="top"/>
    </xf>
    <xf numFmtId="2" fontId="6" fillId="3" borderId="0" xfId="1" applyNumberFormat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/>
    </xf>
    <xf numFmtId="0" fontId="6" fillId="3" borderId="0" xfId="1" applyFont="1" applyFill="1" applyBorder="1"/>
    <xf numFmtId="0" fontId="7" fillId="3" borderId="0" xfId="0" applyFont="1" applyFill="1" applyBorder="1"/>
    <xf numFmtId="0" fontId="3" fillId="3" borderId="0" xfId="0" applyFont="1" applyFill="1"/>
    <xf numFmtId="0" fontId="2" fillId="3" borderId="0" xfId="0" applyFont="1" applyFill="1"/>
    <xf numFmtId="2" fontId="8" fillId="2" borderId="1" xfId="1" applyNumberFormat="1" applyFont="1" applyAlignment="1">
      <alignment horizontal="center" vertical="top"/>
    </xf>
    <xf numFmtId="0" fontId="8" fillId="2" borderId="1" xfId="1" applyFont="1" applyAlignment="1">
      <alignment horizontal="center"/>
    </xf>
    <xf numFmtId="0" fontId="3" fillId="3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4" fontId="3" fillId="3" borderId="0" xfId="0" applyNumberFormat="1" applyFont="1" applyFill="1"/>
    <xf numFmtId="4" fontId="2" fillId="3" borderId="0" xfId="0" applyNumberFormat="1" applyFont="1" applyFill="1"/>
    <xf numFmtId="4" fontId="0" fillId="3" borderId="0" xfId="0" applyNumberFormat="1" applyFill="1"/>
    <xf numFmtId="4" fontId="0" fillId="0" borderId="0" xfId="0" applyNumberFormat="1"/>
    <xf numFmtId="2" fontId="0" fillId="0" borderId="0" xfId="0" applyNumberFormat="1"/>
    <xf numFmtId="4" fontId="11" fillId="0" borderId="0" xfId="0" applyNumberFormat="1" applyFont="1"/>
    <xf numFmtId="0" fontId="8" fillId="2" borderId="1" xfId="1" applyFont="1"/>
    <xf numFmtId="4" fontId="5" fillId="2" borderId="2" xfId="1" applyNumberFormat="1" applyFont="1" applyBorder="1" applyAlignment="1">
      <alignment horizontal="center"/>
    </xf>
    <xf numFmtId="0" fontId="0" fillId="4" borderId="0" xfId="0" applyFill="1"/>
    <xf numFmtId="4" fontId="0" fillId="4" borderId="0" xfId="0" applyNumberFormat="1" applyFill="1"/>
    <xf numFmtId="4" fontId="9" fillId="3" borderId="0" xfId="0" applyNumberFormat="1" applyFont="1" applyFill="1"/>
    <xf numFmtId="4" fontId="10" fillId="3" borderId="0" xfId="0" applyNumberFormat="1" applyFont="1" applyFill="1"/>
    <xf numFmtId="4" fontId="11" fillId="3" borderId="0" xfId="0" applyNumberFormat="1" applyFont="1" applyFill="1"/>
    <xf numFmtId="2" fontId="3" fillId="3" borderId="0" xfId="0" applyNumberFormat="1" applyFont="1" applyFill="1"/>
    <xf numFmtId="2" fontId="0" fillId="3" borderId="0" xfId="0" applyNumberFormat="1" applyFill="1"/>
    <xf numFmtId="0" fontId="0" fillId="3" borderId="0" xfId="0" applyFill="1" applyAlignment="1">
      <alignment wrapText="1"/>
    </xf>
    <xf numFmtId="0" fontId="1" fillId="2" borderId="1" xfId="1" applyAlignment="1">
      <alignment horizontal="center" vertical="center" wrapText="1"/>
    </xf>
    <xf numFmtId="0" fontId="1" fillId="2" borderId="1" xfId="1" applyAlignment="1">
      <alignment wrapText="1"/>
    </xf>
    <xf numFmtId="164" fontId="1" fillId="2" borderId="1" xfId="1" applyNumberFormat="1" applyAlignment="1">
      <alignment horizontal="center" vertical="center" wrapText="1"/>
    </xf>
    <xf numFmtId="4" fontId="1" fillId="2" borderId="1" xfId="1" applyNumberFormat="1"/>
    <xf numFmtId="2" fontId="1" fillId="2" borderId="1" xfId="1" applyNumberFormat="1" applyAlignment="1">
      <alignment vertical="center"/>
    </xf>
    <xf numFmtId="164" fontId="1" fillId="5" borderId="1" xfId="1" applyNumberFormat="1" applyFill="1" applyAlignment="1">
      <alignment horizontal="center" vertical="center" wrapText="1"/>
    </xf>
    <xf numFmtId="2" fontId="1" fillId="2" borderId="1" xfId="1" applyNumberFormat="1" applyAlignment="1">
      <alignment wrapText="1"/>
    </xf>
    <xf numFmtId="2" fontId="1" fillId="2" borderId="1" xfId="1" applyNumberFormat="1"/>
    <xf numFmtId="1" fontId="1" fillId="2" borderId="1" xfId="1" applyNumberFormat="1" applyAlignment="1">
      <alignment horizontal="center" vertical="center" wrapText="1"/>
    </xf>
    <xf numFmtId="1" fontId="1" fillId="2" borderId="1" xfId="1" applyNumberFormat="1" applyAlignment="1">
      <alignment wrapText="1"/>
    </xf>
    <xf numFmtId="1" fontId="1" fillId="2" borderId="1" xfId="1" applyNumberFormat="1"/>
    <xf numFmtId="2" fontId="1" fillId="2" borderId="1" xfId="1" applyNumberFormat="1" applyAlignment="1">
      <alignment horizontal="center" wrapText="1"/>
    </xf>
    <xf numFmtId="2" fontId="1" fillId="2" borderId="1" xfId="1" applyNumberFormat="1" applyAlignment="1">
      <alignment horizontal="center"/>
    </xf>
    <xf numFmtId="2" fontId="1" fillId="5" borderId="1" xfId="1" applyNumberFormat="1" applyFill="1"/>
    <xf numFmtId="2" fontId="1" fillId="5" borderId="1" xfId="1" applyNumberFormat="1" applyFill="1" applyAlignment="1">
      <alignment wrapText="1"/>
    </xf>
    <xf numFmtId="3" fontId="1" fillId="4" borderId="1" xfId="1" applyNumberFormat="1" applyFill="1" applyAlignment="1">
      <alignment horizontal="center" vertical="center" wrapText="1"/>
    </xf>
    <xf numFmtId="2" fontId="1" fillId="4" borderId="1" xfId="1" applyNumberFormat="1" applyFill="1" applyAlignment="1">
      <alignment horizontal="center" vertical="center"/>
    </xf>
    <xf numFmtId="0" fontId="1" fillId="4" borderId="1" xfId="1" applyFill="1" applyAlignment="1">
      <alignment horizontal="center"/>
    </xf>
    <xf numFmtId="4" fontId="1" fillId="4" borderId="1" xfId="1" applyNumberFormat="1" applyFill="1" applyAlignment="1">
      <alignment horizontal="center" vertical="center" wrapText="1"/>
    </xf>
    <xf numFmtId="4" fontId="1" fillId="6" borderId="1" xfId="1" applyNumberFormat="1" applyFill="1" applyAlignment="1">
      <alignment horizontal="center" vertical="center" wrapText="1"/>
    </xf>
    <xf numFmtId="2" fontId="1" fillId="6" borderId="1" xfId="1" applyNumberFormat="1" applyFill="1" applyAlignment="1">
      <alignment horizontal="center" vertical="center"/>
    </xf>
    <xf numFmtId="0" fontId="1" fillId="6" borderId="1" xfId="1" applyFill="1" applyAlignment="1">
      <alignment horizontal="center"/>
    </xf>
    <xf numFmtId="2" fontId="1" fillId="6" borderId="1" xfId="1" applyNumberFormat="1" applyFill="1" applyAlignment="1">
      <alignment horizontal="center" vertical="top"/>
    </xf>
    <xf numFmtId="4" fontId="1" fillId="6" borderId="1" xfId="1" applyNumberFormat="1" applyFill="1" applyAlignment="1">
      <alignment horizontal="center" vertical="top"/>
    </xf>
    <xf numFmtId="4" fontId="1" fillId="6" borderId="1" xfId="1" applyNumberFormat="1" applyFill="1" applyAlignment="1">
      <alignment horizontal="center" vertical="center"/>
    </xf>
    <xf numFmtId="4" fontId="1" fillId="6" borderId="1" xfId="1" applyNumberFormat="1" applyFill="1" applyAlignment="1">
      <alignment horizontal="center"/>
    </xf>
    <xf numFmtId="2" fontId="1" fillId="4" borderId="1" xfId="1" applyNumberFormat="1" applyFill="1" applyAlignment="1">
      <alignment horizontal="center" vertical="top"/>
    </xf>
    <xf numFmtId="2" fontId="1" fillId="7" borderId="1" xfId="1" applyNumberFormat="1" applyFill="1" applyAlignment="1">
      <alignment horizontal="center" vertical="top"/>
    </xf>
    <xf numFmtId="2" fontId="1" fillId="7" borderId="1" xfId="1" applyNumberFormat="1" applyFill="1" applyAlignment="1">
      <alignment horizontal="center" vertical="center"/>
    </xf>
    <xf numFmtId="0" fontId="1" fillId="7" borderId="1" xfId="1" applyFill="1" applyAlignment="1">
      <alignment horizontal="center"/>
    </xf>
    <xf numFmtId="4" fontId="1" fillId="7" borderId="1" xfId="1" applyNumberFormat="1" applyFill="1" applyAlignment="1">
      <alignment horizontal="center" vertical="top"/>
    </xf>
    <xf numFmtId="4" fontId="1" fillId="7" borderId="1" xfId="1" applyNumberFormat="1" applyFill="1" applyAlignment="1">
      <alignment horizontal="center" vertical="center"/>
    </xf>
    <xf numFmtId="4" fontId="1" fillId="7" borderId="1" xfId="1" applyNumberFormat="1" applyFill="1" applyAlignment="1">
      <alignment horizontal="center"/>
    </xf>
    <xf numFmtId="4" fontId="1" fillId="8" borderId="1" xfId="1" applyNumberFormat="1" applyFill="1" applyAlignment="1">
      <alignment horizontal="center" vertical="top"/>
    </xf>
    <xf numFmtId="4" fontId="1" fillId="8" borderId="1" xfId="1" applyNumberFormat="1" applyFill="1" applyAlignment="1">
      <alignment horizontal="center" vertical="center"/>
    </xf>
    <xf numFmtId="2" fontId="1" fillId="8" borderId="1" xfId="1" applyNumberFormat="1" applyFill="1" applyAlignment="1">
      <alignment horizontal="center" vertical="center"/>
    </xf>
    <xf numFmtId="0" fontId="1" fillId="8" borderId="1" xfId="1" applyFill="1" applyAlignment="1">
      <alignment horizontal="center"/>
    </xf>
    <xf numFmtId="2" fontId="1" fillId="8" borderId="1" xfId="1" applyNumberFormat="1" applyFill="1" applyAlignment="1">
      <alignment horizontal="center" vertical="top"/>
    </xf>
    <xf numFmtId="4" fontId="1" fillId="8" borderId="1" xfId="1" applyNumberFormat="1" applyFill="1" applyAlignment="1">
      <alignment horizontal="center"/>
    </xf>
    <xf numFmtId="2" fontId="8" fillId="2" borderId="1" xfId="1" applyNumberFormat="1" applyFont="1" applyAlignment="1">
      <alignment horizontal="center" vertical="center"/>
    </xf>
    <xf numFmtId="0" fontId="8" fillId="4" borderId="1" xfId="1" applyFont="1" applyFill="1"/>
    <xf numFmtId="0" fontId="8" fillId="6" borderId="1" xfId="1" applyFont="1" applyFill="1"/>
    <xf numFmtId="4" fontId="8" fillId="6" borderId="1" xfId="1" applyNumberFormat="1" applyFont="1" applyFill="1"/>
    <xf numFmtId="0" fontId="8" fillId="7" borderId="1" xfId="1" applyFont="1" applyFill="1"/>
    <xf numFmtId="4" fontId="8" fillId="7" borderId="1" xfId="1" applyNumberFormat="1" applyFont="1" applyFill="1"/>
    <xf numFmtId="4" fontId="8" fillId="8" borderId="1" xfId="1" applyNumberFormat="1" applyFont="1" applyFill="1"/>
    <xf numFmtId="0" fontId="8" fillId="8" borderId="1" xfId="1" applyFont="1" applyFill="1"/>
    <xf numFmtId="2" fontId="1" fillId="9" borderId="1" xfId="1" applyNumberFormat="1" applyFill="1" applyAlignment="1">
      <alignment wrapText="1"/>
    </xf>
    <xf numFmtId="2" fontId="8" fillId="5" borderId="1" xfId="1" applyNumberFormat="1" applyFont="1" applyFill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5" xfId="0" applyBorder="1" applyAlignment="1">
      <alignment horizontal="center" wrapText="1"/>
    </xf>
    <xf numFmtId="2" fontId="1" fillId="2" borderId="4" xfId="1" applyNumberFormat="1" applyBorder="1" applyAlignment="1">
      <alignment horizontal="center" vertical="center" wrapText="1"/>
    </xf>
    <xf numFmtId="2" fontId="1" fillId="2" borderId="3" xfId="1" applyNumberFormat="1" applyBorder="1" applyAlignment="1">
      <alignment horizontal="center" vertical="center" wrapText="1"/>
    </xf>
    <xf numFmtId="0" fontId="1" fillId="2" borderId="1" xfId="1" applyAlignment="1">
      <alignment horizontal="center" vertical="center" wrapText="1"/>
    </xf>
    <xf numFmtId="4" fontId="1" fillId="2" borderId="1" xfId="1" applyNumberFormat="1" applyAlignment="1">
      <alignment horizontal="center" vertical="center" wrapText="1"/>
    </xf>
    <xf numFmtId="49" fontId="1" fillId="2" borderId="1" xfId="1" applyNumberFormat="1" applyAlignment="1">
      <alignment horizontal="center" vertical="center" wrapText="1"/>
    </xf>
  </cellXfs>
  <cellStyles count="3">
    <cellStyle name="Вычисление" xfId="1" builtinId="22"/>
    <cellStyle name="Обычный" xfId="0" builtinId="0"/>
    <cellStyle name="Стиль 1" xfId="2" xr:uid="{534DBCDB-ED9A-4E0A-A989-410305A8926C}"/>
  </cellStyles>
  <dxfs count="0"/>
  <tableStyles count="0" defaultTableStyle="TableStyleMedium2" defaultPivotStyle="PivotStyleLight16"/>
  <colors>
    <mruColors>
      <color rgb="FFFC34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5375977162518555E-2"/>
          <c:y val="0.19483789522542799"/>
          <c:w val="0.83749696103156224"/>
          <c:h val="0.7402690199082104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'Лист 2'!$A$4:$B$9</c:f>
              <c:multiLvlStrCache>
                <c:ptCount val="6"/>
                <c:lvl>
                  <c:pt idx="0">
                    <c:v>7,00</c:v>
                  </c:pt>
                  <c:pt idx="1">
                    <c:v>8,00</c:v>
                  </c:pt>
                  <c:pt idx="2">
                    <c:v>8,28</c:v>
                  </c:pt>
                  <c:pt idx="3">
                    <c:v>10,28</c:v>
                  </c:pt>
                  <c:pt idx="4">
                    <c:v>10,80</c:v>
                  </c:pt>
                  <c:pt idx="5">
                    <c:v>14,28</c:v>
                  </c:pt>
                </c:lvl>
                <c:lvl>
                  <c:pt idx="0">
                    <c:v>3,50</c:v>
                  </c:pt>
                  <c:pt idx="1">
                    <c:v>4,00</c:v>
                  </c:pt>
                  <c:pt idx="2">
                    <c:v>4,14</c:v>
                  </c:pt>
                  <c:pt idx="3">
                    <c:v>5,14</c:v>
                  </c:pt>
                  <c:pt idx="4">
                    <c:v>5,40</c:v>
                  </c:pt>
                  <c:pt idx="5">
                    <c:v>7,14</c:v>
                  </c:pt>
                </c:lvl>
              </c:multiLvlStrCache>
            </c:multiLvlStrRef>
          </c:cat>
          <c:val>
            <c:numRef>
              <c:f>'Лист 2'!$C$4:$C$9</c:f>
              <c:numCache>
                <c:formatCode>#,##0.00</c:formatCode>
                <c:ptCount val="6"/>
                <c:pt idx="0">
                  <c:v>340.5</c:v>
                </c:pt>
                <c:pt idx="1">
                  <c:v>212.5</c:v>
                </c:pt>
                <c:pt idx="2">
                  <c:v>149</c:v>
                </c:pt>
                <c:pt idx="3">
                  <c:v>170</c:v>
                </c:pt>
                <c:pt idx="4">
                  <c:v>169</c:v>
                </c:pt>
                <c:pt idx="5">
                  <c:v>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3-4759-93C9-6DC08C83FFA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'Лист 2'!$A$4:$B$9</c:f>
              <c:multiLvlStrCache>
                <c:ptCount val="6"/>
                <c:lvl>
                  <c:pt idx="0">
                    <c:v>7,00</c:v>
                  </c:pt>
                  <c:pt idx="1">
                    <c:v>8,00</c:v>
                  </c:pt>
                  <c:pt idx="2">
                    <c:v>8,28</c:v>
                  </c:pt>
                  <c:pt idx="3">
                    <c:v>10,28</c:v>
                  </c:pt>
                  <c:pt idx="4">
                    <c:v>10,80</c:v>
                  </c:pt>
                  <c:pt idx="5">
                    <c:v>14,28</c:v>
                  </c:pt>
                </c:lvl>
                <c:lvl>
                  <c:pt idx="0">
                    <c:v>3,50</c:v>
                  </c:pt>
                  <c:pt idx="1">
                    <c:v>4,00</c:v>
                  </c:pt>
                  <c:pt idx="2">
                    <c:v>4,14</c:v>
                  </c:pt>
                  <c:pt idx="3">
                    <c:v>5,14</c:v>
                  </c:pt>
                  <c:pt idx="4">
                    <c:v>5,40</c:v>
                  </c:pt>
                  <c:pt idx="5">
                    <c:v>7,14</c:v>
                  </c:pt>
                </c:lvl>
              </c:multiLvlStrCache>
            </c:multiLvlStrRef>
          </c:cat>
          <c:val>
            <c:numRef>
              <c:f>'Лист 2'!$D$4:$D$9</c:f>
              <c:numCache>
                <c:formatCode>#,##0.00</c:formatCode>
                <c:ptCount val="6"/>
                <c:pt idx="2">
                  <c:v>211</c:v>
                </c:pt>
                <c:pt idx="4">
                  <c:v>187</c:v>
                </c:pt>
                <c:pt idx="5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3-4759-93C9-6DC08C83FFA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'Лист 2'!$A$4:$B$9</c:f>
              <c:multiLvlStrCache>
                <c:ptCount val="6"/>
                <c:lvl>
                  <c:pt idx="0">
                    <c:v>7,00</c:v>
                  </c:pt>
                  <c:pt idx="1">
                    <c:v>8,00</c:v>
                  </c:pt>
                  <c:pt idx="2">
                    <c:v>8,28</c:v>
                  </c:pt>
                  <c:pt idx="3">
                    <c:v>10,28</c:v>
                  </c:pt>
                  <c:pt idx="4">
                    <c:v>10,80</c:v>
                  </c:pt>
                  <c:pt idx="5">
                    <c:v>14,28</c:v>
                  </c:pt>
                </c:lvl>
                <c:lvl>
                  <c:pt idx="0">
                    <c:v>3,50</c:v>
                  </c:pt>
                  <c:pt idx="1">
                    <c:v>4,00</c:v>
                  </c:pt>
                  <c:pt idx="2">
                    <c:v>4,14</c:v>
                  </c:pt>
                  <c:pt idx="3">
                    <c:v>5,14</c:v>
                  </c:pt>
                  <c:pt idx="4">
                    <c:v>5,40</c:v>
                  </c:pt>
                  <c:pt idx="5">
                    <c:v>7,14</c:v>
                  </c:pt>
                </c:lvl>
              </c:multiLvlStrCache>
            </c:multiLvlStrRef>
          </c:cat>
          <c:val>
            <c:numRef>
              <c:f>'Лист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0-44FE-A413-F239C3E3F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59791"/>
        <c:axId val="54776591"/>
      </c:lineChart>
      <c:catAx>
        <c:axId val="5475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776591"/>
        <c:crosses val="autoZero"/>
        <c:auto val="1"/>
        <c:lblAlgn val="ctr"/>
        <c:lblOffset val="100"/>
        <c:noMultiLvlLbl val="0"/>
      </c:catAx>
      <c:valAx>
        <c:axId val="5477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75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4388086724891394E-2"/>
          <c:y val="0.10645429616732108"/>
          <c:w val="0.89501569891965727"/>
          <c:h val="0.75461644262089411"/>
        </c:manualLayout>
      </c:layout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'Лист 2'!$Q$36:$Q$68</c:f>
              <c:numCache>
                <c:formatCode>#,##0.00</c:formatCode>
                <c:ptCount val="33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165</c:v>
                </c:pt>
                <c:pt idx="4">
                  <c:v>73</c:v>
                </c:pt>
                <c:pt idx="5" formatCode="0.00">
                  <c:v>113</c:v>
                </c:pt>
                <c:pt idx="6" formatCode="0.00">
                  <c:v>270</c:v>
                </c:pt>
                <c:pt idx="7" formatCode="0.00">
                  <c:v>131</c:v>
                </c:pt>
                <c:pt idx="8" formatCode="0.00">
                  <c:v>60</c:v>
                </c:pt>
                <c:pt idx="9" formatCode="0.00">
                  <c:v>200</c:v>
                </c:pt>
                <c:pt idx="10" formatCode="0.00">
                  <c:v>239</c:v>
                </c:pt>
                <c:pt idx="11" formatCode="0.00">
                  <c:v>311</c:v>
                </c:pt>
                <c:pt idx="12">
                  <c:v>301</c:v>
                </c:pt>
                <c:pt idx="13" formatCode="0.00">
                  <c:v>149</c:v>
                </c:pt>
                <c:pt idx="14" formatCode="0.00">
                  <c:v>340.5</c:v>
                </c:pt>
                <c:pt idx="15">
                  <c:v>258</c:v>
                </c:pt>
                <c:pt idx="16" formatCode="0.00">
                  <c:v>212.5</c:v>
                </c:pt>
                <c:pt idx="17" formatCode="0.00">
                  <c:v>210.1</c:v>
                </c:pt>
                <c:pt idx="18" formatCode="0.00">
                  <c:v>149</c:v>
                </c:pt>
                <c:pt idx="19" formatCode="0.00">
                  <c:v>211</c:v>
                </c:pt>
                <c:pt idx="20">
                  <c:v>322</c:v>
                </c:pt>
                <c:pt idx="21" formatCode="0.00">
                  <c:v>166</c:v>
                </c:pt>
                <c:pt idx="22" formatCode="0.00">
                  <c:v>170</c:v>
                </c:pt>
                <c:pt idx="23" formatCode="0.00">
                  <c:v>169</c:v>
                </c:pt>
                <c:pt idx="24" formatCode="0.00">
                  <c:v>187</c:v>
                </c:pt>
                <c:pt idx="25" formatCode="0.00">
                  <c:v>163</c:v>
                </c:pt>
                <c:pt idx="26" formatCode="0.00">
                  <c:v>172</c:v>
                </c:pt>
                <c:pt idx="27">
                  <c:v>23</c:v>
                </c:pt>
                <c:pt idx="28" formatCode="0.00">
                  <c:v>340.5</c:v>
                </c:pt>
                <c:pt idx="29" formatCode="0.00">
                  <c:v>172</c:v>
                </c:pt>
                <c:pt idx="30" formatCode="0.00">
                  <c:v>188</c:v>
                </c:pt>
                <c:pt idx="31" formatCode="0.00">
                  <c:v>6</c:v>
                </c:pt>
                <c:pt idx="32" formatCode="0.00">
                  <c:v>6</c:v>
                </c:pt>
              </c:numCache>
            </c:numRef>
          </c:xVal>
          <c:yVal>
            <c:numRef>
              <c:f>'Лист 2'!$R$36:$R$68</c:f>
              <c:numCache>
                <c:formatCode>0.00</c:formatCode>
                <c:ptCount val="33"/>
                <c:pt idx="0">
                  <c:v>267.67818386070127</c:v>
                </c:pt>
                <c:pt idx="1">
                  <c:v>269.08992579018928</c:v>
                </c:pt>
                <c:pt idx="2">
                  <c:v>271.24858411256906</c:v>
                </c:pt>
                <c:pt idx="3">
                  <c:v>271.24858411256906</c:v>
                </c:pt>
                <c:pt idx="4">
                  <c:v>271.68616749172213</c:v>
                </c:pt>
                <c:pt idx="5">
                  <c:v>271.68616749172213</c:v>
                </c:pt>
                <c:pt idx="6">
                  <c:v>272.24588684111552</c:v>
                </c:pt>
                <c:pt idx="7">
                  <c:v>272.46886185648941</c:v>
                </c:pt>
                <c:pt idx="8">
                  <c:v>273.14846618871792</c:v>
                </c:pt>
                <c:pt idx="9">
                  <c:v>273.14846618871792</c:v>
                </c:pt>
                <c:pt idx="10">
                  <c:v>273.74402499203092</c:v>
                </c:pt>
                <c:pt idx="11">
                  <c:v>272.82023936314562</c:v>
                </c:pt>
                <c:pt idx="12" formatCode="#,##0.00">
                  <c:v>274.0149983460953</c:v>
                </c:pt>
                <c:pt idx="13">
                  <c:v>274.27017727214854</c:v>
                </c:pt>
                <c:pt idx="14">
                  <c:v>274.51089982939737</c:v>
                </c:pt>
                <c:pt idx="15" formatCode="#,##0.00">
                  <c:v>274.95361457842029</c:v>
                </c:pt>
                <c:pt idx="16">
                  <c:v>275.53524837683375</c:v>
                </c:pt>
                <c:pt idx="17">
                  <c:v>275.62386407032761</c:v>
                </c:pt>
                <c:pt idx="18">
                  <c:v>275.77801117457142</c:v>
                </c:pt>
                <c:pt idx="19">
                  <c:v>275.77801117457142</c:v>
                </c:pt>
                <c:pt idx="20">
                  <c:v>276.20291135472996</c:v>
                </c:pt>
                <c:pt idx="21">
                  <c:v>276.65681884939255</c:v>
                </c:pt>
                <c:pt idx="22">
                  <c:v>277.12919864643322</c:v>
                </c:pt>
                <c:pt idx="23">
                  <c:v>277.39885807614263</c:v>
                </c:pt>
                <c:pt idx="24">
                  <c:v>277.39885807614263</c:v>
                </c:pt>
                <c:pt idx="25">
                  <c:v>277.47670038410797</c:v>
                </c:pt>
                <c:pt idx="26">
                  <c:v>277.93223222434955</c:v>
                </c:pt>
                <c:pt idx="27" formatCode="#,##0.00">
                  <c:v>278.50357516890233</c:v>
                </c:pt>
                <c:pt idx="28">
                  <c:v>278.61849114140921</c:v>
                </c:pt>
                <c:pt idx="29">
                  <c:v>278.69926059774014</c:v>
                </c:pt>
                <c:pt idx="30">
                  <c:v>278.69926059774014</c:v>
                </c:pt>
                <c:pt idx="31">
                  <c:v>279.85491415224743</c:v>
                </c:pt>
                <c:pt idx="32">
                  <c:v>280.07368145684723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2D-4D5A-BC16-DB58B35C2FF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'Лист 2'!$Q$36:$Q$68</c:f>
              <c:numCache>
                <c:formatCode>#,##0.00</c:formatCode>
                <c:ptCount val="33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165</c:v>
                </c:pt>
                <c:pt idx="4">
                  <c:v>73</c:v>
                </c:pt>
                <c:pt idx="5" formatCode="0.00">
                  <c:v>113</c:v>
                </c:pt>
                <c:pt idx="6" formatCode="0.00">
                  <c:v>270</c:v>
                </c:pt>
                <c:pt idx="7" formatCode="0.00">
                  <c:v>131</c:v>
                </c:pt>
                <c:pt idx="8" formatCode="0.00">
                  <c:v>60</c:v>
                </c:pt>
                <c:pt idx="9" formatCode="0.00">
                  <c:v>200</c:v>
                </c:pt>
                <c:pt idx="10" formatCode="0.00">
                  <c:v>239</c:v>
                </c:pt>
                <c:pt idx="11" formatCode="0.00">
                  <c:v>311</c:v>
                </c:pt>
                <c:pt idx="12">
                  <c:v>301</c:v>
                </c:pt>
                <c:pt idx="13" formatCode="0.00">
                  <c:v>149</c:v>
                </c:pt>
                <c:pt idx="14" formatCode="0.00">
                  <c:v>340.5</c:v>
                </c:pt>
                <c:pt idx="15">
                  <c:v>258</c:v>
                </c:pt>
                <c:pt idx="16" formatCode="0.00">
                  <c:v>212.5</c:v>
                </c:pt>
                <c:pt idx="17" formatCode="0.00">
                  <c:v>210.1</c:v>
                </c:pt>
                <c:pt idx="18" formatCode="0.00">
                  <c:v>149</c:v>
                </c:pt>
                <c:pt idx="19" formatCode="0.00">
                  <c:v>211</c:v>
                </c:pt>
                <c:pt idx="20">
                  <c:v>322</c:v>
                </c:pt>
                <c:pt idx="21" formatCode="0.00">
                  <c:v>166</c:v>
                </c:pt>
                <c:pt idx="22" formatCode="0.00">
                  <c:v>170</c:v>
                </c:pt>
                <c:pt idx="23" formatCode="0.00">
                  <c:v>169</c:v>
                </c:pt>
                <c:pt idx="24" formatCode="0.00">
                  <c:v>187</c:v>
                </c:pt>
                <c:pt idx="25" formatCode="0.00">
                  <c:v>163</c:v>
                </c:pt>
                <c:pt idx="26" formatCode="0.00">
                  <c:v>172</c:v>
                </c:pt>
                <c:pt idx="27">
                  <c:v>23</c:v>
                </c:pt>
                <c:pt idx="28" formatCode="0.00">
                  <c:v>340.5</c:v>
                </c:pt>
                <c:pt idx="29" formatCode="0.00">
                  <c:v>172</c:v>
                </c:pt>
                <c:pt idx="30" formatCode="0.00">
                  <c:v>188</c:v>
                </c:pt>
                <c:pt idx="31" formatCode="0.00">
                  <c:v>6</c:v>
                </c:pt>
                <c:pt idx="32" formatCode="0.00">
                  <c:v>6</c:v>
                </c:pt>
              </c:numCache>
            </c:numRef>
          </c:xVal>
          <c:yVal>
            <c:numRef>
              <c:f>'Лист 2'!$S$36:$S$68</c:f>
              <c:numCache>
                <c:formatCode>0.00</c:formatCode>
                <c:ptCount val="33"/>
                <c:pt idx="0">
                  <c:v>150.51287432705854</c:v>
                </c:pt>
                <c:pt idx="1">
                  <c:v>153.21500449249783</c:v>
                </c:pt>
                <c:pt idx="2">
                  <c:v>157.38013505195957</c:v>
                </c:pt>
                <c:pt idx="3">
                  <c:v>157.38013505195957</c:v>
                </c:pt>
                <c:pt idx="4">
                  <c:v>158.22894589068255</c:v>
                </c:pt>
                <c:pt idx="5">
                  <c:v>158.22894589068255</c:v>
                </c:pt>
                <c:pt idx="6">
                  <c:v>159.31670941104221</c:v>
                </c:pt>
                <c:pt idx="7">
                  <c:v>159.75065668920439</c:v>
                </c:pt>
                <c:pt idx="8">
                  <c:v>161.07535558394878</c:v>
                </c:pt>
                <c:pt idx="9">
                  <c:v>161.07535558394878</c:v>
                </c:pt>
                <c:pt idx="10">
                  <c:v>162.23868169895951</c:v>
                </c:pt>
                <c:pt idx="11">
                  <c:v>160.43518593638544</c:v>
                </c:pt>
                <c:pt idx="12" formatCode="#,##0.00">
                  <c:v>162.7687036316718</c:v>
                </c:pt>
                <c:pt idx="13">
                  <c:v>163.26822775193483</c:v>
                </c:pt>
                <c:pt idx="14">
                  <c:v>163.73979529168807</c:v>
                </c:pt>
                <c:pt idx="15" formatCode="#,##0.00">
                  <c:v>164.60789655596687</c:v>
                </c:pt>
                <c:pt idx="16">
                  <c:v>165.74996730219644</c:v>
                </c:pt>
                <c:pt idx="17">
                  <c:v>165.9241184736307</c:v>
                </c:pt>
                <c:pt idx="18">
                  <c:v>166.22714533713602</c:v>
                </c:pt>
                <c:pt idx="19">
                  <c:v>166.22714533713602</c:v>
                </c:pt>
                <c:pt idx="20">
                  <c:v>167.06300483679485</c:v>
                </c:pt>
                <c:pt idx="21">
                  <c:v>167.95681972191332</c:v>
                </c:pt>
                <c:pt idx="22">
                  <c:v>168.88792315374991</c:v>
                </c:pt>
                <c:pt idx="23">
                  <c:v>169.41983758925747</c:v>
                </c:pt>
                <c:pt idx="24">
                  <c:v>169.41983758925747</c:v>
                </c:pt>
                <c:pt idx="25">
                  <c:v>169.5734351904895</c:v>
                </c:pt>
                <c:pt idx="26">
                  <c:v>170.47271661854765</c:v>
                </c:pt>
                <c:pt idx="27" formatCode="#,##0.00">
                  <c:v>171.60159231972659</c:v>
                </c:pt>
                <c:pt idx="28">
                  <c:v>171.82876644005023</c:v>
                </c:pt>
                <c:pt idx="29">
                  <c:v>171.98845992878341</c:v>
                </c:pt>
                <c:pt idx="30">
                  <c:v>171.98845992878341</c:v>
                </c:pt>
                <c:pt idx="31">
                  <c:v>174.27518954777651</c:v>
                </c:pt>
                <c:pt idx="32">
                  <c:v>174.70840591817571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2D-4D5A-BC16-DB58B35C2FF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'Лист 2'!$Q$36:$Q$68</c:f>
              <c:numCache>
                <c:formatCode>#,##0.00</c:formatCode>
                <c:ptCount val="33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165</c:v>
                </c:pt>
                <c:pt idx="4">
                  <c:v>73</c:v>
                </c:pt>
                <c:pt idx="5" formatCode="0.00">
                  <c:v>113</c:v>
                </c:pt>
                <c:pt idx="6" formatCode="0.00">
                  <c:v>270</c:v>
                </c:pt>
                <c:pt idx="7" formatCode="0.00">
                  <c:v>131</c:v>
                </c:pt>
                <c:pt idx="8" formatCode="0.00">
                  <c:v>60</c:v>
                </c:pt>
                <c:pt idx="9" formatCode="0.00">
                  <c:v>200</c:v>
                </c:pt>
                <c:pt idx="10" formatCode="0.00">
                  <c:v>239</c:v>
                </c:pt>
                <c:pt idx="11" formatCode="0.00">
                  <c:v>311</c:v>
                </c:pt>
                <c:pt idx="12">
                  <c:v>301</c:v>
                </c:pt>
                <c:pt idx="13" formatCode="0.00">
                  <c:v>149</c:v>
                </c:pt>
                <c:pt idx="14" formatCode="0.00">
                  <c:v>340.5</c:v>
                </c:pt>
                <c:pt idx="15">
                  <c:v>258</c:v>
                </c:pt>
                <c:pt idx="16" formatCode="0.00">
                  <c:v>212.5</c:v>
                </c:pt>
                <c:pt idx="17" formatCode="0.00">
                  <c:v>210.1</c:v>
                </c:pt>
                <c:pt idx="18" formatCode="0.00">
                  <c:v>149</c:v>
                </c:pt>
                <c:pt idx="19" formatCode="0.00">
                  <c:v>211</c:v>
                </c:pt>
                <c:pt idx="20">
                  <c:v>322</c:v>
                </c:pt>
                <c:pt idx="21" formatCode="0.00">
                  <c:v>166</c:v>
                </c:pt>
                <c:pt idx="22" formatCode="0.00">
                  <c:v>170</c:v>
                </c:pt>
                <c:pt idx="23" formatCode="0.00">
                  <c:v>169</c:v>
                </c:pt>
                <c:pt idx="24" formatCode="0.00">
                  <c:v>187</c:v>
                </c:pt>
                <c:pt idx="25" formatCode="0.00">
                  <c:v>163</c:v>
                </c:pt>
                <c:pt idx="26" formatCode="0.00">
                  <c:v>172</c:v>
                </c:pt>
                <c:pt idx="27">
                  <c:v>23</c:v>
                </c:pt>
                <c:pt idx="28" formatCode="0.00">
                  <c:v>340.5</c:v>
                </c:pt>
                <c:pt idx="29" formatCode="0.00">
                  <c:v>172</c:v>
                </c:pt>
                <c:pt idx="30" formatCode="0.00">
                  <c:v>188</c:v>
                </c:pt>
                <c:pt idx="31" formatCode="0.00">
                  <c:v>6</c:v>
                </c:pt>
                <c:pt idx="32" formatCode="0.00">
                  <c:v>6</c:v>
                </c:pt>
              </c:numCache>
            </c:numRef>
          </c:xVal>
          <c:yVal>
            <c:numRef>
              <c:f>'Лист 2'!$T$36:$T$68</c:f>
              <c:numCache>
                <c:formatCode>General</c:formatCode>
                <c:ptCount val="33"/>
                <c:pt idx="0">
                  <c:v>340.5</c:v>
                </c:pt>
                <c:pt idx="1">
                  <c:v>340.5</c:v>
                </c:pt>
                <c:pt idx="2">
                  <c:v>270</c:v>
                </c:pt>
                <c:pt idx="3">
                  <c:v>270</c:v>
                </c:pt>
                <c:pt idx="4">
                  <c:v>277.05</c:v>
                </c:pt>
                <c:pt idx="5">
                  <c:v>277.05</c:v>
                </c:pt>
                <c:pt idx="6">
                  <c:v>286.92</c:v>
                </c:pt>
                <c:pt idx="7">
                  <c:v>291.14999999999998</c:v>
                </c:pt>
                <c:pt idx="8">
                  <c:v>305.25</c:v>
                </c:pt>
                <c:pt idx="9">
                  <c:v>305.25</c:v>
                </c:pt>
                <c:pt idx="10">
                  <c:v>319.35000000000002</c:v>
                </c:pt>
                <c:pt idx="11">
                  <c:v>298.2</c:v>
                </c:pt>
                <c:pt idx="12" formatCode="#,##0.00">
                  <c:v>326.39999999999998</c:v>
                </c:pt>
                <c:pt idx="13">
                  <c:v>333.45</c:v>
                </c:pt>
                <c:pt idx="14">
                  <c:v>340.5</c:v>
                </c:pt>
                <c:pt idx="15" formatCode="#,##0.00">
                  <c:v>289.29999999999995</c:v>
                </c:pt>
                <c:pt idx="16">
                  <c:v>212.5</c:v>
                </c:pt>
                <c:pt idx="17">
                  <c:v>211.96430000000001</c:v>
                </c:pt>
                <c:pt idx="18">
                  <c:v>211</c:v>
                </c:pt>
                <c:pt idx="19">
                  <c:v>211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  <c:pt idx="25">
                  <c:v>180</c:v>
                </c:pt>
                <c:pt idx="26">
                  <c:v>180</c:v>
                </c:pt>
                <c:pt idx="27" formatCode="#,##0.00">
                  <c:v>180</c:v>
                </c:pt>
                <c:pt idx="28">
                  <c:v>180</c:v>
                </c:pt>
                <c:pt idx="29">
                  <c:v>180</c:v>
                </c:pt>
                <c:pt idx="30">
                  <c:v>180</c:v>
                </c:pt>
                <c:pt idx="31">
                  <c:v>180</c:v>
                </c:pt>
                <c:pt idx="32">
                  <c:v>6.5593696799033943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2D-4D5A-BC16-DB58B35C2FF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'Лист 2'!$Q$36:$Q$68</c:f>
              <c:numCache>
                <c:formatCode>#,##0.00</c:formatCode>
                <c:ptCount val="33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165</c:v>
                </c:pt>
                <c:pt idx="4">
                  <c:v>73</c:v>
                </c:pt>
                <c:pt idx="5" formatCode="0.00">
                  <c:v>113</c:v>
                </c:pt>
                <c:pt idx="6" formatCode="0.00">
                  <c:v>270</c:v>
                </c:pt>
                <c:pt idx="7" formatCode="0.00">
                  <c:v>131</c:v>
                </c:pt>
                <c:pt idx="8" formatCode="0.00">
                  <c:v>60</c:v>
                </c:pt>
                <c:pt idx="9" formatCode="0.00">
                  <c:v>200</c:v>
                </c:pt>
                <c:pt idx="10" formatCode="0.00">
                  <c:v>239</c:v>
                </c:pt>
                <c:pt idx="11" formatCode="0.00">
                  <c:v>311</c:v>
                </c:pt>
                <c:pt idx="12">
                  <c:v>301</c:v>
                </c:pt>
                <c:pt idx="13" formatCode="0.00">
                  <c:v>149</c:v>
                </c:pt>
                <c:pt idx="14" formatCode="0.00">
                  <c:v>340.5</c:v>
                </c:pt>
                <c:pt idx="15">
                  <c:v>258</c:v>
                </c:pt>
                <c:pt idx="16" formatCode="0.00">
                  <c:v>212.5</c:v>
                </c:pt>
                <c:pt idx="17" formatCode="0.00">
                  <c:v>210.1</c:v>
                </c:pt>
                <c:pt idx="18" formatCode="0.00">
                  <c:v>149</c:v>
                </c:pt>
                <c:pt idx="19" formatCode="0.00">
                  <c:v>211</c:v>
                </c:pt>
                <c:pt idx="20">
                  <c:v>322</c:v>
                </c:pt>
                <c:pt idx="21" formatCode="0.00">
                  <c:v>166</c:v>
                </c:pt>
                <c:pt idx="22" formatCode="0.00">
                  <c:v>170</c:v>
                </c:pt>
                <c:pt idx="23" formatCode="0.00">
                  <c:v>169</c:v>
                </c:pt>
                <c:pt idx="24" formatCode="0.00">
                  <c:v>187</c:v>
                </c:pt>
                <c:pt idx="25" formatCode="0.00">
                  <c:v>163</c:v>
                </c:pt>
                <c:pt idx="26" formatCode="0.00">
                  <c:v>172</c:v>
                </c:pt>
                <c:pt idx="27">
                  <c:v>23</c:v>
                </c:pt>
                <c:pt idx="28" formatCode="0.00">
                  <c:v>340.5</c:v>
                </c:pt>
                <c:pt idx="29" formatCode="0.00">
                  <c:v>172</c:v>
                </c:pt>
                <c:pt idx="30" formatCode="0.00">
                  <c:v>188</c:v>
                </c:pt>
                <c:pt idx="31" formatCode="0.00">
                  <c:v>6</c:v>
                </c:pt>
                <c:pt idx="32" formatCode="0.00">
                  <c:v>6</c:v>
                </c:pt>
              </c:numCache>
            </c:numRef>
          </c:xVal>
          <c:yVal>
            <c:numRef>
              <c:f>'Лист 2'!$U$36:$U$68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#,##0.00">
                  <c:v>0</c:v>
                </c:pt>
                <c:pt idx="13">
                  <c:v>0</c:v>
                </c:pt>
                <c:pt idx="14">
                  <c:v>0</c:v>
                </c:pt>
                <c:pt idx="15" formatCode="#,##0.00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#,##0.0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#,##0.00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78-4F67-8037-B96CEFC21A5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'Лист 2'!$Q$36:$Q$68</c:f>
              <c:numCache>
                <c:formatCode>#,##0.00</c:formatCode>
                <c:ptCount val="33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165</c:v>
                </c:pt>
                <c:pt idx="4">
                  <c:v>73</c:v>
                </c:pt>
                <c:pt idx="5" formatCode="0.00">
                  <c:v>113</c:v>
                </c:pt>
                <c:pt idx="6" formatCode="0.00">
                  <c:v>270</c:v>
                </c:pt>
                <c:pt idx="7" formatCode="0.00">
                  <c:v>131</c:v>
                </c:pt>
                <c:pt idx="8" formatCode="0.00">
                  <c:v>60</c:v>
                </c:pt>
                <c:pt idx="9" formatCode="0.00">
                  <c:v>200</c:v>
                </c:pt>
                <c:pt idx="10" formatCode="0.00">
                  <c:v>239</c:v>
                </c:pt>
                <c:pt idx="11" formatCode="0.00">
                  <c:v>311</c:v>
                </c:pt>
                <c:pt idx="12">
                  <c:v>301</c:v>
                </c:pt>
                <c:pt idx="13" formatCode="0.00">
                  <c:v>149</c:v>
                </c:pt>
                <c:pt idx="14" formatCode="0.00">
                  <c:v>340.5</c:v>
                </c:pt>
                <c:pt idx="15">
                  <c:v>258</c:v>
                </c:pt>
                <c:pt idx="16" formatCode="0.00">
                  <c:v>212.5</c:v>
                </c:pt>
                <c:pt idx="17" formatCode="0.00">
                  <c:v>210.1</c:v>
                </c:pt>
                <c:pt idx="18" formatCode="0.00">
                  <c:v>149</c:v>
                </c:pt>
                <c:pt idx="19" formatCode="0.00">
                  <c:v>211</c:v>
                </c:pt>
                <c:pt idx="20">
                  <c:v>322</c:v>
                </c:pt>
                <c:pt idx="21" formatCode="0.00">
                  <c:v>166</c:v>
                </c:pt>
                <c:pt idx="22" formatCode="0.00">
                  <c:v>170</c:v>
                </c:pt>
                <c:pt idx="23" formatCode="0.00">
                  <c:v>169</c:v>
                </c:pt>
                <c:pt idx="24" formatCode="0.00">
                  <c:v>187</c:v>
                </c:pt>
                <c:pt idx="25" formatCode="0.00">
                  <c:v>163</c:v>
                </c:pt>
                <c:pt idx="26" formatCode="0.00">
                  <c:v>172</c:v>
                </c:pt>
                <c:pt idx="27">
                  <c:v>23</c:v>
                </c:pt>
                <c:pt idx="28" formatCode="0.00">
                  <c:v>340.5</c:v>
                </c:pt>
                <c:pt idx="29" formatCode="0.00">
                  <c:v>172</c:v>
                </c:pt>
                <c:pt idx="30" formatCode="0.00">
                  <c:v>188</c:v>
                </c:pt>
                <c:pt idx="31" formatCode="0.00">
                  <c:v>6</c:v>
                </c:pt>
                <c:pt idx="32" formatCode="0.00">
                  <c:v>6</c:v>
                </c:pt>
              </c:numCache>
            </c:numRef>
          </c:xVal>
          <c:yVal>
            <c:numRef>
              <c:f>'Лист 2'!$V$36:$V$68</c:f>
              <c:numCache>
                <c:formatCode>General</c:formatCode>
                <c:ptCount val="33"/>
                <c:pt idx="1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#,##0.00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31</c:v>
                </c:pt>
                <c:pt idx="19">
                  <c:v>31</c:v>
                </c:pt>
                <c:pt idx="20" formatCode="#,##0.00">
                  <c:v>28.588004434782846</c:v>
                </c:pt>
                <c:pt idx="21">
                  <c:v>25.89337655374943</c:v>
                </c:pt>
                <c:pt idx="22">
                  <c:v>22.965364841133255</c:v>
                </c:pt>
                <c:pt idx="23">
                  <c:v>21.242145520641976</c:v>
                </c:pt>
                <c:pt idx="24">
                  <c:v>21.242145520641976</c:v>
                </c:pt>
                <c:pt idx="25">
                  <c:v>20.738403116400743</c:v>
                </c:pt>
                <c:pt idx="26">
                  <c:v>17.74293137985563</c:v>
                </c:pt>
                <c:pt idx="27" formatCode="#,##0.00">
                  <c:v>13.915275652024226</c:v>
                </c:pt>
                <c:pt idx="28">
                  <c:v>13.144286854502464</c:v>
                </c:pt>
                <c:pt idx="29">
                  <c:v>12.603659451958574</c:v>
                </c:pt>
                <c:pt idx="30">
                  <c:v>12.603659451958574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78-4F67-8037-B96CEFC21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534064"/>
        <c:axId val="424535504"/>
      </c:scatterChart>
      <c:valAx>
        <c:axId val="42453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535504"/>
        <c:crosses val="autoZero"/>
        <c:crossBetween val="midCat"/>
      </c:valAx>
      <c:valAx>
        <c:axId val="4245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53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'Лист 2'!$P$36:$P$68</c:f>
              <c:numCache>
                <c:formatCode>#,##0.00</c:formatCode>
                <c:ptCount val="33"/>
                <c:pt idx="0" formatCode="#,##0">
                  <c:v>1.9</c:v>
                </c:pt>
                <c:pt idx="1">
                  <c:v>2.1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 formatCode="0.00">
                  <c:v>2.6</c:v>
                </c:pt>
                <c:pt idx="6" formatCode="0.00">
                  <c:v>2.74</c:v>
                </c:pt>
                <c:pt idx="7" formatCode="0.00">
                  <c:v>2.8</c:v>
                </c:pt>
                <c:pt idx="8" formatCode="0.00">
                  <c:v>3</c:v>
                </c:pt>
                <c:pt idx="9" formatCode="0.00">
                  <c:v>3</c:v>
                </c:pt>
                <c:pt idx="10" formatCode="0.00">
                  <c:v>3.2</c:v>
                </c:pt>
                <c:pt idx="11" formatCode="0.00">
                  <c:v>2.9</c:v>
                </c:pt>
                <c:pt idx="12">
                  <c:v>3.3</c:v>
                </c:pt>
                <c:pt idx="13" formatCode="0.00">
                  <c:v>3.4</c:v>
                </c:pt>
                <c:pt idx="14" formatCode="0.00">
                  <c:v>3.5</c:v>
                </c:pt>
                <c:pt idx="15">
                  <c:v>3.7</c:v>
                </c:pt>
                <c:pt idx="16" formatCode="0.00">
                  <c:v>4</c:v>
                </c:pt>
                <c:pt idx="17" formatCode="0.00">
                  <c:v>4.05</c:v>
                </c:pt>
                <c:pt idx="18" formatCode="0.00">
                  <c:v>4.1399999999999997</c:v>
                </c:pt>
                <c:pt idx="19" formatCode="0.00">
                  <c:v>4.1399999999999997</c:v>
                </c:pt>
                <c:pt idx="20">
                  <c:v>4.41</c:v>
                </c:pt>
                <c:pt idx="21" formatCode="0.00">
                  <c:v>4.74</c:v>
                </c:pt>
                <c:pt idx="22" formatCode="0.00">
                  <c:v>5.14</c:v>
                </c:pt>
                <c:pt idx="23" formatCode="0.00">
                  <c:v>5.4</c:v>
                </c:pt>
                <c:pt idx="24" formatCode="0.00">
                  <c:v>5.4</c:v>
                </c:pt>
                <c:pt idx="25" formatCode="0.00">
                  <c:v>5.48</c:v>
                </c:pt>
                <c:pt idx="26" formatCode="0.00">
                  <c:v>6</c:v>
                </c:pt>
                <c:pt idx="27">
                  <c:v>6.81</c:v>
                </c:pt>
                <c:pt idx="28" formatCode="0.00">
                  <c:v>7</c:v>
                </c:pt>
                <c:pt idx="29" formatCode="0.00">
                  <c:v>7.14</c:v>
                </c:pt>
                <c:pt idx="30" formatCode="0.00">
                  <c:v>7.14</c:v>
                </c:pt>
                <c:pt idx="31" formatCode="0.00">
                  <c:v>10</c:v>
                </c:pt>
                <c:pt idx="32" formatCode="0.00">
                  <c:v>10.82</c:v>
                </c:pt>
              </c:numCache>
            </c:numRef>
          </c:cat>
          <c:val>
            <c:numRef>
              <c:f>'Лист 2'!$Q$36:$Q$68</c:f>
              <c:numCache>
                <c:formatCode>#,##0.00</c:formatCode>
                <c:ptCount val="33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165</c:v>
                </c:pt>
                <c:pt idx="4">
                  <c:v>73</c:v>
                </c:pt>
                <c:pt idx="5" formatCode="0.00">
                  <c:v>113</c:v>
                </c:pt>
                <c:pt idx="6" formatCode="0.00">
                  <c:v>270</c:v>
                </c:pt>
                <c:pt idx="7" formatCode="0.00">
                  <c:v>131</c:v>
                </c:pt>
                <c:pt idx="8" formatCode="0.00">
                  <c:v>60</c:v>
                </c:pt>
                <c:pt idx="9" formatCode="0.00">
                  <c:v>200</c:v>
                </c:pt>
                <c:pt idx="10" formatCode="0.00">
                  <c:v>239</c:v>
                </c:pt>
                <c:pt idx="11" formatCode="0.00">
                  <c:v>311</c:v>
                </c:pt>
                <c:pt idx="12">
                  <c:v>301</c:v>
                </c:pt>
                <c:pt idx="13" formatCode="0.00">
                  <c:v>149</c:v>
                </c:pt>
                <c:pt idx="14" formatCode="0.00">
                  <c:v>340.5</c:v>
                </c:pt>
                <c:pt idx="15">
                  <c:v>258</c:v>
                </c:pt>
                <c:pt idx="16" formatCode="0.00">
                  <c:v>212.5</c:v>
                </c:pt>
                <c:pt idx="17" formatCode="0.00">
                  <c:v>210.1</c:v>
                </c:pt>
                <c:pt idx="18" formatCode="0.00">
                  <c:v>149</c:v>
                </c:pt>
                <c:pt idx="19" formatCode="0.00">
                  <c:v>211</c:v>
                </c:pt>
                <c:pt idx="20">
                  <c:v>322</c:v>
                </c:pt>
                <c:pt idx="21" formatCode="0.00">
                  <c:v>166</c:v>
                </c:pt>
                <c:pt idx="22" formatCode="0.00">
                  <c:v>170</c:v>
                </c:pt>
                <c:pt idx="23" formatCode="0.00">
                  <c:v>169</c:v>
                </c:pt>
                <c:pt idx="24" formatCode="0.00">
                  <c:v>187</c:v>
                </c:pt>
                <c:pt idx="25" formatCode="0.00">
                  <c:v>163</c:v>
                </c:pt>
                <c:pt idx="26" formatCode="0.00">
                  <c:v>172</c:v>
                </c:pt>
                <c:pt idx="27">
                  <c:v>23</c:v>
                </c:pt>
                <c:pt idx="28" formatCode="0.00">
                  <c:v>340.5</c:v>
                </c:pt>
                <c:pt idx="29" formatCode="0.00">
                  <c:v>172</c:v>
                </c:pt>
                <c:pt idx="30" formatCode="0.00">
                  <c:v>188</c:v>
                </c:pt>
                <c:pt idx="31" formatCode="0.00">
                  <c:v>6</c:v>
                </c:pt>
                <c:pt idx="32" formatCode="0.0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F-4534-AE14-EBEC494D332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'Лист 2'!$P$36:$P$68</c:f>
              <c:numCache>
                <c:formatCode>#,##0.00</c:formatCode>
                <c:ptCount val="33"/>
                <c:pt idx="0" formatCode="#,##0">
                  <c:v>1.9</c:v>
                </c:pt>
                <c:pt idx="1">
                  <c:v>2.1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 formatCode="0.00">
                  <c:v>2.6</c:v>
                </c:pt>
                <c:pt idx="6" formatCode="0.00">
                  <c:v>2.74</c:v>
                </c:pt>
                <c:pt idx="7" formatCode="0.00">
                  <c:v>2.8</c:v>
                </c:pt>
                <c:pt idx="8" formatCode="0.00">
                  <c:v>3</c:v>
                </c:pt>
                <c:pt idx="9" formatCode="0.00">
                  <c:v>3</c:v>
                </c:pt>
                <c:pt idx="10" formatCode="0.00">
                  <c:v>3.2</c:v>
                </c:pt>
                <c:pt idx="11" formatCode="0.00">
                  <c:v>2.9</c:v>
                </c:pt>
                <c:pt idx="12">
                  <c:v>3.3</c:v>
                </c:pt>
                <c:pt idx="13" formatCode="0.00">
                  <c:v>3.4</c:v>
                </c:pt>
                <c:pt idx="14" formatCode="0.00">
                  <c:v>3.5</c:v>
                </c:pt>
                <c:pt idx="15">
                  <c:v>3.7</c:v>
                </c:pt>
                <c:pt idx="16" formatCode="0.00">
                  <c:v>4</c:v>
                </c:pt>
                <c:pt idx="17" formatCode="0.00">
                  <c:v>4.05</c:v>
                </c:pt>
                <c:pt idx="18" formatCode="0.00">
                  <c:v>4.1399999999999997</c:v>
                </c:pt>
                <c:pt idx="19" formatCode="0.00">
                  <c:v>4.1399999999999997</c:v>
                </c:pt>
                <c:pt idx="20">
                  <c:v>4.41</c:v>
                </c:pt>
                <c:pt idx="21" formatCode="0.00">
                  <c:v>4.74</c:v>
                </c:pt>
                <c:pt idx="22" formatCode="0.00">
                  <c:v>5.14</c:v>
                </c:pt>
                <c:pt idx="23" formatCode="0.00">
                  <c:v>5.4</c:v>
                </c:pt>
                <c:pt idx="24" formatCode="0.00">
                  <c:v>5.4</c:v>
                </c:pt>
                <c:pt idx="25" formatCode="0.00">
                  <c:v>5.48</c:v>
                </c:pt>
                <c:pt idx="26" formatCode="0.00">
                  <c:v>6</c:v>
                </c:pt>
                <c:pt idx="27">
                  <c:v>6.81</c:v>
                </c:pt>
                <c:pt idx="28" formatCode="0.00">
                  <c:v>7</c:v>
                </c:pt>
                <c:pt idx="29" formatCode="0.00">
                  <c:v>7.14</c:v>
                </c:pt>
                <c:pt idx="30" formatCode="0.00">
                  <c:v>7.14</c:v>
                </c:pt>
                <c:pt idx="31" formatCode="0.00">
                  <c:v>10</c:v>
                </c:pt>
                <c:pt idx="32" formatCode="0.00">
                  <c:v>10.82</c:v>
                </c:pt>
              </c:numCache>
            </c:numRef>
          </c:cat>
          <c:val>
            <c:numRef>
              <c:f>'Лист 2'!$R$36:$R$68</c:f>
              <c:numCache>
                <c:formatCode>0.00</c:formatCode>
                <c:ptCount val="33"/>
                <c:pt idx="0">
                  <c:v>267.67818386070127</c:v>
                </c:pt>
                <c:pt idx="1">
                  <c:v>269.08992579018928</c:v>
                </c:pt>
                <c:pt idx="2">
                  <c:v>271.24858411256906</c:v>
                </c:pt>
                <c:pt idx="3">
                  <c:v>271.24858411256906</c:v>
                </c:pt>
                <c:pt idx="4">
                  <c:v>271.68616749172213</c:v>
                </c:pt>
                <c:pt idx="5">
                  <c:v>271.68616749172213</c:v>
                </c:pt>
                <c:pt idx="6">
                  <c:v>272.24588684111552</c:v>
                </c:pt>
                <c:pt idx="7">
                  <c:v>272.46886185648941</c:v>
                </c:pt>
                <c:pt idx="8">
                  <c:v>273.14846618871792</c:v>
                </c:pt>
                <c:pt idx="9">
                  <c:v>273.14846618871792</c:v>
                </c:pt>
                <c:pt idx="10">
                  <c:v>273.74402499203092</c:v>
                </c:pt>
                <c:pt idx="11">
                  <c:v>272.82023936314562</c:v>
                </c:pt>
                <c:pt idx="12" formatCode="#,##0.00">
                  <c:v>274.0149983460953</c:v>
                </c:pt>
                <c:pt idx="13">
                  <c:v>274.27017727214854</c:v>
                </c:pt>
                <c:pt idx="14">
                  <c:v>274.51089982939737</c:v>
                </c:pt>
                <c:pt idx="15" formatCode="#,##0.00">
                  <c:v>274.95361457842029</c:v>
                </c:pt>
                <c:pt idx="16">
                  <c:v>275.53524837683375</c:v>
                </c:pt>
                <c:pt idx="17">
                  <c:v>275.62386407032761</c:v>
                </c:pt>
                <c:pt idx="18">
                  <c:v>275.77801117457142</c:v>
                </c:pt>
                <c:pt idx="19">
                  <c:v>275.77801117457142</c:v>
                </c:pt>
                <c:pt idx="20">
                  <c:v>276.20291135472996</c:v>
                </c:pt>
                <c:pt idx="21">
                  <c:v>276.65681884939255</c:v>
                </c:pt>
                <c:pt idx="22">
                  <c:v>277.12919864643322</c:v>
                </c:pt>
                <c:pt idx="23">
                  <c:v>277.39885807614263</c:v>
                </c:pt>
                <c:pt idx="24">
                  <c:v>277.39885807614263</c:v>
                </c:pt>
                <c:pt idx="25">
                  <c:v>277.47670038410797</c:v>
                </c:pt>
                <c:pt idx="26">
                  <c:v>277.93223222434955</c:v>
                </c:pt>
                <c:pt idx="27" formatCode="#,##0.00">
                  <c:v>278.50357516890233</c:v>
                </c:pt>
                <c:pt idx="28">
                  <c:v>278.61849114140921</c:v>
                </c:pt>
                <c:pt idx="29">
                  <c:v>278.69926059774014</c:v>
                </c:pt>
                <c:pt idx="30">
                  <c:v>278.69926059774014</c:v>
                </c:pt>
                <c:pt idx="31">
                  <c:v>279.85491415224743</c:v>
                </c:pt>
                <c:pt idx="32">
                  <c:v>280.07368145684723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EF-4534-AE14-EBEC494D332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'Лист 2'!$P$36:$P$68</c:f>
              <c:numCache>
                <c:formatCode>#,##0.00</c:formatCode>
                <c:ptCount val="33"/>
                <c:pt idx="0" formatCode="#,##0">
                  <c:v>1.9</c:v>
                </c:pt>
                <c:pt idx="1">
                  <c:v>2.1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 formatCode="0.00">
                  <c:v>2.6</c:v>
                </c:pt>
                <c:pt idx="6" formatCode="0.00">
                  <c:v>2.74</c:v>
                </c:pt>
                <c:pt idx="7" formatCode="0.00">
                  <c:v>2.8</c:v>
                </c:pt>
                <c:pt idx="8" formatCode="0.00">
                  <c:v>3</c:v>
                </c:pt>
                <c:pt idx="9" formatCode="0.00">
                  <c:v>3</c:v>
                </c:pt>
                <c:pt idx="10" formatCode="0.00">
                  <c:v>3.2</c:v>
                </c:pt>
                <c:pt idx="11" formatCode="0.00">
                  <c:v>2.9</c:v>
                </c:pt>
                <c:pt idx="12">
                  <c:v>3.3</c:v>
                </c:pt>
                <c:pt idx="13" formatCode="0.00">
                  <c:v>3.4</c:v>
                </c:pt>
                <c:pt idx="14" formatCode="0.00">
                  <c:v>3.5</c:v>
                </c:pt>
                <c:pt idx="15">
                  <c:v>3.7</c:v>
                </c:pt>
                <c:pt idx="16" formatCode="0.00">
                  <c:v>4</c:v>
                </c:pt>
                <c:pt idx="17" formatCode="0.00">
                  <c:v>4.05</c:v>
                </c:pt>
                <c:pt idx="18" formatCode="0.00">
                  <c:v>4.1399999999999997</c:v>
                </c:pt>
                <c:pt idx="19" formatCode="0.00">
                  <c:v>4.1399999999999997</c:v>
                </c:pt>
                <c:pt idx="20">
                  <c:v>4.41</c:v>
                </c:pt>
                <c:pt idx="21" formatCode="0.00">
                  <c:v>4.74</c:v>
                </c:pt>
                <c:pt idx="22" formatCode="0.00">
                  <c:v>5.14</c:v>
                </c:pt>
                <c:pt idx="23" formatCode="0.00">
                  <c:v>5.4</c:v>
                </c:pt>
                <c:pt idx="24" formatCode="0.00">
                  <c:v>5.4</c:v>
                </c:pt>
                <c:pt idx="25" formatCode="0.00">
                  <c:v>5.48</c:v>
                </c:pt>
                <c:pt idx="26" formatCode="0.00">
                  <c:v>6</c:v>
                </c:pt>
                <c:pt idx="27">
                  <c:v>6.81</c:v>
                </c:pt>
                <c:pt idx="28" formatCode="0.00">
                  <c:v>7</c:v>
                </c:pt>
                <c:pt idx="29" formatCode="0.00">
                  <c:v>7.14</c:v>
                </c:pt>
                <c:pt idx="30" formatCode="0.00">
                  <c:v>7.14</c:v>
                </c:pt>
                <c:pt idx="31" formatCode="0.00">
                  <c:v>10</c:v>
                </c:pt>
                <c:pt idx="32" formatCode="0.00">
                  <c:v>10.82</c:v>
                </c:pt>
              </c:numCache>
            </c:numRef>
          </c:cat>
          <c:val>
            <c:numRef>
              <c:f>'Лист 2'!$S$36:$S$68</c:f>
              <c:numCache>
                <c:formatCode>0.00</c:formatCode>
                <c:ptCount val="33"/>
                <c:pt idx="0">
                  <c:v>150.51287432705854</c:v>
                </c:pt>
                <c:pt idx="1">
                  <c:v>153.21500449249783</c:v>
                </c:pt>
                <c:pt idx="2">
                  <c:v>157.38013505195957</c:v>
                </c:pt>
                <c:pt idx="3">
                  <c:v>157.38013505195957</c:v>
                </c:pt>
                <c:pt idx="4">
                  <c:v>158.22894589068255</c:v>
                </c:pt>
                <c:pt idx="5">
                  <c:v>158.22894589068255</c:v>
                </c:pt>
                <c:pt idx="6">
                  <c:v>159.31670941104221</c:v>
                </c:pt>
                <c:pt idx="7">
                  <c:v>159.75065668920439</c:v>
                </c:pt>
                <c:pt idx="8">
                  <c:v>161.07535558394878</c:v>
                </c:pt>
                <c:pt idx="9">
                  <c:v>161.07535558394878</c:v>
                </c:pt>
                <c:pt idx="10">
                  <c:v>162.23868169895951</c:v>
                </c:pt>
                <c:pt idx="11">
                  <c:v>160.43518593638544</c:v>
                </c:pt>
                <c:pt idx="12" formatCode="#,##0.00">
                  <c:v>162.7687036316718</c:v>
                </c:pt>
                <c:pt idx="13">
                  <c:v>163.26822775193483</c:v>
                </c:pt>
                <c:pt idx="14">
                  <c:v>163.73979529168807</c:v>
                </c:pt>
                <c:pt idx="15" formatCode="#,##0.00">
                  <c:v>164.60789655596687</c:v>
                </c:pt>
                <c:pt idx="16">
                  <c:v>165.74996730219644</c:v>
                </c:pt>
                <c:pt idx="17">
                  <c:v>165.9241184736307</c:v>
                </c:pt>
                <c:pt idx="18">
                  <c:v>166.22714533713602</c:v>
                </c:pt>
                <c:pt idx="19">
                  <c:v>166.22714533713602</c:v>
                </c:pt>
                <c:pt idx="20">
                  <c:v>167.06300483679485</c:v>
                </c:pt>
                <c:pt idx="21">
                  <c:v>167.95681972191332</c:v>
                </c:pt>
                <c:pt idx="22">
                  <c:v>168.88792315374991</c:v>
                </c:pt>
                <c:pt idx="23">
                  <c:v>169.41983758925747</c:v>
                </c:pt>
                <c:pt idx="24">
                  <c:v>169.41983758925747</c:v>
                </c:pt>
                <c:pt idx="25">
                  <c:v>169.5734351904895</c:v>
                </c:pt>
                <c:pt idx="26">
                  <c:v>170.47271661854765</c:v>
                </c:pt>
                <c:pt idx="27" formatCode="#,##0.00">
                  <c:v>171.60159231972659</c:v>
                </c:pt>
                <c:pt idx="28">
                  <c:v>171.82876644005023</c:v>
                </c:pt>
                <c:pt idx="29">
                  <c:v>171.98845992878341</c:v>
                </c:pt>
                <c:pt idx="30">
                  <c:v>171.98845992878341</c:v>
                </c:pt>
                <c:pt idx="31">
                  <c:v>174.27518954777651</c:v>
                </c:pt>
                <c:pt idx="32">
                  <c:v>174.70840591817571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EF-4534-AE14-EBEC494D332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'Лист 2'!$P$36:$P$68</c:f>
              <c:numCache>
                <c:formatCode>#,##0.00</c:formatCode>
                <c:ptCount val="33"/>
                <c:pt idx="0" formatCode="#,##0">
                  <c:v>1.9</c:v>
                </c:pt>
                <c:pt idx="1">
                  <c:v>2.1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 formatCode="0.00">
                  <c:v>2.6</c:v>
                </c:pt>
                <c:pt idx="6" formatCode="0.00">
                  <c:v>2.74</c:v>
                </c:pt>
                <c:pt idx="7" formatCode="0.00">
                  <c:v>2.8</c:v>
                </c:pt>
                <c:pt idx="8" formatCode="0.00">
                  <c:v>3</c:v>
                </c:pt>
                <c:pt idx="9" formatCode="0.00">
                  <c:v>3</c:v>
                </c:pt>
                <c:pt idx="10" formatCode="0.00">
                  <c:v>3.2</c:v>
                </c:pt>
                <c:pt idx="11" formatCode="0.00">
                  <c:v>2.9</c:v>
                </c:pt>
                <c:pt idx="12">
                  <c:v>3.3</c:v>
                </c:pt>
                <c:pt idx="13" formatCode="0.00">
                  <c:v>3.4</c:v>
                </c:pt>
                <c:pt idx="14" formatCode="0.00">
                  <c:v>3.5</c:v>
                </c:pt>
                <c:pt idx="15">
                  <c:v>3.7</c:v>
                </c:pt>
                <c:pt idx="16" formatCode="0.00">
                  <c:v>4</c:v>
                </c:pt>
                <c:pt idx="17" formatCode="0.00">
                  <c:v>4.05</c:v>
                </c:pt>
                <c:pt idx="18" formatCode="0.00">
                  <c:v>4.1399999999999997</c:v>
                </c:pt>
                <c:pt idx="19" formatCode="0.00">
                  <c:v>4.1399999999999997</c:v>
                </c:pt>
                <c:pt idx="20">
                  <c:v>4.41</c:v>
                </c:pt>
                <c:pt idx="21" formatCode="0.00">
                  <c:v>4.74</c:v>
                </c:pt>
                <c:pt idx="22" formatCode="0.00">
                  <c:v>5.14</c:v>
                </c:pt>
                <c:pt idx="23" formatCode="0.00">
                  <c:v>5.4</c:v>
                </c:pt>
                <c:pt idx="24" formatCode="0.00">
                  <c:v>5.4</c:v>
                </c:pt>
                <c:pt idx="25" formatCode="0.00">
                  <c:v>5.48</c:v>
                </c:pt>
                <c:pt idx="26" formatCode="0.00">
                  <c:v>6</c:v>
                </c:pt>
                <c:pt idx="27">
                  <c:v>6.81</c:v>
                </c:pt>
                <c:pt idx="28" formatCode="0.00">
                  <c:v>7</c:v>
                </c:pt>
                <c:pt idx="29" formatCode="0.00">
                  <c:v>7.14</c:v>
                </c:pt>
                <c:pt idx="30" formatCode="0.00">
                  <c:v>7.14</c:v>
                </c:pt>
                <c:pt idx="31" formatCode="0.00">
                  <c:v>10</c:v>
                </c:pt>
                <c:pt idx="32" formatCode="0.00">
                  <c:v>10.82</c:v>
                </c:pt>
              </c:numCache>
            </c:numRef>
          </c:cat>
          <c:val>
            <c:numRef>
              <c:f>'Лист 2'!$T$36:$T$68</c:f>
              <c:numCache>
                <c:formatCode>General</c:formatCode>
                <c:ptCount val="33"/>
                <c:pt idx="0">
                  <c:v>340.5</c:v>
                </c:pt>
                <c:pt idx="1">
                  <c:v>340.5</c:v>
                </c:pt>
                <c:pt idx="2">
                  <c:v>270</c:v>
                </c:pt>
                <c:pt idx="3">
                  <c:v>270</c:v>
                </c:pt>
                <c:pt idx="4">
                  <c:v>277.05</c:v>
                </c:pt>
                <c:pt idx="5">
                  <c:v>277.05</c:v>
                </c:pt>
                <c:pt idx="6">
                  <c:v>286.92</c:v>
                </c:pt>
                <c:pt idx="7">
                  <c:v>291.14999999999998</c:v>
                </c:pt>
                <c:pt idx="8">
                  <c:v>305.25</c:v>
                </c:pt>
                <c:pt idx="9">
                  <c:v>305.25</c:v>
                </c:pt>
                <c:pt idx="10">
                  <c:v>319.35000000000002</c:v>
                </c:pt>
                <c:pt idx="11">
                  <c:v>298.2</c:v>
                </c:pt>
                <c:pt idx="12" formatCode="#,##0.00">
                  <c:v>326.39999999999998</c:v>
                </c:pt>
                <c:pt idx="13">
                  <c:v>333.45</c:v>
                </c:pt>
                <c:pt idx="14">
                  <c:v>340.5</c:v>
                </c:pt>
                <c:pt idx="15" formatCode="#,##0.00">
                  <c:v>289.29999999999995</c:v>
                </c:pt>
                <c:pt idx="16">
                  <c:v>212.5</c:v>
                </c:pt>
                <c:pt idx="17">
                  <c:v>211.96430000000001</c:v>
                </c:pt>
                <c:pt idx="18">
                  <c:v>211</c:v>
                </c:pt>
                <c:pt idx="19">
                  <c:v>211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  <c:pt idx="25">
                  <c:v>180</c:v>
                </c:pt>
                <c:pt idx="26">
                  <c:v>180</c:v>
                </c:pt>
                <c:pt idx="27" formatCode="#,##0.00">
                  <c:v>180</c:v>
                </c:pt>
                <c:pt idx="28">
                  <c:v>180</c:v>
                </c:pt>
                <c:pt idx="29">
                  <c:v>180</c:v>
                </c:pt>
                <c:pt idx="30">
                  <c:v>180</c:v>
                </c:pt>
                <c:pt idx="31">
                  <c:v>180</c:v>
                </c:pt>
                <c:pt idx="32">
                  <c:v>6.5593696799033943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EF-4534-AE14-EBEC494D332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'Лист 2'!$P$36:$P$68</c:f>
              <c:numCache>
                <c:formatCode>#,##0.00</c:formatCode>
                <c:ptCount val="33"/>
                <c:pt idx="0" formatCode="#,##0">
                  <c:v>1.9</c:v>
                </c:pt>
                <c:pt idx="1">
                  <c:v>2.1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 formatCode="0.00">
                  <c:v>2.6</c:v>
                </c:pt>
                <c:pt idx="6" formatCode="0.00">
                  <c:v>2.74</c:v>
                </c:pt>
                <c:pt idx="7" formatCode="0.00">
                  <c:v>2.8</c:v>
                </c:pt>
                <c:pt idx="8" formatCode="0.00">
                  <c:v>3</c:v>
                </c:pt>
                <c:pt idx="9" formatCode="0.00">
                  <c:v>3</c:v>
                </c:pt>
                <c:pt idx="10" formatCode="0.00">
                  <c:v>3.2</c:v>
                </c:pt>
                <c:pt idx="11" formatCode="0.00">
                  <c:v>2.9</c:v>
                </c:pt>
                <c:pt idx="12">
                  <c:v>3.3</c:v>
                </c:pt>
                <c:pt idx="13" formatCode="0.00">
                  <c:v>3.4</c:v>
                </c:pt>
                <c:pt idx="14" formatCode="0.00">
                  <c:v>3.5</c:v>
                </c:pt>
                <c:pt idx="15">
                  <c:v>3.7</c:v>
                </c:pt>
                <c:pt idx="16" formatCode="0.00">
                  <c:v>4</c:v>
                </c:pt>
                <c:pt idx="17" formatCode="0.00">
                  <c:v>4.05</c:v>
                </c:pt>
                <c:pt idx="18" formatCode="0.00">
                  <c:v>4.1399999999999997</c:v>
                </c:pt>
                <c:pt idx="19" formatCode="0.00">
                  <c:v>4.1399999999999997</c:v>
                </c:pt>
                <c:pt idx="20">
                  <c:v>4.41</c:v>
                </c:pt>
                <c:pt idx="21" formatCode="0.00">
                  <c:v>4.74</c:v>
                </c:pt>
                <c:pt idx="22" formatCode="0.00">
                  <c:v>5.14</c:v>
                </c:pt>
                <c:pt idx="23" formatCode="0.00">
                  <c:v>5.4</c:v>
                </c:pt>
                <c:pt idx="24" formatCode="0.00">
                  <c:v>5.4</c:v>
                </c:pt>
                <c:pt idx="25" formatCode="0.00">
                  <c:v>5.48</c:v>
                </c:pt>
                <c:pt idx="26" formatCode="0.00">
                  <c:v>6</c:v>
                </c:pt>
                <c:pt idx="27">
                  <c:v>6.81</c:v>
                </c:pt>
                <c:pt idx="28" formatCode="0.00">
                  <c:v>7</c:v>
                </c:pt>
                <c:pt idx="29" formatCode="0.00">
                  <c:v>7.14</c:v>
                </c:pt>
                <c:pt idx="30" formatCode="0.00">
                  <c:v>7.14</c:v>
                </c:pt>
                <c:pt idx="31" formatCode="0.00">
                  <c:v>10</c:v>
                </c:pt>
                <c:pt idx="32" formatCode="0.00">
                  <c:v>10.82</c:v>
                </c:pt>
              </c:numCache>
            </c:numRef>
          </c:cat>
          <c:val>
            <c:numRef>
              <c:f>'Лист 2'!$U$36:$U$68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#,##0.00">
                  <c:v>0</c:v>
                </c:pt>
                <c:pt idx="13">
                  <c:v>0</c:v>
                </c:pt>
                <c:pt idx="14">
                  <c:v>0</c:v>
                </c:pt>
                <c:pt idx="15" formatCode="#,##0.00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#,##0.0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#,##0.00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EF-4534-AE14-EBEC494D332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'Лист 2'!$P$36:$P$68</c:f>
              <c:numCache>
                <c:formatCode>#,##0.00</c:formatCode>
                <c:ptCount val="33"/>
                <c:pt idx="0" formatCode="#,##0">
                  <c:v>1.9</c:v>
                </c:pt>
                <c:pt idx="1">
                  <c:v>2.1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 formatCode="0.00">
                  <c:v>2.6</c:v>
                </c:pt>
                <c:pt idx="6" formatCode="0.00">
                  <c:v>2.74</c:v>
                </c:pt>
                <c:pt idx="7" formatCode="0.00">
                  <c:v>2.8</c:v>
                </c:pt>
                <c:pt idx="8" formatCode="0.00">
                  <c:v>3</c:v>
                </c:pt>
                <c:pt idx="9" formatCode="0.00">
                  <c:v>3</c:v>
                </c:pt>
                <c:pt idx="10" formatCode="0.00">
                  <c:v>3.2</c:v>
                </c:pt>
                <c:pt idx="11" formatCode="0.00">
                  <c:v>2.9</c:v>
                </c:pt>
                <c:pt idx="12">
                  <c:v>3.3</c:v>
                </c:pt>
                <c:pt idx="13" formatCode="0.00">
                  <c:v>3.4</c:v>
                </c:pt>
                <c:pt idx="14" formatCode="0.00">
                  <c:v>3.5</c:v>
                </c:pt>
                <c:pt idx="15">
                  <c:v>3.7</c:v>
                </c:pt>
                <c:pt idx="16" formatCode="0.00">
                  <c:v>4</c:v>
                </c:pt>
                <c:pt idx="17" formatCode="0.00">
                  <c:v>4.05</c:v>
                </c:pt>
                <c:pt idx="18" formatCode="0.00">
                  <c:v>4.1399999999999997</c:v>
                </c:pt>
                <c:pt idx="19" formatCode="0.00">
                  <c:v>4.1399999999999997</c:v>
                </c:pt>
                <c:pt idx="20">
                  <c:v>4.41</c:v>
                </c:pt>
                <c:pt idx="21" formatCode="0.00">
                  <c:v>4.74</c:v>
                </c:pt>
                <c:pt idx="22" formatCode="0.00">
                  <c:v>5.14</c:v>
                </c:pt>
                <c:pt idx="23" formatCode="0.00">
                  <c:v>5.4</c:v>
                </c:pt>
                <c:pt idx="24" formatCode="0.00">
                  <c:v>5.4</c:v>
                </c:pt>
                <c:pt idx="25" formatCode="0.00">
                  <c:v>5.48</c:v>
                </c:pt>
                <c:pt idx="26" formatCode="0.00">
                  <c:v>6</c:v>
                </c:pt>
                <c:pt idx="27">
                  <c:v>6.81</c:v>
                </c:pt>
                <c:pt idx="28" formatCode="0.00">
                  <c:v>7</c:v>
                </c:pt>
                <c:pt idx="29" formatCode="0.00">
                  <c:v>7.14</c:v>
                </c:pt>
                <c:pt idx="30" formatCode="0.00">
                  <c:v>7.14</c:v>
                </c:pt>
                <c:pt idx="31" formatCode="0.00">
                  <c:v>10</c:v>
                </c:pt>
                <c:pt idx="32" formatCode="0.00">
                  <c:v>10.82</c:v>
                </c:pt>
              </c:numCache>
            </c:numRef>
          </c:cat>
          <c:val>
            <c:numRef>
              <c:f>'Лист 2'!$V$36:$V$68</c:f>
              <c:numCache>
                <c:formatCode>General</c:formatCode>
                <c:ptCount val="33"/>
                <c:pt idx="1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#,##0.00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31</c:v>
                </c:pt>
                <c:pt idx="19">
                  <c:v>31</c:v>
                </c:pt>
                <c:pt idx="20" formatCode="#,##0.00">
                  <c:v>28.588004434782846</c:v>
                </c:pt>
                <c:pt idx="21">
                  <c:v>25.89337655374943</c:v>
                </c:pt>
                <c:pt idx="22">
                  <c:v>22.965364841133255</c:v>
                </c:pt>
                <c:pt idx="23">
                  <c:v>21.242145520641976</c:v>
                </c:pt>
                <c:pt idx="24">
                  <c:v>21.242145520641976</c:v>
                </c:pt>
                <c:pt idx="25">
                  <c:v>20.738403116400743</c:v>
                </c:pt>
                <c:pt idx="26">
                  <c:v>17.74293137985563</c:v>
                </c:pt>
                <c:pt idx="27" formatCode="#,##0.00">
                  <c:v>13.915275652024226</c:v>
                </c:pt>
                <c:pt idx="28">
                  <c:v>13.144286854502464</c:v>
                </c:pt>
                <c:pt idx="29">
                  <c:v>12.603659451958574</c:v>
                </c:pt>
                <c:pt idx="30">
                  <c:v>12.603659451958574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EF-4534-AE14-EBEC494D3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953227535"/>
        <c:axId val="1953220815"/>
      </c:barChart>
      <c:catAx>
        <c:axId val="195322753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53220815"/>
        <c:crosses val="autoZero"/>
        <c:auto val="1"/>
        <c:lblAlgn val="ctr"/>
        <c:lblOffset val="100"/>
        <c:noMultiLvlLbl val="0"/>
      </c:catAx>
      <c:valAx>
        <c:axId val="195322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322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17318</xdr:colOff>
      <xdr:row>6</xdr:row>
      <xdr:rowOff>58882</xdr:rowOff>
    </xdr:from>
    <xdr:to>
      <xdr:col>2</xdr:col>
      <xdr:colOff>17318</xdr:colOff>
      <xdr:row>6</xdr:row>
      <xdr:rowOff>76200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 flipV="1">
          <a:off x="7698278" y="5888182"/>
          <a:ext cx="0" cy="173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10</xdr:row>
      <xdr:rowOff>73478</xdr:rowOff>
    </xdr:from>
    <xdr:to>
      <xdr:col>7</xdr:col>
      <xdr:colOff>76200</xdr:colOff>
      <xdr:row>10</xdr:row>
      <xdr:rowOff>81642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59F8C8DE-BA5B-38F8-4795-159DFF8C034F}"/>
            </a:ext>
          </a:extLst>
        </xdr:cNvPr>
        <xdr:cNvCxnSpPr/>
      </xdr:nvCxnSpPr>
      <xdr:spPr>
        <a:xfrm flipV="1">
          <a:off x="5192486" y="4642757"/>
          <a:ext cx="0" cy="81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</xdr:row>
      <xdr:rowOff>177406</xdr:rowOff>
    </xdr:from>
    <xdr:to>
      <xdr:col>7</xdr:col>
      <xdr:colOff>457200</xdr:colOff>
      <xdr:row>25</xdr:row>
      <xdr:rowOff>152400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921DAB43-9EF7-E76D-D85B-B3B99A79E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628650</xdr:colOff>
      <xdr:row>1</xdr:row>
      <xdr:rowOff>1</xdr:rowOff>
    </xdr:from>
    <xdr:to>
      <xdr:col>24</xdr:col>
      <xdr:colOff>19050</xdr:colOff>
      <xdr:row>30</xdr:row>
      <xdr:rowOff>114300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29713755-FF16-BB1F-1C55-4CC1C23EA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47624</xdr:colOff>
      <xdr:row>1</xdr:row>
      <xdr:rowOff>3173</xdr:rowOff>
    </xdr:from>
    <xdr:to>
      <xdr:col>37</xdr:col>
      <xdr:colOff>495300</xdr:colOff>
      <xdr:row>24</xdr:row>
      <xdr:rowOff>9524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F202AB0-E72E-8C7B-8E36-69CFB2D12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T95"/>
  <sheetViews>
    <sheetView tabSelected="1" view="pageBreakPreview" zoomScale="20" zoomScaleNormal="110" zoomScaleSheetLayoutView="20" workbookViewId="0">
      <selection activeCell="I77" sqref="I77"/>
    </sheetView>
  </sheetViews>
  <sheetFormatPr defaultRowHeight="14.4" x14ac:dyDescent="0.55000000000000004"/>
  <cols>
    <col min="15" max="15" width="11.41796875" customWidth="1"/>
    <col min="16" max="16" width="17.89453125" customWidth="1"/>
    <col min="17" max="17" width="17.26171875" customWidth="1"/>
    <col min="18" max="18" width="17.15625" customWidth="1"/>
    <col min="19" max="19" width="25.3125" customWidth="1"/>
    <col min="20" max="20" width="14.83984375" customWidth="1"/>
    <col min="21" max="21" width="16.578125" customWidth="1"/>
    <col min="22" max="22" width="19.3125" customWidth="1"/>
    <col min="23" max="23" width="14" customWidth="1"/>
    <col min="24" max="24" width="12.47265625" customWidth="1"/>
    <col min="25" max="25" width="12.68359375" customWidth="1"/>
    <col min="26" max="26" width="13.578125" customWidth="1"/>
    <col min="27" max="27" width="12.89453125" customWidth="1"/>
    <col min="28" max="28" width="16.9453125" customWidth="1"/>
    <col min="29" max="29" width="14.47265625" customWidth="1"/>
    <col min="30" max="30" width="16.47265625" customWidth="1"/>
    <col min="31" max="31" width="13.9453125" customWidth="1"/>
    <col min="32" max="32" width="14.9453125" customWidth="1"/>
    <col min="33" max="33" width="13.41796875" customWidth="1"/>
  </cols>
  <sheetData>
    <row r="2" spans="1:4" x14ac:dyDescent="0.55000000000000004">
      <c r="A2" s="3" t="s">
        <v>3</v>
      </c>
      <c r="B2" s="3"/>
      <c r="C2" s="3"/>
      <c r="D2" s="3"/>
    </row>
    <row r="3" spans="1:4" x14ac:dyDescent="0.55000000000000004">
      <c r="A3" s="7" t="s">
        <v>1</v>
      </c>
      <c r="B3" s="7" t="s">
        <v>2</v>
      </c>
      <c r="C3" s="7" t="s">
        <v>6</v>
      </c>
      <c r="D3" s="7" t="s">
        <v>7</v>
      </c>
    </row>
    <row r="4" spans="1:4" x14ac:dyDescent="0.55000000000000004">
      <c r="A4" s="8">
        <v>3.5</v>
      </c>
      <c r="B4" s="8">
        <f>A4/0.5</f>
        <v>7</v>
      </c>
      <c r="C4" s="8">
        <v>340.5</v>
      </c>
      <c r="D4" s="8"/>
    </row>
    <row r="5" spans="1:4" x14ac:dyDescent="0.55000000000000004">
      <c r="A5" s="8">
        <v>4</v>
      </c>
      <c r="B5" s="8">
        <f>A5/0.5</f>
        <v>8</v>
      </c>
      <c r="C5" s="8">
        <v>212.5</v>
      </c>
      <c r="D5" s="8"/>
    </row>
    <row r="6" spans="1:4" x14ac:dyDescent="0.55000000000000004">
      <c r="A6" s="8">
        <v>4.1399999999999997</v>
      </c>
      <c r="B6" s="8">
        <f>A6/0.5</f>
        <v>8.2799999999999994</v>
      </c>
      <c r="C6" s="8">
        <v>149</v>
      </c>
      <c r="D6" s="8">
        <v>211</v>
      </c>
    </row>
    <row r="7" spans="1:4" x14ac:dyDescent="0.55000000000000004">
      <c r="A7" s="8">
        <v>5.14</v>
      </c>
      <c r="B7" s="8">
        <f>A7/0.5</f>
        <v>10.28</v>
      </c>
      <c r="C7" s="8">
        <v>170</v>
      </c>
      <c r="D7" s="8"/>
    </row>
    <row r="8" spans="1:4" x14ac:dyDescent="0.55000000000000004">
      <c r="A8" s="35">
        <v>5.4</v>
      </c>
      <c r="B8" s="8">
        <f>A8/0.5</f>
        <v>10.8</v>
      </c>
      <c r="C8" s="35">
        <v>169</v>
      </c>
      <c r="D8" s="8">
        <v>187</v>
      </c>
    </row>
    <row r="9" spans="1:4" x14ac:dyDescent="0.55000000000000004">
      <c r="A9" s="8">
        <v>7.14</v>
      </c>
      <c r="B9" s="8">
        <f>A9/0.5</f>
        <v>14.28</v>
      </c>
      <c r="C9" s="8">
        <v>172</v>
      </c>
      <c r="D9" s="8">
        <v>188</v>
      </c>
    </row>
    <row r="24" spans="6:33" x14ac:dyDescent="0.55000000000000004">
      <c r="F24" t="s">
        <v>0</v>
      </c>
    </row>
    <row r="32" spans="6:33" x14ac:dyDescent="0.55000000000000004">
      <c r="Y32" s="12"/>
      <c r="Z32" s="12"/>
      <c r="AA32" s="12"/>
      <c r="AB32" s="12"/>
      <c r="AC32" s="12"/>
      <c r="AD32" s="12"/>
      <c r="AE32" s="12"/>
      <c r="AF32" s="97"/>
      <c r="AG32" s="97"/>
    </row>
    <row r="33" spans="1:46" ht="51.9" customHeight="1" x14ac:dyDescent="0.55000000000000004">
      <c r="A33" s="1"/>
      <c r="B33" s="21"/>
      <c r="C33" s="21"/>
      <c r="D33" s="21"/>
      <c r="E33" s="1"/>
      <c r="F33" s="21"/>
      <c r="G33" s="21"/>
      <c r="H33" s="21"/>
      <c r="I33" s="1"/>
      <c r="J33" s="1"/>
      <c r="K33" s="1"/>
      <c r="L33" s="1"/>
      <c r="M33" s="1"/>
      <c r="N33" s="1"/>
      <c r="O33" s="1"/>
      <c r="P33" s="101" t="s">
        <v>19</v>
      </c>
      <c r="Q33" s="101" t="s">
        <v>17</v>
      </c>
      <c r="R33" s="101" t="s">
        <v>4</v>
      </c>
      <c r="S33" s="101" t="s">
        <v>18</v>
      </c>
      <c r="T33" s="101" t="s">
        <v>5</v>
      </c>
      <c r="U33" s="102" t="s">
        <v>10</v>
      </c>
      <c r="V33" s="100" t="s">
        <v>12</v>
      </c>
      <c r="W33" s="100" t="s">
        <v>20</v>
      </c>
      <c r="X33" s="100" t="s">
        <v>21</v>
      </c>
      <c r="Y33" s="100"/>
      <c r="Z33" s="100"/>
      <c r="AA33" s="100" t="s">
        <v>26</v>
      </c>
      <c r="AB33" s="100"/>
      <c r="AC33" s="98" t="s">
        <v>25</v>
      </c>
      <c r="AD33" s="98" t="s">
        <v>29</v>
      </c>
      <c r="AE33" s="98" t="s">
        <v>30</v>
      </c>
      <c r="AF33" s="15" t="s">
        <v>33</v>
      </c>
      <c r="AG33" s="6" t="s">
        <v>34</v>
      </c>
    </row>
    <row r="34" spans="1:46" ht="19.5" customHeight="1" x14ac:dyDescent="0.55000000000000004">
      <c r="A34" s="1"/>
      <c r="B34" s="21"/>
      <c r="C34" s="21"/>
      <c r="D34" s="21"/>
      <c r="E34" s="1"/>
      <c r="F34" s="21"/>
      <c r="G34" s="21"/>
      <c r="H34" s="21"/>
      <c r="I34" s="1"/>
      <c r="J34" s="1"/>
      <c r="K34" s="1"/>
      <c r="L34" s="1"/>
      <c r="M34" s="1"/>
      <c r="N34" s="1"/>
      <c r="O34" s="1"/>
      <c r="P34" s="101"/>
      <c r="Q34" s="101"/>
      <c r="R34" s="101"/>
      <c r="S34" s="101"/>
      <c r="T34" s="101"/>
      <c r="U34" s="102"/>
      <c r="V34" s="100"/>
      <c r="W34" s="100"/>
      <c r="X34" s="44" t="s">
        <v>23</v>
      </c>
      <c r="Y34" s="44" t="s">
        <v>24</v>
      </c>
      <c r="Z34" s="44" t="s">
        <v>22</v>
      </c>
      <c r="AA34" s="44" t="s">
        <v>27</v>
      </c>
      <c r="AB34" s="44" t="s">
        <v>28</v>
      </c>
      <c r="AC34" s="99"/>
      <c r="AD34" s="99"/>
      <c r="AE34" s="99"/>
      <c r="AF34" s="55" t="s">
        <v>31</v>
      </c>
      <c r="AG34" s="56" t="s">
        <v>32</v>
      </c>
    </row>
    <row r="35" spans="1:46" ht="18.3" customHeight="1" x14ac:dyDescent="0.55000000000000004">
      <c r="A35" s="21"/>
      <c r="B35" s="21"/>
      <c r="C35" s="21"/>
      <c r="D35" s="21"/>
      <c r="E35" s="1"/>
      <c r="F35" s="21"/>
      <c r="G35" s="21"/>
      <c r="H35" s="21"/>
      <c r="I35" s="1"/>
      <c r="J35" s="1"/>
      <c r="K35" s="1"/>
      <c r="L35" s="1"/>
      <c r="M35" s="1"/>
      <c r="N35" s="1"/>
      <c r="O35" s="1"/>
      <c r="P35" s="52">
        <v>1</v>
      </c>
      <c r="Q35" s="52">
        <v>2</v>
      </c>
      <c r="R35" s="52">
        <v>3</v>
      </c>
      <c r="S35" s="52">
        <v>4</v>
      </c>
      <c r="T35" s="52">
        <v>5</v>
      </c>
      <c r="U35" s="52">
        <v>6</v>
      </c>
      <c r="V35" s="52">
        <v>7</v>
      </c>
      <c r="W35" s="52">
        <v>8</v>
      </c>
      <c r="X35" s="52">
        <v>9</v>
      </c>
      <c r="Y35" s="53">
        <v>10</v>
      </c>
      <c r="Z35" s="53">
        <v>11</v>
      </c>
      <c r="AA35" s="53">
        <v>12</v>
      </c>
      <c r="AB35" s="53">
        <v>13</v>
      </c>
      <c r="AC35" s="53">
        <v>14</v>
      </c>
      <c r="AD35" s="53">
        <v>15</v>
      </c>
      <c r="AE35" s="53">
        <v>16</v>
      </c>
      <c r="AF35" s="53">
        <v>17</v>
      </c>
      <c r="AG35" s="54">
        <v>18</v>
      </c>
    </row>
    <row r="36" spans="1:46" ht="18.3" customHeight="1" x14ac:dyDescent="0.55000000000000004">
      <c r="A36" s="21"/>
      <c r="B36" s="21"/>
      <c r="C36" s="21"/>
      <c r="D36" s="21"/>
      <c r="E36" s="1"/>
      <c r="F36" s="21"/>
      <c r="G36" s="21"/>
      <c r="H36" s="21"/>
      <c r="I36" s="1"/>
      <c r="J36" s="1"/>
      <c r="K36" s="1"/>
      <c r="L36" s="1"/>
      <c r="M36" s="1"/>
      <c r="N36" s="1"/>
      <c r="O36" s="1"/>
      <c r="P36" s="59">
        <v>1.9</v>
      </c>
      <c r="Q36" s="59">
        <v>51</v>
      </c>
      <c r="R36" s="60">
        <f t="shared" ref="R36:R42" si="0">(ATAN2(-(P36/2)*SIN(1), (0.5/2)*COS(1)))*90</f>
        <v>267.67818386070127</v>
      </c>
      <c r="S36" s="60">
        <f t="shared" ref="S36:S41" si="1">ATAN2((0.5/2)*SIN(45*PI()/180), (P36/2)*COS(45*PI()/180)) * 360/PI()</f>
        <v>150.51287432705854</v>
      </c>
      <c r="T36" s="61">
        <f t="shared" ref="T36:T57" si="2">IF(2*P36&lt; 5,340.5,IF(AND(2*P36&gt;= 5, 2*P36 &lt; 7),340.5 - 70.5 * (7 - 2*P36)/2,IF(AND(2*P36 &gt;= 7, 2*P36 &lt; 8),340.5 - 128 * (2*P36 - 7),IF(AND(2*P36 &gt;= 8, 2*P36 &lt; 8.28),212.5 - 5.357 * (2*P36 - 8),IF(2*P36 = 8.28,211,IF(AND(2*P36 &gt; 8.28, 2*P36 &lt; 20),180,IF(2*P36 &gt;= 20,6 + 174 * EXP(-3.5 * (2*P36 - 20)),"Ошибка")))))))</f>
        <v>340.5</v>
      </c>
      <c r="U36" s="84" t="str">
        <f t="shared" ref="U36:U57" si="3">IF(2*P36 &lt; 5,"Сингулярность",IF(AND(2*P36 &gt;= 5, 2*P36 &lt; 7),"Предбифуркация",IF(AND(2*P36 &gt;= 7, 2*P36&lt;= 8.28),"Бифуркация", IF(AND(2*P36&gt; 8.28, 2*P36 &lt; 20),"Стабилизация", IF(2*P36 &gt;= 20,"Распад", "Н/Д")))))</f>
        <v>Сингулярность</v>
      </c>
      <c r="V36" s="10"/>
      <c r="W36" s="46" t="b">
        <f ca="1">RANDBETWEEN(T36,T37)&gt;0.5</f>
        <v>1</v>
      </c>
      <c r="X36" s="48">
        <f>IF(T36&lt;360,360/INT(T36),T36)</f>
        <v>1.0588235294117647</v>
      </c>
      <c r="Y36" s="48">
        <f>IF(R36&lt;360,360/INT(R36),R36)</f>
        <v>1.348314606741573</v>
      </c>
      <c r="Z36" s="48">
        <f>IF(S36&lt;360,360/INT(S36),S36)</f>
        <v>2.4</v>
      </c>
      <c r="AA36" s="45">
        <f t="shared" ref="AA36:AA68" si="4">(8*(T36/6)*(4/7))</f>
        <v>259.42857142857139</v>
      </c>
      <c r="AB36" s="45">
        <f t="shared" ref="AB36:AB67" si="5">AA36/137.036</f>
        <v>1.8931417396054422</v>
      </c>
      <c r="AC36" s="50">
        <f>SUMXMY2(R36:R37, S36:S37)/COUNT(T36:T37)</f>
        <v>13577.353571930251</v>
      </c>
      <c r="AD36" s="50">
        <f>ABS((T36-T37)/T36)*100</f>
        <v>0</v>
      </c>
      <c r="AE36" s="50">
        <f>(T36-T38)/(O361-33)</f>
        <v>-2.1363636363636362</v>
      </c>
      <c r="AF36" s="50">
        <f t="shared" ref="AF36:AF58" si="6">T36/((P36*2)-20)^AG36</f>
        <v>340.5</v>
      </c>
      <c r="AG36" s="51"/>
    </row>
    <row r="37" spans="1:46" s="31" customFormat="1" ht="18.3" customHeight="1" x14ac:dyDescent="0.55000000000000004">
      <c r="A37" s="28"/>
      <c r="B37" s="28"/>
      <c r="C37" s="28"/>
      <c r="D37" s="28"/>
      <c r="E37" s="30"/>
      <c r="F37" s="28"/>
      <c r="G37" s="28"/>
      <c r="H37" s="28"/>
      <c r="I37" s="30"/>
      <c r="J37" s="30"/>
      <c r="K37" s="30"/>
      <c r="L37" s="30"/>
      <c r="M37" s="30"/>
      <c r="N37" s="30"/>
      <c r="O37" s="30"/>
      <c r="P37" s="62">
        <v>2.1</v>
      </c>
      <c r="Q37" s="62">
        <v>58</v>
      </c>
      <c r="R37" s="60">
        <f t="shared" si="0"/>
        <v>269.08992579018928</v>
      </c>
      <c r="S37" s="60">
        <f t="shared" si="1"/>
        <v>153.21500449249783</v>
      </c>
      <c r="T37" s="61">
        <f t="shared" si="2"/>
        <v>340.5</v>
      </c>
      <c r="U37" s="84" t="str">
        <f t="shared" si="3"/>
        <v>Сингулярность</v>
      </c>
      <c r="V37" s="2" t="str">
        <f t="shared" ref="V37:V57" si="7">IF(AND(2*P37 &gt;= 8.28, 2*P37 &lt; 20),31 * EXP(-0.15 * (2*P37 - 8.28)),"")</f>
        <v/>
      </c>
      <c r="W37" s="49"/>
      <c r="X37" s="48">
        <f>IF(T37&lt;360,360/INT(T37),T37)</f>
        <v>1.0588235294117647</v>
      </c>
      <c r="Y37" s="48">
        <f t="shared" ref="Y37:Y68" si="8">IF(R37&lt;360,360/INT(R37),R37)</f>
        <v>1.3382899628252789</v>
      </c>
      <c r="Z37" s="48">
        <f t="shared" ref="Z37:Z68" si="9">IF(S37&lt;360,360/INT(S37),S37)</f>
        <v>2.3529411764705883</v>
      </c>
      <c r="AA37" s="45">
        <f t="shared" si="4"/>
        <v>259.42857142857139</v>
      </c>
      <c r="AB37" s="45">
        <f t="shared" si="5"/>
        <v>1.8931417396054422</v>
      </c>
      <c r="AC37" s="50">
        <f t="shared" ref="AC37:AC68" si="10">SUMXMY2(R37:R38, S37:S38)/COUNT(T37:T38)</f>
        <v>13196.510538607405</v>
      </c>
      <c r="AD37" s="50"/>
      <c r="AE37" s="50">
        <f t="shared" ref="AE37:AE68" si="11">(T37-T39)/(O362-33)</f>
        <v>-2.1363636363636362</v>
      </c>
      <c r="AF37" s="50">
        <f t="shared" si="6"/>
        <v>340.5</v>
      </c>
      <c r="AG37" s="51"/>
    </row>
    <row r="38" spans="1:46" s="37" customFormat="1" ht="18.3" customHeight="1" x14ac:dyDescent="0.55000000000000004">
      <c r="A38" s="28"/>
      <c r="B38" s="28"/>
      <c r="C38" s="28"/>
      <c r="D38" s="28"/>
      <c r="E38" s="30"/>
      <c r="F38" s="28"/>
      <c r="G38" s="28"/>
      <c r="H38" s="28"/>
      <c r="I38" s="30"/>
      <c r="J38" s="30"/>
      <c r="K38" s="30"/>
      <c r="L38" s="30"/>
      <c r="M38" s="30"/>
      <c r="N38" s="30"/>
      <c r="O38" s="30"/>
      <c r="P38" s="63">
        <v>2.5</v>
      </c>
      <c r="Q38" s="63">
        <v>208</v>
      </c>
      <c r="R38" s="64">
        <f t="shared" si="0"/>
        <v>271.24858411256906</v>
      </c>
      <c r="S38" s="64">
        <f t="shared" si="1"/>
        <v>157.38013505195957</v>
      </c>
      <c r="T38" s="65">
        <f t="shared" si="2"/>
        <v>270</v>
      </c>
      <c r="U38" s="85" t="str">
        <f t="shared" si="3"/>
        <v>Предбифуркация</v>
      </c>
      <c r="V38" s="2"/>
      <c r="W38" s="46" t="b">
        <f t="shared" ref="W38:W65" ca="1" si="12">RANDBETWEEN(T38,T39)&gt;0.5</f>
        <v>1</v>
      </c>
      <c r="X38" s="48">
        <f t="shared" ref="X38:X67" si="13">IF(T38&lt;360,360/INT(T38),T38)</f>
        <v>1.3333333333333333</v>
      </c>
      <c r="Y38" s="48">
        <f t="shared" si="8"/>
        <v>1.3284132841328413</v>
      </c>
      <c r="Z38" s="48">
        <f t="shared" si="9"/>
        <v>2.2929936305732483</v>
      </c>
      <c r="AA38" s="45">
        <f t="shared" si="4"/>
        <v>205.71428571428569</v>
      </c>
      <c r="AB38" s="45">
        <f t="shared" si="5"/>
        <v>1.5011696613611438</v>
      </c>
      <c r="AC38" s="50">
        <f t="shared" si="10"/>
        <v>12966.023691468619</v>
      </c>
      <c r="AD38" s="50">
        <f t="shared" ref="AD38:AD66" si="14">ABS((T38-T39)/T38)*100</f>
        <v>0</v>
      </c>
      <c r="AE38" s="50">
        <f t="shared" si="11"/>
        <v>0.21363636363636399</v>
      </c>
      <c r="AF38" s="50">
        <f t="shared" si="6"/>
        <v>270</v>
      </c>
      <c r="AG38" s="51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</row>
    <row r="39" spans="1:46" s="31" customFormat="1" ht="18.3" customHeight="1" x14ac:dyDescent="0.55000000000000004">
      <c r="A39" s="28"/>
      <c r="B39" s="28"/>
      <c r="C39" s="28"/>
      <c r="D39" s="28"/>
      <c r="E39" s="30"/>
      <c r="F39" s="28"/>
      <c r="G39" s="28"/>
      <c r="H39" s="28"/>
      <c r="I39" s="30"/>
      <c r="J39" s="30"/>
      <c r="K39" s="30"/>
      <c r="L39" s="30"/>
      <c r="M39" s="30"/>
      <c r="N39" s="30"/>
      <c r="O39" s="30"/>
      <c r="P39" s="63">
        <v>2.5</v>
      </c>
      <c r="Q39" s="63">
        <v>165</v>
      </c>
      <c r="R39" s="64">
        <f t="shared" si="0"/>
        <v>271.24858411256906</v>
      </c>
      <c r="S39" s="64">
        <f t="shared" si="1"/>
        <v>157.38013505195957</v>
      </c>
      <c r="T39" s="65">
        <f t="shared" si="2"/>
        <v>270</v>
      </c>
      <c r="U39" s="85" t="str">
        <f t="shared" si="3"/>
        <v>Предбифуркация</v>
      </c>
      <c r="V39" s="2"/>
      <c r="W39" s="46" t="b">
        <f t="shared" ca="1" si="12"/>
        <v>1</v>
      </c>
      <c r="X39" s="48">
        <f t="shared" si="13"/>
        <v>1.3333333333333333</v>
      </c>
      <c r="Y39" s="48">
        <f t="shared" si="8"/>
        <v>1.3284132841328413</v>
      </c>
      <c r="Z39" s="48">
        <f t="shared" si="9"/>
        <v>2.2929936305732483</v>
      </c>
      <c r="AA39" s="45">
        <f t="shared" si="4"/>
        <v>205.71428571428569</v>
      </c>
      <c r="AB39" s="45">
        <f t="shared" si="5"/>
        <v>1.5011696613611438</v>
      </c>
      <c r="AC39" s="50">
        <f t="shared" si="10"/>
        <v>12919.28241244801</v>
      </c>
      <c r="AD39" s="50"/>
      <c r="AE39" s="50">
        <f t="shared" si="11"/>
        <v>0.21363636363636399</v>
      </c>
      <c r="AF39" s="50">
        <f t="shared" si="6"/>
        <v>270</v>
      </c>
      <c r="AG39" s="51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</row>
    <row r="40" spans="1:46" s="31" customFormat="1" ht="18.3" customHeight="1" x14ac:dyDescent="0.55000000000000004">
      <c r="A40" s="28"/>
      <c r="B40" s="28"/>
      <c r="C40" s="28"/>
      <c r="D40" s="28"/>
      <c r="E40" s="30"/>
      <c r="F40" s="28"/>
      <c r="G40" s="28"/>
      <c r="H40" s="28"/>
      <c r="I40" s="30"/>
      <c r="J40" s="30"/>
      <c r="K40" s="30"/>
      <c r="L40" s="30"/>
      <c r="M40" s="30"/>
      <c r="N40" s="30"/>
      <c r="O40" s="30"/>
      <c r="P40" s="63">
        <v>2.6</v>
      </c>
      <c r="Q40" s="63">
        <v>73</v>
      </c>
      <c r="R40" s="64">
        <f t="shared" si="0"/>
        <v>271.68616749172213</v>
      </c>
      <c r="S40" s="64">
        <f t="shared" si="1"/>
        <v>158.22894589068255</v>
      </c>
      <c r="T40" s="65">
        <f t="shared" si="2"/>
        <v>277.05</v>
      </c>
      <c r="U40" s="85" t="str">
        <f t="shared" si="3"/>
        <v>Предбифуркация</v>
      </c>
      <c r="V40" s="2"/>
      <c r="W40" s="46" t="b">
        <f t="shared" ca="1" si="12"/>
        <v>1</v>
      </c>
      <c r="X40" s="48">
        <f t="shared" si="13"/>
        <v>1.2996389891696751</v>
      </c>
      <c r="Y40" s="48">
        <f t="shared" si="8"/>
        <v>1.3284132841328413</v>
      </c>
      <c r="Z40" s="48">
        <f t="shared" si="9"/>
        <v>2.278481012658228</v>
      </c>
      <c r="AA40" s="45">
        <f t="shared" si="4"/>
        <v>211.08571428571429</v>
      </c>
      <c r="AB40" s="45">
        <f t="shared" si="5"/>
        <v>1.5403668691855739</v>
      </c>
      <c r="AC40" s="50">
        <f t="shared" si="10"/>
        <v>12872.541133427401</v>
      </c>
      <c r="AD40" s="50">
        <f t="shared" si="14"/>
        <v>0</v>
      </c>
      <c r="AE40" s="50">
        <f t="shared" si="11"/>
        <v>0.29909090909090924</v>
      </c>
      <c r="AF40" s="50">
        <f t="shared" si="6"/>
        <v>277.05</v>
      </c>
      <c r="AG40" s="51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</row>
    <row r="41" spans="1:46" ht="15.3" x14ac:dyDescent="0.55000000000000004">
      <c r="A41" s="21"/>
      <c r="B41" s="21"/>
      <c r="C41" s="21"/>
      <c r="D41" s="21"/>
      <c r="E41" s="1"/>
      <c r="F41" s="21"/>
      <c r="G41" s="21"/>
      <c r="H41" s="21"/>
      <c r="I41" s="1"/>
      <c r="J41" s="1"/>
      <c r="K41" s="1"/>
      <c r="L41" s="1"/>
      <c r="M41" s="1"/>
      <c r="N41" s="1"/>
      <c r="O41" s="1"/>
      <c r="P41" s="64">
        <v>2.6</v>
      </c>
      <c r="Q41" s="64">
        <v>113</v>
      </c>
      <c r="R41" s="64">
        <f t="shared" si="0"/>
        <v>271.68616749172213</v>
      </c>
      <c r="S41" s="64">
        <f t="shared" si="1"/>
        <v>158.22894589068255</v>
      </c>
      <c r="T41" s="65">
        <f t="shared" si="2"/>
        <v>277.05</v>
      </c>
      <c r="U41" s="85" t="str">
        <f t="shared" si="3"/>
        <v>Предбифуркация</v>
      </c>
      <c r="V41" s="2" t="str">
        <f t="shared" si="7"/>
        <v/>
      </c>
      <c r="W41" s="46" t="b">
        <f t="shared" ca="1" si="12"/>
        <v>1</v>
      </c>
      <c r="X41" s="48">
        <f t="shared" si="13"/>
        <v>1.2996389891696751</v>
      </c>
      <c r="Y41" s="48">
        <f t="shared" si="8"/>
        <v>1.3284132841328413</v>
      </c>
      <c r="Z41" s="48">
        <f t="shared" si="9"/>
        <v>2.278481012658228</v>
      </c>
      <c r="AA41" s="45">
        <f t="shared" si="4"/>
        <v>211.08571428571429</v>
      </c>
      <c r="AB41" s="45">
        <f t="shared" si="5"/>
        <v>1.5403668691855739</v>
      </c>
      <c r="AC41" s="50">
        <f t="shared" si="10"/>
        <v>12812.77012423019</v>
      </c>
      <c r="AD41" s="50">
        <f t="shared" si="14"/>
        <v>3.5625338386572833</v>
      </c>
      <c r="AE41" s="50">
        <f t="shared" si="11"/>
        <v>0.42727272727272625</v>
      </c>
      <c r="AF41" s="50">
        <f t="shared" si="6"/>
        <v>277.05</v>
      </c>
      <c r="AG41" s="5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5.3" x14ac:dyDescent="0.55000000000000004">
      <c r="A42" s="21"/>
      <c r="B42" s="21"/>
      <c r="C42" s="21"/>
      <c r="D42" s="21"/>
      <c r="E42" s="1"/>
      <c r="F42" s="21"/>
      <c r="G42" s="21"/>
      <c r="H42" s="21"/>
      <c r="I42" s="1"/>
      <c r="J42" s="1"/>
      <c r="K42" s="1"/>
      <c r="L42" s="1"/>
      <c r="M42" s="1"/>
      <c r="N42" s="1"/>
      <c r="O42" s="1"/>
      <c r="P42" s="66">
        <v>2.74</v>
      </c>
      <c r="Q42" s="64">
        <v>270</v>
      </c>
      <c r="R42" s="64">
        <f t="shared" si="0"/>
        <v>272.24588684111552</v>
      </c>
      <c r="S42" s="64">
        <f t="shared" ref="S42:S68" si="15">ATAN2((0.5/2)*SIN(45*PI()/180), (P42/2)*COS(45*PI()/180)) * 360/PI()</f>
        <v>159.31670941104221</v>
      </c>
      <c r="T42" s="65">
        <f t="shared" si="2"/>
        <v>286.92</v>
      </c>
      <c r="U42" s="85" t="str">
        <f t="shared" si="3"/>
        <v>Предбифуркация</v>
      </c>
      <c r="V42" s="2" t="str">
        <f t="shared" si="7"/>
        <v/>
      </c>
      <c r="W42" s="46" t="b">
        <f t="shared" ca="1" si="12"/>
        <v>1</v>
      </c>
      <c r="X42" s="48">
        <f t="shared" si="13"/>
        <v>1.2587412587412588</v>
      </c>
      <c r="Y42" s="48">
        <f t="shared" si="8"/>
        <v>1.3235294117647058</v>
      </c>
      <c r="Z42" s="48">
        <f t="shared" si="9"/>
        <v>2.2641509433962264</v>
      </c>
      <c r="AA42" s="45">
        <f t="shared" si="4"/>
        <v>218.60571428571427</v>
      </c>
      <c r="AB42" s="45">
        <f t="shared" si="5"/>
        <v>1.5952429601397755</v>
      </c>
      <c r="AC42" s="50">
        <f t="shared" si="10"/>
        <v>12729.19644558357</v>
      </c>
      <c r="AD42" s="50">
        <f t="shared" si="14"/>
        <v>1.474278544542019</v>
      </c>
      <c r="AE42" s="50">
        <f t="shared" si="11"/>
        <v>0.55545454545454498</v>
      </c>
      <c r="AF42" s="50">
        <f t="shared" si="6"/>
        <v>286.92</v>
      </c>
      <c r="AG42" s="5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5.3" x14ac:dyDescent="0.55000000000000004">
      <c r="A43" s="21"/>
      <c r="B43" s="21"/>
      <c r="C43" s="21"/>
      <c r="D43" s="21"/>
      <c r="E43" s="1"/>
      <c r="F43" s="21"/>
      <c r="G43" s="21"/>
      <c r="H43" s="21"/>
      <c r="I43" s="1"/>
      <c r="J43" s="1"/>
      <c r="K43" s="1"/>
      <c r="L43" s="1"/>
      <c r="M43" s="1"/>
      <c r="N43" s="1"/>
      <c r="O43" s="1"/>
      <c r="P43" s="66">
        <v>2.8</v>
      </c>
      <c r="Q43" s="64">
        <v>131</v>
      </c>
      <c r="R43" s="64">
        <f t="shared" ref="R43:R57" si="16">(ATAN2(-(P43/2)*SIN(1), (0.5/2)*COS(1)))*90</f>
        <v>272.46886185648941</v>
      </c>
      <c r="S43" s="64">
        <f t="shared" si="15"/>
        <v>159.75065668920439</v>
      </c>
      <c r="T43" s="65">
        <f t="shared" si="2"/>
        <v>291.14999999999998</v>
      </c>
      <c r="U43" s="85" t="str">
        <f t="shared" si="3"/>
        <v>Предбифуркация</v>
      </c>
      <c r="V43" s="2" t="str">
        <f t="shared" si="7"/>
        <v/>
      </c>
      <c r="W43" s="46" t="b">
        <f t="shared" ca="1" si="12"/>
        <v>1</v>
      </c>
      <c r="X43" s="48">
        <f t="shared" si="13"/>
        <v>1.2371134020618557</v>
      </c>
      <c r="Y43" s="48">
        <f t="shared" si="8"/>
        <v>1.3235294117647058</v>
      </c>
      <c r="Z43" s="48">
        <f t="shared" si="9"/>
        <v>2.2641509433962264</v>
      </c>
      <c r="AA43" s="45">
        <f t="shared" si="4"/>
        <v>221.82857142857142</v>
      </c>
      <c r="AB43" s="45">
        <f t="shared" si="5"/>
        <v>1.6187612848344335</v>
      </c>
      <c r="AC43" s="50">
        <f t="shared" si="10"/>
        <v>12632.887948381489</v>
      </c>
      <c r="AD43" s="91"/>
      <c r="AE43" s="50">
        <f t="shared" si="11"/>
        <v>0.42727272727272797</v>
      </c>
      <c r="AF43" s="50">
        <f t="shared" si="6"/>
        <v>291.14999999999998</v>
      </c>
      <c r="AG43" s="5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s="36" customFormat="1" ht="15.3" x14ac:dyDescent="0.55000000000000004">
      <c r="A44" s="21"/>
      <c r="B44" s="21"/>
      <c r="C44" s="21"/>
      <c r="D44" s="21"/>
      <c r="E44" s="1"/>
      <c r="F44" s="21"/>
      <c r="G44" s="21"/>
      <c r="H44" s="21"/>
      <c r="I44" s="1"/>
      <c r="J44" s="1"/>
      <c r="K44" s="1"/>
      <c r="L44" s="1"/>
      <c r="M44" s="1"/>
      <c r="N44" s="1"/>
      <c r="O44" s="1"/>
      <c r="P44" s="70">
        <v>3</v>
      </c>
      <c r="Q44" s="60">
        <v>60</v>
      </c>
      <c r="R44" s="60">
        <f t="shared" si="16"/>
        <v>273.14846618871792</v>
      </c>
      <c r="S44" s="60">
        <f t="shared" si="15"/>
        <v>161.07535558394878</v>
      </c>
      <c r="T44" s="61">
        <f t="shared" si="2"/>
        <v>305.25</v>
      </c>
      <c r="U44" s="84" t="str">
        <f t="shared" si="3"/>
        <v>Предбифуркация</v>
      </c>
      <c r="V44" s="2"/>
      <c r="W44" s="46" t="b">
        <f t="shared" ca="1" si="12"/>
        <v>1</v>
      </c>
      <c r="X44" s="48">
        <f t="shared" si="13"/>
        <v>1.180327868852459</v>
      </c>
      <c r="Y44" s="48">
        <f t="shared" si="8"/>
        <v>1.3186813186813187</v>
      </c>
      <c r="Z44" s="48">
        <f t="shared" si="9"/>
        <v>2.2360248447204967</v>
      </c>
      <c r="AA44" s="45">
        <f t="shared" si="4"/>
        <v>232.57142857142856</v>
      </c>
      <c r="AB44" s="45">
        <f t="shared" si="5"/>
        <v>1.6971557004832931</v>
      </c>
      <c r="AC44" s="50">
        <f t="shared" si="10"/>
        <v>12560.382120628818</v>
      </c>
      <c r="AD44" s="50">
        <f t="shared" si="14"/>
        <v>0</v>
      </c>
      <c r="AE44" s="50">
        <f t="shared" si="11"/>
        <v>0.42727272727272797</v>
      </c>
      <c r="AF44" s="50">
        <f t="shared" si="6"/>
        <v>305.25</v>
      </c>
      <c r="AG44" s="5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5.3" x14ac:dyDescent="0.55000000000000004">
      <c r="A45" s="21"/>
      <c r="B45" s="21"/>
      <c r="C45" s="21"/>
      <c r="D45" s="21"/>
      <c r="E45" s="1"/>
      <c r="F45" s="21"/>
      <c r="G45" s="21"/>
      <c r="H45" s="21"/>
      <c r="I45" s="1"/>
      <c r="J45" s="1"/>
      <c r="K45" s="1"/>
      <c r="L45" s="1"/>
      <c r="M45" s="1"/>
      <c r="N45" s="1"/>
      <c r="O45" s="1"/>
      <c r="P45" s="70">
        <v>3</v>
      </c>
      <c r="Q45" s="60">
        <v>200</v>
      </c>
      <c r="R45" s="60">
        <f t="shared" si="16"/>
        <v>273.14846618871792</v>
      </c>
      <c r="S45" s="60">
        <f t="shared" si="15"/>
        <v>161.07535558394878</v>
      </c>
      <c r="T45" s="61">
        <f t="shared" si="2"/>
        <v>305.25</v>
      </c>
      <c r="U45" s="84" t="str">
        <f t="shared" si="3"/>
        <v>Предбифуркация</v>
      </c>
      <c r="V45" s="2"/>
      <c r="W45" s="46" t="b">
        <f t="shared" ca="1" si="12"/>
        <v>1</v>
      </c>
      <c r="X45" s="48">
        <f t="shared" si="13"/>
        <v>1.180327868852459</v>
      </c>
      <c r="Y45" s="48">
        <f t="shared" si="8"/>
        <v>1.3186813186813187</v>
      </c>
      <c r="Z45" s="48">
        <f t="shared" si="9"/>
        <v>2.2360248447204967</v>
      </c>
      <c r="AA45" s="45">
        <f t="shared" si="4"/>
        <v>232.57142857142856</v>
      </c>
      <c r="AB45" s="45">
        <f t="shared" si="5"/>
        <v>1.6971557004832931</v>
      </c>
      <c r="AC45" s="50">
        <f t="shared" si="10"/>
        <v>12496.911851767261</v>
      </c>
      <c r="AD45" s="58">
        <f>ABS((T45-T46)/T45)*100</f>
        <v>4.6191646191646267</v>
      </c>
      <c r="AE45" s="50">
        <f t="shared" si="11"/>
        <v>-0.21363636363636399</v>
      </c>
      <c r="AF45" s="50">
        <f t="shared" si="6"/>
        <v>305.25</v>
      </c>
      <c r="AG45" s="5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s="32" customFormat="1" ht="15.3" x14ac:dyDescent="0.55000000000000004">
      <c r="A46" s="41"/>
      <c r="B46" s="41"/>
      <c r="C46" s="41"/>
      <c r="D46" s="41"/>
      <c r="E46" s="42"/>
      <c r="F46" s="41"/>
      <c r="G46" s="41"/>
      <c r="H46" s="41"/>
      <c r="I46" s="42"/>
      <c r="J46" s="42"/>
      <c r="K46" s="42"/>
      <c r="L46" s="42"/>
      <c r="M46" s="42"/>
      <c r="N46" s="42"/>
      <c r="O46" s="42"/>
      <c r="P46" s="66">
        <v>3.2</v>
      </c>
      <c r="Q46" s="64">
        <v>239</v>
      </c>
      <c r="R46" s="64">
        <f t="shared" si="16"/>
        <v>273.74402499203092</v>
      </c>
      <c r="S46" s="64">
        <f t="shared" si="15"/>
        <v>162.23868169895951</v>
      </c>
      <c r="T46" s="65">
        <f t="shared" si="2"/>
        <v>319.35000000000002</v>
      </c>
      <c r="U46" s="85" t="str">
        <f t="shared" si="3"/>
        <v>Предбифуркация</v>
      </c>
      <c r="V46" s="2" t="str">
        <f t="shared" si="7"/>
        <v/>
      </c>
      <c r="W46" s="49"/>
      <c r="X46" s="48">
        <f t="shared" si="13"/>
        <v>1.128526645768025</v>
      </c>
      <c r="Y46" s="48">
        <f t="shared" si="8"/>
        <v>1.3186813186813187</v>
      </c>
      <c r="Z46" s="48">
        <f t="shared" si="9"/>
        <v>2.2222222222222223</v>
      </c>
      <c r="AA46" s="45">
        <f t="shared" si="4"/>
        <v>243.31428571428572</v>
      </c>
      <c r="AB46" s="45">
        <f t="shared" si="5"/>
        <v>1.775550116132153</v>
      </c>
      <c r="AC46" s="50">
        <f t="shared" si="10"/>
        <v>12531.920908320721</v>
      </c>
      <c r="AD46" s="58">
        <f t="shared" si="14"/>
        <v>6.6228276186002928</v>
      </c>
      <c r="AE46" s="50">
        <f t="shared" si="11"/>
        <v>0.21363636363636226</v>
      </c>
      <c r="AF46" s="50">
        <f t="shared" si="6"/>
        <v>319.35000000000002</v>
      </c>
      <c r="AG46" s="51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</row>
    <row r="47" spans="1:46" ht="15.3" x14ac:dyDescent="0.55000000000000004">
      <c r="A47" s="21"/>
      <c r="B47" s="21"/>
      <c r="C47" s="21"/>
      <c r="D47" s="21"/>
      <c r="E47" s="1"/>
      <c r="F47" s="21"/>
      <c r="G47" s="21"/>
      <c r="H47" s="21"/>
      <c r="I47" s="1"/>
      <c r="J47" s="1"/>
      <c r="K47" s="1"/>
      <c r="L47" s="1"/>
      <c r="M47" s="1"/>
      <c r="N47" s="1"/>
      <c r="O47" s="1"/>
      <c r="P47" s="66">
        <v>2.9</v>
      </c>
      <c r="Q47" s="64">
        <v>311</v>
      </c>
      <c r="R47" s="64">
        <f t="shared" si="16"/>
        <v>272.82023936314562</v>
      </c>
      <c r="S47" s="64">
        <f t="shared" si="15"/>
        <v>160.43518593638544</v>
      </c>
      <c r="T47" s="65">
        <f t="shared" si="2"/>
        <v>298.2</v>
      </c>
      <c r="U47" s="85" t="str">
        <f t="shared" si="3"/>
        <v>Предбифуркация</v>
      </c>
      <c r="V47" s="2" t="str">
        <f t="shared" si="7"/>
        <v/>
      </c>
      <c r="W47" s="46" t="b">
        <f t="shared" ca="1" si="12"/>
        <v>1</v>
      </c>
      <c r="X47" s="48">
        <f t="shared" si="13"/>
        <v>1.2080536912751678</v>
      </c>
      <c r="Y47" s="48">
        <f t="shared" si="8"/>
        <v>1.3235294117647058</v>
      </c>
      <c r="Z47" s="48">
        <f t="shared" si="9"/>
        <v>2.25</v>
      </c>
      <c r="AA47" s="45">
        <f t="shared" si="4"/>
        <v>227.19999999999996</v>
      </c>
      <c r="AB47" s="45">
        <f t="shared" si="5"/>
        <v>1.6579584926588631</v>
      </c>
      <c r="AC47" s="50">
        <f t="shared" si="10"/>
        <v>12503.069160712053</v>
      </c>
      <c r="AD47" s="58">
        <f t="shared" si="14"/>
        <v>9.4567404426559332</v>
      </c>
      <c r="AE47" s="50">
        <f t="shared" si="11"/>
        <v>1.0681818181818181</v>
      </c>
      <c r="AF47" s="50">
        <f t="shared" si="6"/>
        <v>298.2</v>
      </c>
      <c r="AG47" s="5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s="31" customFormat="1" ht="15.3" x14ac:dyDescent="0.55000000000000004">
      <c r="A48" s="28"/>
      <c r="B48" s="28"/>
      <c r="C48" s="28"/>
      <c r="D48" s="28"/>
      <c r="E48" s="30"/>
      <c r="F48" s="28"/>
      <c r="G48" s="28"/>
      <c r="H48" s="28"/>
      <c r="I48" s="30"/>
      <c r="J48" s="30"/>
      <c r="K48" s="30"/>
      <c r="L48" s="30"/>
      <c r="M48" s="30"/>
      <c r="N48" s="30"/>
      <c r="O48" s="30"/>
      <c r="P48" s="67">
        <v>3.3</v>
      </c>
      <c r="Q48" s="68">
        <v>301</v>
      </c>
      <c r="R48" s="68">
        <f t="shared" si="16"/>
        <v>274.0149983460953</v>
      </c>
      <c r="S48" s="68">
        <f t="shared" si="15"/>
        <v>162.7687036316718</v>
      </c>
      <c r="T48" s="69">
        <f t="shared" si="2"/>
        <v>326.39999999999998</v>
      </c>
      <c r="U48" s="86" t="str">
        <f t="shared" si="3"/>
        <v>Предбифуркация</v>
      </c>
      <c r="V48" s="2" t="str">
        <f t="shared" si="7"/>
        <v/>
      </c>
      <c r="W48" s="46" t="b">
        <f t="shared" ca="1" si="12"/>
        <v>1</v>
      </c>
      <c r="X48" s="48">
        <f>IF(T48&lt;360,360/INT(T48),T48)</f>
        <v>1.1042944785276074</v>
      </c>
      <c r="Y48" s="48">
        <f t="shared" si="8"/>
        <v>1.3138686131386861</v>
      </c>
      <c r="Z48" s="48">
        <f t="shared" si="9"/>
        <v>2.2222222222222223</v>
      </c>
      <c r="AA48" s="45">
        <f t="shared" si="4"/>
        <v>248.68571428571425</v>
      </c>
      <c r="AB48" s="45">
        <f t="shared" si="5"/>
        <v>1.8147473239565826</v>
      </c>
      <c r="AC48" s="50">
        <f t="shared" si="10"/>
        <v>12348.58544248822</v>
      </c>
      <c r="AD48" s="58">
        <f t="shared" si="14"/>
        <v>2.1599264705882391</v>
      </c>
      <c r="AE48" s="50">
        <f t="shared" si="11"/>
        <v>0.42727272727272797</v>
      </c>
      <c r="AF48" s="50">
        <f t="shared" si="6"/>
        <v>326.39999999999998</v>
      </c>
      <c r="AG48" s="51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</row>
    <row r="49" spans="1:46" ht="15.3" x14ac:dyDescent="0.55000000000000004">
      <c r="A49" s="1"/>
      <c r="B49" s="1"/>
      <c r="C49" s="1"/>
      <c r="D49" s="1"/>
      <c r="E49" s="1"/>
      <c r="F49" s="21"/>
      <c r="G49" s="21"/>
      <c r="H49" s="21"/>
      <c r="I49" s="1"/>
      <c r="J49" s="1"/>
      <c r="K49" s="1"/>
      <c r="L49" s="1"/>
      <c r="M49" s="1"/>
      <c r="N49" s="1"/>
      <c r="O49" s="1"/>
      <c r="P49" s="66">
        <v>3.4</v>
      </c>
      <c r="Q49" s="64">
        <v>149</v>
      </c>
      <c r="R49" s="64">
        <f t="shared" si="16"/>
        <v>274.27017727214854</v>
      </c>
      <c r="S49" s="64">
        <f t="shared" si="15"/>
        <v>163.26822775193483</v>
      </c>
      <c r="T49" s="65">
        <f t="shared" si="2"/>
        <v>333.45</v>
      </c>
      <c r="U49" s="85" t="str">
        <f t="shared" si="3"/>
        <v>Предбифуркация</v>
      </c>
      <c r="V49" s="2" t="str">
        <f t="shared" si="7"/>
        <v/>
      </c>
      <c r="W49" s="46" t="b">
        <f t="shared" ca="1" si="12"/>
        <v>1</v>
      </c>
      <c r="X49" s="48">
        <f t="shared" si="13"/>
        <v>1.0810810810810811</v>
      </c>
      <c r="Y49" s="48">
        <f t="shared" si="8"/>
        <v>1.3138686131386861</v>
      </c>
      <c r="Z49" s="48">
        <f t="shared" si="9"/>
        <v>2.2085889570552149</v>
      </c>
      <c r="AA49" s="45">
        <f t="shared" si="4"/>
        <v>254.05714285714282</v>
      </c>
      <c r="AB49" s="45">
        <f t="shared" si="5"/>
        <v>1.8539445317810124</v>
      </c>
      <c r="AC49" s="50">
        <f t="shared" si="10"/>
        <v>12295.835198896097</v>
      </c>
      <c r="AD49" s="58">
        <f t="shared" si="14"/>
        <v>2.1142600089968546</v>
      </c>
      <c r="AE49" s="50">
        <f t="shared" si="11"/>
        <v>-1.337878787878789</v>
      </c>
      <c r="AF49" s="50">
        <f t="shared" si="6"/>
        <v>333.45</v>
      </c>
      <c r="AG49" s="5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s="36" customFormat="1" ht="15.3" x14ac:dyDescent="0.55000000000000004">
      <c r="A50" s="1"/>
      <c r="B50" s="1"/>
      <c r="C50" s="1"/>
      <c r="D50" s="1"/>
      <c r="E50" s="1"/>
      <c r="F50" s="21"/>
      <c r="G50" s="21"/>
      <c r="H50" s="21"/>
      <c r="I50" s="1"/>
      <c r="J50" s="1"/>
      <c r="K50" s="1"/>
      <c r="L50" s="1"/>
      <c r="M50" s="1"/>
      <c r="N50" s="1"/>
      <c r="O50" s="1"/>
      <c r="P50" s="71">
        <v>3.5</v>
      </c>
      <c r="Q50" s="72">
        <v>340.5</v>
      </c>
      <c r="R50" s="72">
        <f t="shared" si="16"/>
        <v>274.51089982939737</v>
      </c>
      <c r="S50" s="72">
        <f t="shared" si="15"/>
        <v>163.73979529168807</v>
      </c>
      <c r="T50" s="73">
        <f t="shared" si="2"/>
        <v>340.5</v>
      </c>
      <c r="U50" s="87" t="str">
        <f t="shared" si="3"/>
        <v>Бифуркация</v>
      </c>
      <c r="V50" s="2" t="str">
        <f t="shared" si="7"/>
        <v/>
      </c>
      <c r="W50" s="49"/>
      <c r="X50" s="48">
        <f t="shared" si="13"/>
        <v>1.0588235294117647</v>
      </c>
      <c r="Y50" s="48">
        <f t="shared" si="8"/>
        <v>1.3138686131386861</v>
      </c>
      <c r="Z50" s="48">
        <f t="shared" si="9"/>
        <v>2.2085889570552149</v>
      </c>
      <c r="AA50" s="45">
        <f t="shared" si="4"/>
        <v>259.42857142857139</v>
      </c>
      <c r="AB50" s="45">
        <f t="shared" si="5"/>
        <v>1.8931417396054422</v>
      </c>
      <c r="AC50" s="50">
        <f t="shared" si="10"/>
        <v>12223.207543197461</v>
      </c>
      <c r="AD50" s="50"/>
      <c r="AE50" s="50">
        <f t="shared" si="11"/>
        <v>-3.8787878787878789</v>
      </c>
      <c r="AF50" s="50">
        <f t="shared" si="6"/>
        <v>340.5</v>
      </c>
      <c r="AG50" s="5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s="31" customFormat="1" ht="15.3" x14ac:dyDescent="0.55000000000000004">
      <c r="A51" s="30"/>
      <c r="B51" s="30"/>
      <c r="C51" s="30"/>
      <c r="D51" s="30"/>
      <c r="E51" s="30"/>
      <c r="F51" s="28"/>
      <c r="G51" s="28"/>
      <c r="H51" s="28"/>
      <c r="I51" s="30"/>
      <c r="J51" s="30"/>
      <c r="K51" s="30"/>
      <c r="L51" s="30"/>
      <c r="M51" s="30"/>
      <c r="N51" s="30"/>
      <c r="O51" s="30"/>
      <c r="P51" s="74">
        <v>3.7</v>
      </c>
      <c r="Q51" s="75">
        <v>258</v>
      </c>
      <c r="R51" s="75">
        <f t="shared" si="16"/>
        <v>274.95361457842029</v>
      </c>
      <c r="S51" s="75">
        <f t="shared" si="15"/>
        <v>164.60789655596687</v>
      </c>
      <c r="T51" s="76">
        <f t="shared" si="2"/>
        <v>289.29999999999995</v>
      </c>
      <c r="U51" s="88" t="str">
        <f t="shared" si="3"/>
        <v>Бифуркация</v>
      </c>
      <c r="V51" s="47" t="str">
        <f t="shared" si="7"/>
        <v/>
      </c>
      <c r="W51" s="49"/>
      <c r="X51" s="48">
        <f t="shared" si="13"/>
        <v>1.2456747404844291</v>
      </c>
      <c r="Y51" s="48">
        <f t="shared" si="8"/>
        <v>1.3138686131386861</v>
      </c>
      <c r="Z51" s="48">
        <f t="shared" si="9"/>
        <v>2.1951219512195124</v>
      </c>
      <c r="AA51" s="45">
        <f t="shared" si="4"/>
        <v>220.41904761904757</v>
      </c>
      <c r="AB51" s="45">
        <f t="shared" si="5"/>
        <v>1.608475492710292</v>
      </c>
      <c r="AC51" s="50">
        <f t="shared" si="10"/>
        <v>12114.492713263959</v>
      </c>
      <c r="AD51" s="50"/>
      <c r="AE51" s="50">
        <f t="shared" si="11"/>
        <v>-2.3435060606060589</v>
      </c>
      <c r="AF51" s="50">
        <f t="shared" si="6"/>
        <v>289.29999999999995</v>
      </c>
      <c r="AG51" s="51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</row>
    <row r="52" spans="1:46" ht="15.3" x14ac:dyDescent="0.55000000000000004">
      <c r="A52" s="1"/>
      <c r="B52" s="1"/>
      <c r="C52" s="1"/>
      <c r="D52" s="1"/>
      <c r="E52" s="1"/>
      <c r="F52" s="21"/>
      <c r="G52" s="21"/>
      <c r="H52" s="21"/>
      <c r="I52" s="1"/>
      <c r="J52" s="1"/>
      <c r="K52" s="1"/>
      <c r="L52" s="1"/>
      <c r="M52" s="1"/>
      <c r="N52" s="1"/>
      <c r="O52" s="1"/>
      <c r="P52" s="71">
        <v>4</v>
      </c>
      <c r="Q52" s="72">
        <v>212.5</v>
      </c>
      <c r="R52" s="72">
        <f t="shared" si="16"/>
        <v>275.53524837683375</v>
      </c>
      <c r="S52" s="72">
        <f t="shared" si="15"/>
        <v>165.74996730219644</v>
      </c>
      <c r="T52" s="73">
        <f t="shared" si="2"/>
        <v>212.5</v>
      </c>
      <c r="U52" s="87" t="str">
        <f t="shared" si="3"/>
        <v>Бифуркация</v>
      </c>
      <c r="V52" s="2" t="str">
        <f t="shared" si="7"/>
        <v/>
      </c>
      <c r="W52" s="49"/>
      <c r="X52" s="48">
        <f t="shared" si="13"/>
        <v>1.6981132075471699</v>
      </c>
      <c r="Y52" s="48">
        <f t="shared" si="8"/>
        <v>1.3090909090909091</v>
      </c>
      <c r="Z52" s="48">
        <f t="shared" si="9"/>
        <v>2.1818181818181817</v>
      </c>
      <c r="AA52" s="45">
        <f t="shared" si="4"/>
        <v>161.9047619047619</v>
      </c>
      <c r="AB52" s="45">
        <f t="shared" si="5"/>
        <v>1.1814761223675669</v>
      </c>
      <c r="AC52" s="50">
        <f t="shared" si="10"/>
        <v>12043.421062308571</v>
      </c>
      <c r="AD52" s="50">
        <f t="shared" si="14"/>
        <v>0.25209411764705481</v>
      </c>
      <c r="AE52" s="50">
        <f t="shared" si="11"/>
        <v>-4.5454545454545456E-2</v>
      </c>
      <c r="AF52" s="50">
        <f t="shared" si="6"/>
        <v>212.5</v>
      </c>
      <c r="AG52" s="5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5.3" x14ac:dyDescent="0.55000000000000004">
      <c r="A53" s="21"/>
      <c r="B53" s="21"/>
      <c r="C53" s="21"/>
      <c r="D53" s="21"/>
      <c r="E53" s="22"/>
      <c r="F53" s="22"/>
      <c r="G53" s="21"/>
      <c r="H53" s="21"/>
      <c r="I53" s="1"/>
      <c r="J53" s="1"/>
      <c r="K53" s="1"/>
      <c r="L53" s="1"/>
      <c r="M53" s="1"/>
      <c r="N53" s="1"/>
      <c r="O53" s="1"/>
      <c r="P53" s="71">
        <v>4.05</v>
      </c>
      <c r="Q53" s="72">
        <v>210.1</v>
      </c>
      <c r="R53" s="72">
        <f t="shared" si="16"/>
        <v>275.62386407032761</v>
      </c>
      <c r="S53" s="72">
        <f t="shared" si="15"/>
        <v>165.9241184736307</v>
      </c>
      <c r="T53" s="73">
        <f t="shared" si="2"/>
        <v>211.96430000000001</v>
      </c>
      <c r="U53" s="87" t="str">
        <f t="shared" si="3"/>
        <v>Бифуркация</v>
      </c>
      <c r="V53" s="2" t="str">
        <f t="shared" si="7"/>
        <v/>
      </c>
      <c r="W53" s="49"/>
      <c r="X53" s="48">
        <f t="shared" si="13"/>
        <v>1.7061611374407584</v>
      </c>
      <c r="Y53" s="48">
        <f t="shared" si="8"/>
        <v>1.3090909090909091</v>
      </c>
      <c r="Z53" s="48">
        <f t="shared" si="9"/>
        <v>2.1818181818181817</v>
      </c>
      <c r="AA53" s="45">
        <f t="shared" si="4"/>
        <v>161.49660952380952</v>
      </c>
      <c r="AB53" s="45">
        <f t="shared" si="5"/>
        <v>1.1784976905616737</v>
      </c>
      <c r="AC53" s="50">
        <f t="shared" si="10"/>
        <v>12017.713194855896</v>
      </c>
      <c r="AD53" s="50">
        <f t="shared" si="14"/>
        <v>0.45493509992013215</v>
      </c>
      <c r="AE53" s="50">
        <f t="shared" si="11"/>
        <v>-2.922121212121238E-2</v>
      </c>
      <c r="AF53" s="50">
        <f t="shared" si="6"/>
        <v>211.96430000000001</v>
      </c>
      <c r="AG53" s="5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s="36" customFormat="1" ht="15.3" x14ac:dyDescent="0.55000000000000004">
      <c r="A54" s="21"/>
      <c r="B54" s="21"/>
      <c r="C54" s="21"/>
      <c r="D54" s="21"/>
      <c r="E54" s="22"/>
      <c r="F54" s="22"/>
      <c r="G54" s="21"/>
      <c r="H54" s="21"/>
      <c r="I54" s="1"/>
      <c r="J54" s="1"/>
      <c r="K54" s="1"/>
      <c r="L54" s="1"/>
      <c r="M54" s="1"/>
      <c r="N54" s="1"/>
      <c r="O54" s="1"/>
      <c r="P54" s="70">
        <v>4.1399999999999997</v>
      </c>
      <c r="Q54" s="60">
        <v>149</v>
      </c>
      <c r="R54" s="60">
        <f t="shared" si="16"/>
        <v>275.77801117457142</v>
      </c>
      <c r="S54" s="60">
        <f t="shared" si="15"/>
        <v>166.22714533713602</v>
      </c>
      <c r="T54" s="61">
        <f t="shared" si="2"/>
        <v>211</v>
      </c>
      <c r="U54" s="84" t="str">
        <f t="shared" si="3"/>
        <v>Бифуркация</v>
      </c>
      <c r="V54" s="2">
        <f t="shared" si="7"/>
        <v>31</v>
      </c>
      <c r="W54" s="49"/>
      <c r="X54" s="48">
        <f t="shared" si="13"/>
        <v>1.7061611374407584</v>
      </c>
      <c r="Y54" s="48">
        <f t="shared" si="8"/>
        <v>1.3090909090909091</v>
      </c>
      <c r="Z54" s="48">
        <f t="shared" si="9"/>
        <v>2.1686746987951806</v>
      </c>
      <c r="AA54" s="45">
        <f t="shared" si="4"/>
        <v>160.76190476190473</v>
      </c>
      <c r="AB54" s="45">
        <f t="shared" si="5"/>
        <v>1.1731362909155603</v>
      </c>
      <c r="AC54" s="50">
        <f t="shared" si="10"/>
        <v>12001.39220573177</v>
      </c>
      <c r="AD54" s="50">
        <f t="shared" si="14"/>
        <v>0</v>
      </c>
      <c r="AE54" s="50">
        <f t="shared" si="11"/>
        <v>-0.93939393939393945</v>
      </c>
      <c r="AF54" s="50">
        <f t="shared" si="6"/>
        <v>211</v>
      </c>
      <c r="AG54" s="5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5.3" x14ac:dyDescent="0.55000000000000004">
      <c r="A55" s="21"/>
      <c r="B55" s="21"/>
      <c r="C55" s="21"/>
      <c r="D55" s="21"/>
      <c r="E55" s="22"/>
      <c r="F55" s="22"/>
      <c r="G55" s="21"/>
      <c r="H55" s="21"/>
      <c r="I55" s="1"/>
      <c r="J55" s="1"/>
      <c r="K55" s="1"/>
      <c r="L55" s="1"/>
      <c r="M55" s="1"/>
      <c r="N55" s="1"/>
      <c r="O55" s="1"/>
      <c r="P55" s="70">
        <v>4.1399999999999997</v>
      </c>
      <c r="Q55" s="60">
        <v>211</v>
      </c>
      <c r="R55" s="60">
        <f t="shared" si="16"/>
        <v>275.77801117457142</v>
      </c>
      <c r="S55" s="60">
        <f t="shared" si="15"/>
        <v>166.22714533713602</v>
      </c>
      <c r="T55" s="61">
        <f t="shared" si="2"/>
        <v>211</v>
      </c>
      <c r="U55" s="84" t="str">
        <f t="shared" si="3"/>
        <v>Бифуркация</v>
      </c>
      <c r="V55" s="2">
        <f t="shared" si="7"/>
        <v>31</v>
      </c>
      <c r="W55" s="49"/>
      <c r="X55" s="48">
        <f t="shared" si="13"/>
        <v>1.7061611374407584</v>
      </c>
      <c r="Y55" s="48">
        <f t="shared" si="8"/>
        <v>1.3090909090909091</v>
      </c>
      <c r="Z55" s="48">
        <f t="shared" si="9"/>
        <v>2.1686746987951806</v>
      </c>
      <c r="AA55" s="45">
        <f t="shared" si="4"/>
        <v>160.76190476190473</v>
      </c>
      <c r="AB55" s="45">
        <f t="shared" si="5"/>
        <v>1.1731362909155603</v>
      </c>
      <c r="AC55" s="50">
        <f t="shared" si="10"/>
        <v>11956.455700237693</v>
      </c>
      <c r="AD55" s="50"/>
      <c r="AE55" s="50">
        <f t="shared" si="11"/>
        <v>-0.93939393939393945</v>
      </c>
      <c r="AF55" s="50">
        <f t="shared" si="6"/>
        <v>211</v>
      </c>
      <c r="AG55" s="5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s="33" customFormat="1" ht="15.3" x14ac:dyDescent="0.55000000000000004">
      <c r="A56" s="38"/>
      <c r="B56" s="38"/>
      <c r="C56" s="38"/>
      <c r="D56" s="38"/>
      <c r="E56" s="39"/>
      <c r="F56" s="39"/>
      <c r="G56" s="38"/>
      <c r="H56" s="38"/>
      <c r="I56" s="40"/>
      <c r="J56" s="40"/>
      <c r="K56" s="40"/>
      <c r="L56" s="40"/>
      <c r="M56" s="40"/>
      <c r="N56" s="40"/>
      <c r="O56" s="40"/>
      <c r="P56" s="77">
        <v>4.41</v>
      </c>
      <c r="Q56" s="78">
        <v>322</v>
      </c>
      <c r="R56" s="79">
        <f t="shared" si="16"/>
        <v>276.20291135472996</v>
      </c>
      <c r="S56" s="79">
        <f t="shared" si="15"/>
        <v>167.06300483679485</v>
      </c>
      <c r="T56" s="80">
        <f t="shared" si="2"/>
        <v>180</v>
      </c>
      <c r="U56" s="89" t="str">
        <f t="shared" si="3"/>
        <v>Стабилизация</v>
      </c>
      <c r="V56" s="47">
        <f t="shared" si="7"/>
        <v>28.588004434782846</v>
      </c>
      <c r="W56" s="46" t="b">
        <f t="shared" ca="1" si="12"/>
        <v>1</v>
      </c>
      <c r="X56" s="48">
        <f t="shared" si="13"/>
        <v>2</v>
      </c>
      <c r="Y56" s="48">
        <f t="shared" si="8"/>
        <v>1.3043478260869565</v>
      </c>
      <c r="Z56" s="48">
        <f t="shared" si="9"/>
        <v>2.1556886227544911</v>
      </c>
      <c r="AA56" s="45">
        <f t="shared" si="4"/>
        <v>137.14285714285714</v>
      </c>
      <c r="AB56" s="45">
        <f t="shared" si="5"/>
        <v>1.0007797742407625</v>
      </c>
      <c r="AC56" s="50">
        <f t="shared" si="10"/>
        <v>11863.6045025288</v>
      </c>
      <c r="AD56" s="50">
        <f t="shared" si="14"/>
        <v>0</v>
      </c>
      <c r="AE56" s="50">
        <f t="shared" si="11"/>
        <v>0</v>
      </c>
      <c r="AF56" s="50">
        <f t="shared" si="6"/>
        <v>180</v>
      </c>
      <c r="AG56" s="51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</row>
    <row r="57" spans="1:46" ht="15.3" x14ac:dyDescent="0.55000000000000004">
      <c r="A57" s="21"/>
      <c r="B57" s="21"/>
      <c r="C57" s="21"/>
      <c r="D57" s="21"/>
      <c r="E57" s="22"/>
      <c r="F57" s="22"/>
      <c r="G57" s="1"/>
      <c r="H57" s="1"/>
      <c r="I57" s="1"/>
      <c r="J57" s="1"/>
      <c r="K57" s="1"/>
      <c r="L57" s="1"/>
      <c r="M57" s="1"/>
      <c r="N57" s="1"/>
      <c r="O57" s="1"/>
      <c r="P57" s="81">
        <v>4.74</v>
      </c>
      <c r="Q57" s="79">
        <v>166</v>
      </c>
      <c r="R57" s="79">
        <f t="shared" si="16"/>
        <v>276.65681884939255</v>
      </c>
      <c r="S57" s="79">
        <f t="shared" si="15"/>
        <v>167.95681972191332</v>
      </c>
      <c r="T57" s="80">
        <f t="shared" si="2"/>
        <v>180</v>
      </c>
      <c r="U57" s="90" t="str">
        <f t="shared" si="3"/>
        <v>Стабилизация</v>
      </c>
      <c r="V57" s="2">
        <f t="shared" si="7"/>
        <v>25.89337655374943</v>
      </c>
      <c r="W57" s="46" t="b">
        <f t="shared" ca="1" si="12"/>
        <v>1</v>
      </c>
      <c r="X57" s="48">
        <f t="shared" si="13"/>
        <v>2</v>
      </c>
      <c r="Y57" s="48">
        <f t="shared" si="8"/>
        <v>1.3043478260869565</v>
      </c>
      <c r="Z57" s="48">
        <f t="shared" si="9"/>
        <v>2.1556886227544911</v>
      </c>
      <c r="AA57" s="45">
        <f t="shared" si="4"/>
        <v>137.14285714285714</v>
      </c>
      <c r="AB57" s="45">
        <f t="shared" si="5"/>
        <v>1.0007797742407625</v>
      </c>
      <c r="AC57" s="50">
        <f t="shared" si="10"/>
        <v>11765.931765298476</v>
      </c>
      <c r="AD57" s="50">
        <f t="shared" si="14"/>
        <v>0</v>
      </c>
      <c r="AE57" s="50">
        <f t="shared" si="11"/>
        <v>0</v>
      </c>
      <c r="AF57" s="50">
        <f t="shared" si="6"/>
        <v>180</v>
      </c>
      <c r="AG57" s="5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5.3" x14ac:dyDescent="0.55000000000000004">
      <c r="A58" s="21"/>
      <c r="B58" s="21"/>
      <c r="C58" s="21"/>
      <c r="D58" s="21"/>
      <c r="E58" s="22"/>
      <c r="F58" s="22"/>
      <c r="G58" s="1"/>
      <c r="H58" s="1"/>
      <c r="I58" s="1"/>
      <c r="J58" s="1"/>
      <c r="K58" s="1"/>
      <c r="L58" s="1"/>
      <c r="M58" s="1"/>
      <c r="N58" s="1"/>
      <c r="O58" s="1"/>
      <c r="P58" s="81">
        <v>5.14</v>
      </c>
      <c r="Q58" s="79">
        <v>170</v>
      </c>
      <c r="R58" s="79">
        <f t="shared" ref="R58:R68" si="17">(ATAN2(-(P58/2)*SIN(1), (0.5/2)*COS(1)))*90</f>
        <v>277.12919864643322</v>
      </c>
      <c r="S58" s="79">
        <f t="shared" si="15"/>
        <v>168.88792315374991</v>
      </c>
      <c r="T58" s="80">
        <f t="shared" ref="T58:T67" si="18">IF(2*P58&lt; 5,340.5,IF(AND(2*P58&gt;= 5, 2*P58 &lt; 7),340.5 - 70.5 * (7 - 2*P58)/2,IF(AND(2*P58 &gt;= 7, 2*P58 &lt; 8),340.5 - 128 * (2*P58 - 7),IF(AND(2*P58 &gt;= 8, 2*P58 &lt; 8.28),212.5 - 5.357 * (2*P58 - 8),IF(2*P58 = 8.28,211,IF(AND(2*P58 &gt; 8.28, 2*P58 &lt; 20),180,IF(2*P58 &gt;= 20,6 + 174 * EXP(-3.5 * (2*P58 - 20)),"Ошибка")))))))</f>
        <v>180</v>
      </c>
      <c r="U58" s="90" t="str">
        <f t="shared" ref="U58:U68" si="19">IF(2*P58 &lt; 5,"Сингулярность",IF(AND(2*P58 &gt;= 5, 2*P58 &lt; 7),"Предбифуркация",IF(AND(2*P58 &gt;= 7, 2*P58&lt;= 8.28),"Бифуркация", IF(AND(2*P58&gt; 8.28, 2*P58 &lt; 20),"Стабилизация", IF(2*P58 &gt;= 20,"Распад", "Н/Д")))))</f>
        <v>Стабилизация</v>
      </c>
      <c r="V58" s="2">
        <f t="shared" ref="V58:V68" si="20">IF(AND(2*P58 &gt;= 8.28, 2*P58 &lt; 20),31 * EXP(-0.15 * (2*P58 - 8.28)),"")</f>
        <v>22.965364841133255</v>
      </c>
      <c r="W58" s="46" t="b">
        <f t="shared" ca="1" si="12"/>
        <v>1</v>
      </c>
      <c r="X58" s="48">
        <f t="shared" si="13"/>
        <v>2</v>
      </c>
      <c r="Y58" s="48">
        <f t="shared" si="8"/>
        <v>1.2996389891696751</v>
      </c>
      <c r="Z58" s="48">
        <f t="shared" si="9"/>
        <v>2.1428571428571428</v>
      </c>
      <c r="AA58" s="45">
        <f t="shared" si="4"/>
        <v>137.14285714285714</v>
      </c>
      <c r="AB58" s="45">
        <f t="shared" si="5"/>
        <v>1.0007797742407625</v>
      </c>
      <c r="AC58" s="50">
        <f t="shared" si="10"/>
        <v>11687.821292795066</v>
      </c>
      <c r="AD58" s="50">
        <f t="shared" si="14"/>
        <v>0</v>
      </c>
      <c r="AE58" s="50">
        <f t="shared" si="11"/>
        <v>0</v>
      </c>
      <c r="AF58" s="50">
        <f t="shared" si="6"/>
        <v>180</v>
      </c>
      <c r="AG58" s="51">
        <f t="shared" ref="AG58" si="21" xml:space="preserve"> (LN(T59) - LN(T58)) / (LN((P59*2)- 10) - LN((P58*2) - 10))</f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5.3" x14ac:dyDescent="0.55000000000000004">
      <c r="A59" s="21"/>
      <c r="B59" s="21"/>
      <c r="C59" s="21"/>
      <c r="D59" s="21"/>
      <c r="E59" s="22"/>
      <c r="F59" s="22"/>
      <c r="G59" s="1"/>
      <c r="H59" s="1"/>
      <c r="I59" s="1"/>
      <c r="J59" s="1"/>
      <c r="K59" s="1"/>
      <c r="L59" s="1"/>
      <c r="M59" s="1"/>
      <c r="N59" s="1"/>
      <c r="O59" s="1"/>
      <c r="P59" s="81">
        <v>5.4</v>
      </c>
      <c r="Q59" s="79">
        <v>169</v>
      </c>
      <c r="R59" s="79">
        <f t="shared" si="17"/>
        <v>277.39885807614263</v>
      </c>
      <c r="S59" s="79">
        <f t="shared" si="15"/>
        <v>169.41983758925747</v>
      </c>
      <c r="T59" s="80">
        <f t="shared" si="18"/>
        <v>180</v>
      </c>
      <c r="U59" s="90" t="str">
        <f t="shared" si="19"/>
        <v>Стабилизация</v>
      </c>
      <c r="V59" s="2">
        <f t="shared" si="20"/>
        <v>21.242145520641976</v>
      </c>
      <c r="W59" s="46" t="b">
        <f t="shared" ca="1" si="12"/>
        <v>1</v>
      </c>
      <c r="X59" s="48">
        <f t="shared" si="13"/>
        <v>2</v>
      </c>
      <c r="Y59" s="48">
        <f t="shared" si="8"/>
        <v>1.2996389891696751</v>
      </c>
      <c r="Z59" s="48">
        <f t="shared" si="9"/>
        <v>2.1301775147928996</v>
      </c>
      <c r="AA59" s="45">
        <f t="shared" si="4"/>
        <v>137.14285714285714</v>
      </c>
      <c r="AB59" s="45">
        <f t="shared" si="5"/>
        <v>1.0007797742407625</v>
      </c>
      <c r="AC59" s="50">
        <f t="shared" si="10"/>
        <v>11659.468865307166</v>
      </c>
      <c r="AD59" s="50">
        <f t="shared" si="14"/>
        <v>0</v>
      </c>
      <c r="AE59" s="50">
        <f t="shared" si="11"/>
        <v>0</v>
      </c>
      <c r="AF59" s="92"/>
      <c r="AG59" s="57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5.3" x14ac:dyDescent="0.55000000000000004">
      <c r="A60" s="21"/>
      <c r="B60" s="21"/>
      <c r="C60" s="21"/>
      <c r="D60" s="21"/>
      <c r="E60" s="22"/>
      <c r="F60" s="22"/>
      <c r="G60" s="1"/>
      <c r="H60" s="1"/>
      <c r="I60" s="1"/>
      <c r="J60" s="1"/>
      <c r="K60" s="1"/>
      <c r="L60" s="1"/>
      <c r="M60" s="1"/>
      <c r="N60" s="1"/>
      <c r="O60" s="1"/>
      <c r="P60" s="81">
        <v>5.4</v>
      </c>
      <c r="Q60" s="79">
        <v>187</v>
      </c>
      <c r="R60" s="79">
        <f t="shared" si="17"/>
        <v>277.39885807614263</v>
      </c>
      <c r="S60" s="79">
        <f t="shared" si="15"/>
        <v>169.41983758925747</v>
      </c>
      <c r="T60" s="80">
        <f t="shared" si="18"/>
        <v>180</v>
      </c>
      <c r="U60" s="90" t="str">
        <f t="shared" si="19"/>
        <v>Стабилизация</v>
      </c>
      <c r="V60" s="2">
        <f t="shared" si="20"/>
        <v>21.242145520641976</v>
      </c>
      <c r="W60" s="46" t="b">
        <f t="shared" ca="1" si="12"/>
        <v>1</v>
      </c>
      <c r="X60" s="48">
        <f t="shared" si="13"/>
        <v>2</v>
      </c>
      <c r="Y60" s="48">
        <f t="shared" si="8"/>
        <v>1.2996389891696751</v>
      </c>
      <c r="Z60" s="48">
        <f t="shared" si="9"/>
        <v>2.1301775147928996</v>
      </c>
      <c r="AA60" s="45">
        <f t="shared" si="4"/>
        <v>137.14285714285714</v>
      </c>
      <c r="AB60" s="45">
        <f t="shared" si="5"/>
        <v>1.0007797742407625</v>
      </c>
      <c r="AC60" s="50">
        <f t="shared" si="10"/>
        <v>11651.291752375761</v>
      </c>
      <c r="AD60" s="50">
        <f t="shared" si="14"/>
        <v>0</v>
      </c>
      <c r="AE60" s="50">
        <f t="shared" si="11"/>
        <v>0</v>
      </c>
      <c r="AF60" s="50">
        <f t="shared" ref="AF60:AF68" si="22">T60/((P60*2)-20)^AG60</f>
        <v>180</v>
      </c>
      <c r="AG60" s="51">
        <f t="shared" ref="AG60:AG66" si="23" xml:space="preserve"> (LN(T61) - LN(T60)) / (LN((P61*2)- 10) - LN((P60*2) - 10))</f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5.3" x14ac:dyDescent="0.55000000000000004">
      <c r="A61" s="21"/>
      <c r="B61" s="21"/>
      <c r="C61" s="21"/>
      <c r="D61" s="21"/>
      <c r="E61" s="22"/>
      <c r="F61" s="22"/>
      <c r="G61" s="1"/>
      <c r="H61" s="1"/>
      <c r="I61" s="1"/>
      <c r="J61" s="1"/>
      <c r="K61" s="1"/>
      <c r="L61" s="1"/>
      <c r="M61" s="1"/>
      <c r="N61" s="1"/>
      <c r="O61" s="1"/>
      <c r="P61" s="81">
        <v>5.48</v>
      </c>
      <c r="Q61" s="79">
        <v>163</v>
      </c>
      <c r="R61" s="79">
        <f t="shared" si="17"/>
        <v>277.47670038410797</v>
      </c>
      <c r="S61" s="79">
        <f t="shared" si="15"/>
        <v>169.5734351904895</v>
      </c>
      <c r="T61" s="80">
        <f t="shared" si="18"/>
        <v>180</v>
      </c>
      <c r="U61" s="90" t="str">
        <f t="shared" si="19"/>
        <v>Стабилизация</v>
      </c>
      <c r="V61" s="2">
        <f t="shared" si="20"/>
        <v>20.738403116400743</v>
      </c>
      <c r="W61" s="46" t="b">
        <f t="shared" ca="1" si="12"/>
        <v>1</v>
      </c>
      <c r="X61" s="48">
        <f t="shared" si="13"/>
        <v>2</v>
      </c>
      <c r="Y61" s="48">
        <f t="shared" si="8"/>
        <v>1.2996389891696751</v>
      </c>
      <c r="Z61" s="48">
        <f t="shared" si="9"/>
        <v>2.1301775147928996</v>
      </c>
      <c r="AA61" s="45">
        <f t="shared" si="4"/>
        <v>137.14285714285714</v>
      </c>
      <c r="AB61" s="45">
        <f t="shared" si="5"/>
        <v>1.0007797742407625</v>
      </c>
      <c r="AC61" s="50">
        <f t="shared" si="10"/>
        <v>11595.331066838968</v>
      </c>
      <c r="AD61" s="50">
        <f t="shared" si="14"/>
        <v>0</v>
      </c>
      <c r="AE61" s="50">
        <f t="shared" si="11"/>
        <v>0</v>
      </c>
      <c r="AF61" s="50">
        <f t="shared" si="22"/>
        <v>180</v>
      </c>
      <c r="AG61" s="51">
        <f t="shared" si="23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5.3" x14ac:dyDescent="0.55000000000000004">
      <c r="A62" s="21"/>
      <c r="B62" s="21"/>
      <c r="C62" s="21"/>
      <c r="D62" s="21"/>
      <c r="E62" s="22"/>
      <c r="F62" s="22"/>
      <c r="G62" s="1"/>
      <c r="H62" s="1"/>
      <c r="I62" s="1"/>
      <c r="J62" s="1"/>
      <c r="K62" s="1"/>
      <c r="L62" s="1"/>
      <c r="M62" s="1"/>
      <c r="N62" s="1"/>
      <c r="O62" s="1"/>
      <c r="P62" s="81">
        <v>6</v>
      </c>
      <c r="Q62" s="79">
        <v>172</v>
      </c>
      <c r="R62" s="79">
        <f t="shared" si="17"/>
        <v>277.93223222434955</v>
      </c>
      <c r="S62" s="79">
        <f t="shared" si="15"/>
        <v>170.47271661854765</v>
      </c>
      <c r="T62" s="80">
        <f t="shared" si="18"/>
        <v>180</v>
      </c>
      <c r="U62" s="90" t="str">
        <f t="shared" si="19"/>
        <v>Стабилизация</v>
      </c>
      <c r="V62" s="2">
        <f t="shared" si="20"/>
        <v>17.74293137985563</v>
      </c>
      <c r="W62" s="46" t="b">
        <f t="shared" ca="1" si="12"/>
        <v>1</v>
      </c>
      <c r="X62" s="48">
        <f t="shared" si="13"/>
        <v>2</v>
      </c>
      <c r="Y62" s="48">
        <f t="shared" si="8"/>
        <v>1.2996389891696751</v>
      </c>
      <c r="Z62" s="48">
        <f t="shared" si="9"/>
        <v>2.1176470588235294</v>
      </c>
      <c r="AA62" s="45">
        <f t="shared" si="4"/>
        <v>137.14285714285714</v>
      </c>
      <c r="AB62" s="45">
        <f t="shared" si="5"/>
        <v>1.0007797742407625</v>
      </c>
      <c r="AC62" s="50">
        <f t="shared" si="10"/>
        <v>11487.790715659523</v>
      </c>
      <c r="AD62" s="50">
        <f t="shared" si="14"/>
        <v>0</v>
      </c>
      <c r="AE62" s="50">
        <f t="shared" si="11"/>
        <v>0</v>
      </c>
      <c r="AF62" s="50">
        <f t="shared" si="22"/>
        <v>180</v>
      </c>
      <c r="AG62" s="51">
        <f t="shared" si="23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s="31" customFormat="1" ht="15.3" x14ac:dyDescent="0.55000000000000004">
      <c r="A63" s="28"/>
      <c r="B63" s="28"/>
      <c r="C63" s="28"/>
      <c r="D63" s="28"/>
      <c r="E63" s="29"/>
      <c r="F63" s="29"/>
      <c r="G63" s="30"/>
      <c r="H63" s="30"/>
      <c r="I63" s="30"/>
      <c r="J63" s="30"/>
      <c r="K63" s="30"/>
      <c r="L63" s="30"/>
      <c r="M63" s="30"/>
      <c r="N63" s="30"/>
      <c r="O63" s="30"/>
      <c r="P63" s="77">
        <v>6.81</v>
      </c>
      <c r="Q63" s="78">
        <v>23</v>
      </c>
      <c r="R63" s="78">
        <f t="shared" si="17"/>
        <v>278.50357516890233</v>
      </c>
      <c r="S63" s="78">
        <f t="shared" si="15"/>
        <v>171.60159231972659</v>
      </c>
      <c r="T63" s="82">
        <f t="shared" si="18"/>
        <v>180</v>
      </c>
      <c r="U63" s="89" t="str">
        <f t="shared" si="19"/>
        <v>Стабилизация</v>
      </c>
      <c r="V63" s="47">
        <f t="shared" si="20"/>
        <v>13.915275652024226</v>
      </c>
      <c r="W63" s="46" t="b">
        <f t="shared" ca="1" si="12"/>
        <v>1</v>
      </c>
      <c r="X63" s="48">
        <f t="shared" si="13"/>
        <v>2</v>
      </c>
      <c r="Y63" s="48">
        <f t="shared" si="8"/>
        <v>1.2949640287769784</v>
      </c>
      <c r="Z63" s="48">
        <f t="shared" si="9"/>
        <v>2.1052631578947367</v>
      </c>
      <c r="AA63" s="45">
        <f t="shared" si="4"/>
        <v>137.14285714285714</v>
      </c>
      <c r="AB63" s="45">
        <f t="shared" si="5"/>
        <v>1.0007797742407625</v>
      </c>
      <c r="AC63" s="50">
        <f t="shared" si="10"/>
        <v>11416.03961943875</v>
      </c>
      <c r="AD63" s="50">
        <f t="shared" si="14"/>
        <v>0</v>
      </c>
      <c r="AE63" s="50">
        <f t="shared" si="11"/>
        <v>0</v>
      </c>
      <c r="AF63" s="50">
        <f t="shared" si="22"/>
        <v>180</v>
      </c>
      <c r="AG63" s="51">
        <f t="shared" si="23"/>
        <v>0</v>
      </c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</row>
    <row r="64" spans="1:46" ht="15.3" x14ac:dyDescent="0.55000000000000004">
      <c r="A64" s="21"/>
      <c r="B64" s="21"/>
      <c r="C64" s="21"/>
      <c r="D64" s="21"/>
      <c r="E64" s="22"/>
      <c r="F64" s="22"/>
      <c r="G64" s="1"/>
      <c r="H64" s="1"/>
      <c r="I64" s="1"/>
      <c r="J64" s="1"/>
      <c r="K64" s="1"/>
      <c r="L64" s="1"/>
      <c r="M64" s="1"/>
      <c r="N64" s="1"/>
      <c r="O64" s="1"/>
      <c r="P64" s="81">
        <v>7</v>
      </c>
      <c r="Q64" s="79">
        <v>340.5</v>
      </c>
      <c r="R64" s="79">
        <f t="shared" si="17"/>
        <v>278.61849114140921</v>
      </c>
      <c r="S64" s="79">
        <f t="shared" si="15"/>
        <v>171.82876644005023</v>
      </c>
      <c r="T64" s="80">
        <f t="shared" si="18"/>
        <v>180</v>
      </c>
      <c r="U64" s="90" t="str">
        <f t="shared" si="19"/>
        <v>Стабилизация</v>
      </c>
      <c r="V64" s="2">
        <f t="shared" si="20"/>
        <v>13.144286854502464</v>
      </c>
      <c r="W64" s="46" t="b">
        <f t="shared" ca="1" si="12"/>
        <v>1</v>
      </c>
      <c r="X64" s="48">
        <f t="shared" si="13"/>
        <v>2</v>
      </c>
      <c r="Y64" s="48">
        <f t="shared" si="8"/>
        <v>1.2949640287769784</v>
      </c>
      <c r="Z64" s="48">
        <f t="shared" si="9"/>
        <v>2.1052631578947367</v>
      </c>
      <c r="AA64" s="45">
        <f t="shared" si="4"/>
        <v>137.14285714285714</v>
      </c>
      <c r="AB64" s="45">
        <f t="shared" si="5"/>
        <v>1.0007797742407625</v>
      </c>
      <c r="AC64" s="50">
        <f t="shared" si="10"/>
        <v>11395.620140600928</v>
      </c>
      <c r="AD64" s="50">
        <f t="shared" si="14"/>
        <v>0</v>
      </c>
      <c r="AE64" s="50">
        <f t="shared" si="11"/>
        <v>0</v>
      </c>
      <c r="AF64" s="50">
        <f t="shared" si="22"/>
        <v>180</v>
      </c>
      <c r="AG64" s="51">
        <f t="shared" si="23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s="36" customFormat="1" ht="15.3" x14ac:dyDescent="0.55000000000000004">
      <c r="A65" s="22"/>
      <c r="B65" s="22"/>
      <c r="C65" s="22"/>
      <c r="D65" s="21"/>
      <c r="E65" s="22"/>
      <c r="F65" s="22"/>
      <c r="G65" s="1"/>
      <c r="H65" s="1"/>
      <c r="I65" s="1"/>
      <c r="J65" s="1"/>
      <c r="K65" s="1"/>
      <c r="L65" s="1"/>
      <c r="M65" s="1"/>
      <c r="N65" s="1"/>
      <c r="O65" s="1"/>
      <c r="P65" s="70">
        <v>7.14</v>
      </c>
      <c r="Q65" s="60">
        <v>172</v>
      </c>
      <c r="R65" s="60">
        <f t="shared" si="17"/>
        <v>278.69926059774014</v>
      </c>
      <c r="S65" s="60">
        <f t="shared" si="15"/>
        <v>171.98845992878341</v>
      </c>
      <c r="T65" s="61">
        <f t="shared" si="18"/>
        <v>180</v>
      </c>
      <c r="U65" s="84" t="str">
        <f t="shared" si="19"/>
        <v>Стабилизация</v>
      </c>
      <c r="V65" s="2">
        <f t="shared" si="20"/>
        <v>12.603659451958574</v>
      </c>
      <c r="W65" s="46" t="b">
        <f t="shared" ca="1" si="12"/>
        <v>1</v>
      </c>
      <c r="X65" s="48">
        <f t="shared" si="13"/>
        <v>2</v>
      </c>
      <c r="Y65" s="48">
        <f t="shared" si="8"/>
        <v>1.2949640287769784</v>
      </c>
      <c r="Z65" s="48">
        <f t="shared" si="9"/>
        <v>2.1052631578947367</v>
      </c>
      <c r="AA65" s="45">
        <f t="shared" si="4"/>
        <v>137.14285714285714</v>
      </c>
      <c r="AB65" s="45">
        <f t="shared" si="5"/>
        <v>1.0007797742407625</v>
      </c>
      <c r="AC65" s="50">
        <f t="shared" si="10"/>
        <v>11387.194979409815</v>
      </c>
      <c r="AD65" s="50">
        <f t="shared" si="14"/>
        <v>0</v>
      </c>
      <c r="AE65" s="50">
        <f t="shared" si="11"/>
        <v>0</v>
      </c>
      <c r="AF65" s="58"/>
      <c r="AG65" s="57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5.3" x14ac:dyDescent="0.55000000000000004">
      <c r="A66" s="21"/>
      <c r="B66" s="21"/>
      <c r="C66" s="21"/>
      <c r="D66" s="21"/>
      <c r="E66" s="22"/>
      <c r="F66" s="22"/>
      <c r="G66" s="1"/>
      <c r="H66" s="1"/>
      <c r="I66" s="1"/>
      <c r="J66" s="1"/>
      <c r="K66" s="1"/>
      <c r="L66" s="1"/>
      <c r="M66" s="1"/>
      <c r="N66" s="1"/>
      <c r="O66" s="1"/>
      <c r="P66" s="70">
        <v>7.14</v>
      </c>
      <c r="Q66" s="60">
        <v>188</v>
      </c>
      <c r="R66" s="60">
        <f t="shared" si="17"/>
        <v>278.69926059774014</v>
      </c>
      <c r="S66" s="60">
        <f t="shared" si="15"/>
        <v>171.98845992878341</v>
      </c>
      <c r="T66" s="61">
        <f t="shared" si="18"/>
        <v>180</v>
      </c>
      <c r="U66" s="84" t="str">
        <f t="shared" si="19"/>
        <v>Стабилизация</v>
      </c>
      <c r="V66" s="2">
        <f t="shared" si="20"/>
        <v>12.603659451958574</v>
      </c>
      <c r="W66" s="49"/>
      <c r="X66" s="48">
        <f t="shared" si="13"/>
        <v>2</v>
      </c>
      <c r="Y66" s="48">
        <f t="shared" si="8"/>
        <v>1.2949640287769784</v>
      </c>
      <c r="Z66" s="48">
        <f t="shared" si="9"/>
        <v>2.1052631578947367</v>
      </c>
      <c r="AA66" s="45">
        <f t="shared" si="4"/>
        <v>137.14285714285714</v>
      </c>
      <c r="AB66" s="45">
        <f t="shared" si="5"/>
        <v>1.0007797742407625</v>
      </c>
      <c r="AC66" s="50">
        <f t="shared" si="10"/>
        <v>11267.136613482868</v>
      </c>
      <c r="AD66" s="50">
        <f t="shared" si="14"/>
        <v>0</v>
      </c>
      <c r="AE66" s="50">
        <f t="shared" si="11"/>
        <v>-5.2557766763665636</v>
      </c>
      <c r="AF66" s="50">
        <f t="shared" si="22"/>
        <v>180</v>
      </c>
      <c r="AG66" s="51">
        <f t="shared" si="23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5.3" x14ac:dyDescent="0.55000000000000004">
      <c r="A67" s="21"/>
      <c r="B67" s="21"/>
      <c r="C67" s="21"/>
      <c r="D67" s="21"/>
      <c r="E67" s="22"/>
      <c r="F67" s="22"/>
      <c r="G67" s="1"/>
      <c r="H67" s="1"/>
      <c r="I67" s="1"/>
      <c r="J67" s="1"/>
      <c r="K67" s="1"/>
      <c r="L67" s="1"/>
      <c r="M67" s="1"/>
      <c r="N67" s="1"/>
      <c r="O67" s="1"/>
      <c r="P67" s="23">
        <v>10</v>
      </c>
      <c r="Q67" s="83">
        <v>6</v>
      </c>
      <c r="R67" s="83">
        <f t="shared" si="17"/>
        <v>279.85491415224743</v>
      </c>
      <c r="S67" s="83">
        <f t="shared" si="15"/>
        <v>174.27518954777651</v>
      </c>
      <c r="T67" s="24">
        <f t="shared" si="18"/>
        <v>180</v>
      </c>
      <c r="U67" s="34" t="str">
        <f t="shared" si="19"/>
        <v>Распад</v>
      </c>
      <c r="V67" s="2" t="str">
        <f t="shared" si="20"/>
        <v/>
      </c>
      <c r="W67" s="49"/>
      <c r="X67" s="48">
        <f t="shared" si="13"/>
        <v>2</v>
      </c>
      <c r="Y67" s="48">
        <f t="shared" si="8"/>
        <v>1.2903225806451613</v>
      </c>
      <c r="Z67" s="48"/>
      <c r="AA67" s="45">
        <f t="shared" si="4"/>
        <v>137.14285714285714</v>
      </c>
      <c r="AB67" s="45">
        <f t="shared" si="5"/>
        <v>1.0007797742407625</v>
      </c>
      <c r="AC67" s="50">
        <f t="shared" si="10"/>
        <v>11124.459768448047</v>
      </c>
      <c r="AD67" s="50"/>
      <c r="AE67" s="50">
        <f t="shared" si="11"/>
        <v>-5.4545454545454541</v>
      </c>
      <c r="AF67" s="58"/>
      <c r="AG67" s="57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5.3" x14ac:dyDescent="0.55000000000000004">
      <c r="A68" s="21"/>
      <c r="B68" s="21"/>
      <c r="C68" s="21"/>
      <c r="D68" s="21"/>
      <c r="E68" s="22"/>
      <c r="F68" s="22"/>
      <c r="G68" s="1"/>
      <c r="H68" s="1"/>
      <c r="I68" s="1"/>
      <c r="J68" s="1"/>
      <c r="K68" s="1"/>
      <c r="L68" s="1"/>
      <c r="M68" s="1"/>
      <c r="N68" s="1"/>
      <c r="O68" s="1"/>
      <c r="P68" s="23">
        <v>10.82</v>
      </c>
      <c r="Q68" s="83">
        <v>6</v>
      </c>
      <c r="R68" s="83">
        <f t="shared" si="17"/>
        <v>280.07368145684723</v>
      </c>
      <c r="S68" s="83">
        <f t="shared" si="15"/>
        <v>174.70840591817571</v>
      </c>
      <c r="T68" s="24">
        <f>IF(2*P68&lt; 5,340.5,IF(AND(2*P68&gt;= 5, 2*P68 &lt; 7),340.5 - 70.5 * (7 - 2*P68)/2,IF(AND(2*P68 &gt;= 7, 2*P68 &lt; 8),340.5 - 128 * (2*P68 - 7),IF(AND(2*P68 &gt;= 8, 2*P68 &lt; 8.28),212.5 - 5.357 * (2*P68 - 8),IF(2*P68 = 8.28,211,IF(AND(2*P68 &gt; 8.28, 2*P68 &lt; 20),180,IF(2*P68 &gt;= 20,6 + 174 * EXP(-3.5 * (2*P68 - 20)),"Ошибка")))))))</f>
        <v>6.5593696799033943</v>
      </c>
      <c r="U68" s="34" t="str">
        <f t="shared" si="19"/>
        <v>Распад</v>
      </c>
      <c r="V68" s="2" t="str">
        <f t="shared" si="20"/>
        <v/>
      </c>
      <c r="W68" s="49"/>
      <c r="X68" s="48">
        <f>IF(T68&lt;360,360/INT(T68),T68)</f>
        <v>60</v>
      </c>
      <c r="Y68" s="48">
        <f t="shared" si="8"/>
        <v>1.2857142857142858</v>
      </c>
      <c r="Z68" s="48">
        <f t="shared" si="9"/>
        <v>2.0689655172413794</v>
      </c>
      <c r="AA68" s="45">
        <f t="shared" si="4"/>
        <v>4.9976149942121095</v>
      </c>
      <c r="AB68" s="45">
        <f t="shared" ref="AB68" si="24">AA68/137.036</f>
        <v>3.6469358374530123E-2</v>
      </c>
      <c r="AC68" s="50">
        <f t="shared" si="10"/>
        <v>11101.841289340169</v>
      </c>
      <c r="AD68" s="50"/>
      <c r="AE68" s="50">
        <f t="shared" si="11"/>
        <v>-0.19876877817889074</v>
      </c>
      <c r="AF68" s="50">
        <f t="shared" si="22"/>
        <v>6.5593696799033943</v>
      </c>
      <c r="AG68" s="5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5.3" x14ac:dyDescent="0.55000000000000004">
      <c r="A69" s="21"/>
      <c r="B69" s="21"/>
      <c r="C69" s="21"/>
      <c r="D69" s="21"/>
      <c r="E69" s="22"/>
      <c r="F69" s="22"/>
      <c r="G69" s="1"/>
      <c r="H69" s="1"/>
      <c r="I69" s="1"/>
      <c r="J69" s="1"/>
      <c r="K69" s="1"/>
      <c r="L69" s="1"/>
      <c r="M69" s="1"/>
      <c r="N69" s="1"/>
      <c r="O69" s="1"/>
      <c r="W69" s="14"/>
      <c r="X69" s="14"/>
      <c r="Y69" s="13"/>
      <c r="Z69" s="13"/>
      <c r="AA69" s="13"/>
      <c r="AB69" s="13"/>
      <c r="AC69" s="13"/>
      <c r="AD69" s="13"/>
      <c r="AE69" s="13"/>
      <c r="AF69" s="43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5.3" x14ac:dyDescent="0.55000000000000004">
      <c r="A70" s="21"/>
      <c r="B70" s="21"/>
      <c r="C70" s="21"/>
      <c r="D70" s="21"/>
      <c r="E70" s="22"/>
      <c r="F70" s="22"/>
      <c r="G70" s="1"/>
      <c r="H70" s="1"/>
      <c r="I70" s="1"/>
      <c r="J70" s="1"/>
      <c r="K70" s="1"/>
      <c r="L70" s="1"/>
      <c r="M70" s="1"/>
      <c r="N70" s="1"/>
      <c r="O70" s="1"/>
      <c r="W70" s="1"/>
      <c r="X70" s="14"/>
      <c r="Y70" s="13"/>
      <c r="Z70" s="13"/>
      <c r="AA70" s="13"/>
      <c r="AB70" s="13"/>
      <c r="AC70" s="13"/>
      <c r="AD70" s="13"/>
      <c r="AE70" s="13"/>
      <c r="AF70" s="43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5.3" x14ac:dyDescent="0.55000000000000004">
      <c r="A71" s="21"/>
      <c r="B71" s="21"/>
      <c r="C71" s="21"/>
      <c r="D71" s="21"/>
      <c r="E71" s="22"/>
      <c r="F71" s="22"/>
      <c r="G71" s="1"/>
      <c r="H71" s="1"/>
      <c r="I71" s="1"/>
      <c r="J71" s="1"/>
      <c r="K71" s="1"/>
      <c r="L71" s="1"/>
      <c r="M71" s="1"/>
      <c r="N71" s="1"/>
      <c r="O71" s="1"/>
      <c r="P71" t="s">
        <v>8</v>
      </c>
      <c r="W71" s="1"/>
      <c r="X71" s="14"/>
      <c r="Y71" s="13"/>
      <c r="Z71" s="13"/>
      <c r="AA71" s="13"/>
      <c r="AB71" s="13"/>
      <c r="AC71" s="13"/>
      <c r="AD71" s="13"/>
      <c r="AE71" s="13"/>
      <c r="AF71" s="43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58.5" customHeight="1" x14ac:dyDescent="0.55000000000000004">
      <c r="A72" s="25"/>
      <c r="B72" s="25"/>
      <c r="C72" s="25"/>
      <c r="D72" s="25"/>
      <c r="E72" s="26"/>
      <c r="F72" s="26"/>
      <c r="G72" s="27"/>
      <c r="H72" s="27"/>
      <c r="I72" s="1"/>
      <c r="J72" s="1"/>
      <c r="K72" s="1"/>
      <c r="L72" s="1"/>
      <c r="M72" s="1"/>
      <c r="N72" s="1"/>
      <c r="O72" s="1"/>
      <c r="P72" s="94" t="s">
        <v>14</v>
      </c>
      <c r="Q72" s="94"/>
      <c r="R72" s="96" t="s">
        <v>9</v>
      </c>
      <c r="S72" s="96"/>
      <c r="T72" s="96"/>
      <c r="U72" s="96"/>
      <c r="V72" s="96"/>
      <c r="W72" s="96"/>
      <c r="X72" s="96"/>
      <c r="Y72" s="96"/>
      <c r="Z72" s="96"/>
      <c r="AA72" s="13"/>
      <c r="AB72" s="13"/>
      <c r="AC72" s="13"/>
      <c r="AD72" s="13"/>
      <c r="AE72" s="13"/>
      <c r="AF72" s="12"/>
    </row>
    <row r="73" spans="1:46" ht="30.3" customHeight="1" x14ac:dyDescent="0.55000000000000004">
      <c r="A73" s="21"/>
      <c r="B73" s="21"/>
      <c r="C73" s="21"/>
      <c r="D73" s="21"/>
      <c r="E73" s="22"/>
      <c r="F73" s="22"/>
      <c r="G73" s="1"/>
      <c r="H73" s="1"/>
      <c r="I73" s="1"/>
      <c r="J73" s="1"/>
      <c r="K73" s="1"/>
      <c r="L73" s="1"/>
      <c r="M73" s="1"/>
      <c r="N73" s="1"/>
      <c r="O73" s="1"/>
      <c r="P73" s="9" t="s">
        <v>15</v>
      </c>
      <c r="R73" s="95" t="s">
        <v>11</v>
      </c>
      <c r="S73" s="95"/>
      <c r="T73" s="95"/>
      <c r="U73" s="95"/>
      <c r="V73" s="95"/>
      <c r="W73" s="95"/>
      <c r="X73" s="14"/>
      <c r="Y73" s="13"/>
      <c r="Z73" s="13"/>
      <c r="AA73" s="13"/>
      <c r="AB73" s="13"/>
      <c r="AC73" s="13"/>
      <c r="AD73" s="13"/>
      <c r="AE73" s="13"/>
      <c r="AF73" s="12"/>
    </row>
    <row r="74" spans="1:46" ht="15.3" x14ac:dyDescent="0.55000000000000004">
      <c r="A74" s="21"/>
      <c r="B74" s="21"/>
      <c r="C74" s="21"/>
      <c r="D74" s="21"/>
      <c r="E74" s="22"/>
      <c r="F74" s="22"/>
      <c r="G74" s="1"/>
      <c r="H74" s="1"/>
      <c r="I74" s="1"/>
      <c r="J74" s="1"/>
      <c r="K74" s="1"/>
      <c r="L74" s="1"/>
      <c r="M74" s="1"/>
      <c r="N74" s="1"/>
      <c r="O74" s="1"/>
      <c r="P74" s="93" t="s">
        <v>16</v>
      </c>
      <c r="Q74" s="93"/>
      <c r="R74" s="94" t="s">
        <v>13</v>
      </c>
      <c r="S74" s="94"/>
      <c r="T74" s="94"/>
      <c r="U74" s="94"/>
      <c r="V74" s="94"/>
      <c r="W74" s="94"/>
      <c r="X74" s="14"/>
      <c r="Y74" s="13"/>
      <c r="Z74" s="13"/>
      <c r="AA74" s="13"/>
      <c r="AB74" s="13"/>
      <c r="AC74" s="13"/>
      <c r="AD74" s="13"/>
      <c r="AE74" s="13"/>
      <c r="AF74" s="12"/>
    </row>
    <row r="75" spans="1:46" ht="15.3" x14ac:dyDescent="0.55000000000000004">
      <c r="A75" s="21"/>
      <c r="B75" s="21"/>
      <c r="C75" s="21"/>
      <c r="D75" s="21"/>
      <c r="E75" s="22"/>
      <c r="F75" s="22"/>
      <c r="G75" s="1"/>
      <c r="H75" s="1"/>
      <c r="I75" s="1"/>
      <c r="J75" s="1"/>
      <c r="K75" s="1"/>
      <c r="L75" s="1"/>
      <c r="M75" s="1"/>
      <c r="N75" s="1"/>
      <c r="O75" s="1"/>
      <c r="P75" s="16"/>
      <c r="Q75" s="17"/>
      <c r="R75" s="17"/>
      <c r="S75" s="17"/>
      <c r="T75" s="18"/>
      <c r="U75" s="19"/>
      <c r="V75" s="19"/>
      <c r="W75" s="14"/>
      <c r="X75" s="14"/>
      <c r="Y75" s="13"/>
      <c r="Z75" s="13"/>
      <c r="AA75" s="13"/>
      <c r="AB75" s="13"/>
      <c r="AC75" s="13"/>
      <c r="AD75" s="13"/>
      <c r="AE75" s="13"/>
      <c r="AF75" s="12"/>
    </row>
    <row r="76" spans="1:46" ht="15.3" x14ac:dyDescent="0.55000000000000004">
      <c r="A76" s="21"/>
      <c r="B76" s="21"/>
      <c r="C76" s="21"/>
      <c r="D76" s="21"/>
      <c r="E76" s="22"/>
      <c r="F76" s="22"/>
      <c r="G76" s="1"/>
      <c r="H76" s="1"/>
      <c r="I76" s="1"/>
      <c r="J76" s="1"/>
      <c r="K76" s="1"/>
      <c r="L76" s="1"/>
      <c r="M76" s="1"/>
      <c r="N76" s="1"/>
      <c r="O76" s="1"/>
      <c r="P76" s="16"/>
      <c r="Q76" s="17"/>
      <c r="R76" s="17"/>
      <c r="S76" s="17"/>
      <c r="T76" s="18"/>
      <c r="U76" s="19"/>
      <c r="V76" s="19"/>
      <c r="W76" s="14"/>
      <c r="X76" s="14"/>
      <c r="Y76" s="13"/>
      <c r="Z76" s="13"/>
      <c r="AA76" s="13"/>
      <c r="AB76" s="13"/>
      <c r="AC76" s="13"/>
      <c r="AD76" s="13"/>
      <c r="AE76" s="13"/>
      <c r="AF76" s="12"/>
    </row>
    <row r="77" spans="1:46" ht="15.3" x14ac:dyDescent="0.55000000000000004">
      <c r="A77" s="21"/>
      <c r="B77" s="21"/>
      <c r="C77" s="21"/>
      <c r="D77" s="21"/>
      <c r="E77" s="22"/>
      <c r="F77" s="22"/>
      <c r="G77" s="1"/>
      <c r="H77" s="1"/>
      <c r="I77" s="21"/>
      <c r="J77" s="1"/>
      <c r="K77" s="1"/>
      <c r="L77" s="1"/>
      <c r="M77" s="1"/>
      <c r="N77" s="1"/>
      <c r="O77" s="1"/>
      <c r="P77" s="16"/>
      <c r="Q77" s="17"/>
      <c r="R77" s="17"/>
      <c r="S77" s="17"/>
      <c r="T77" s="18"/>
      <c r="U77" s="19"/>
      <c r="V77" s="19"/>
      <c r="W77" s="14"/>
      <c r="X77" s="14"/>
      <c r="Y77" s="13"/>
      <c r="Z77" s="13"/>
      <c r="AA77" s="13"/>
      <c r="AB77" s="13"/>
      <c r="AC77" s="13"/>
      <c r="AD77" s="13"/>
      <c r="AE77" s="13"/>
      <c r="AF77" s="12"/>
    </row>
    <row r="78" spans="1:46" x14ac:dyDescent="0.55000000000000004">
      <c r="A78" s="22"/>
      <c r="B78" s="22"/>
      <c r="C78" s="22"/>
      <c r="D78" s="22"/>
      <c r="E78" s="22"/>
      <c r="F78" s="22"/>
      <c r="G78" s="1"/>
      <c r="H78" s="1"/>
      <c r="I78" s="1"/>
      <c r="J78" s="1"/>
      <c r="K78" s="1"/>
      <c r="L78" s="1"/>
      <c r="M78" s="1"/>
      <c r="N78" s="1"/>
      <c r="O78" s="1"/>
      <c r="P78" s="16"/>
      <c r="Q78" s="17"/>
      <c r="R78" s="17"/>
      <c r="S78" s="17"/>
      <c r="T78" s="18"/>
      <c r="U78" s="19"/>
      <c r="V78" s="19"/>
      <c r="W78" s="14"/>
      <c r="X78" s="14"/>
      <c r="Y78" s="13"/>
      <c r="Z78" s="13"/>
      <c r="AA78" s="13"/>
      <c r="AB78" s="13"/>
      <c r="AC78" s="13"/>
      <c r="AD78" s="13"/>
      <c r="AE78" s="13"/>
      <c r="AF78" s="12"/>
    </row>
    <row r="79" spans="1:46" ht="15.6" x14ac:dyDescent="0.6">
      <c r="A79" s="22"/>
      <c r="B79" s="22"/>
      <c r="C79" s="22"/>
      <c r="D79" s="22"/>
      <c r="E79" s="22"/>
      <c r="F79" s="22"/>
      <c r="G79" s="1"/>
      <c r="H79" s="1"/>
      <c r="I79" s="1"/>
      <c r="J79" s="21"/>
      <c r="K79" s="4"/>
      <c r="L79" s="5"/>
      <c r="M79" s="5"/>
      <c r="P79" s="20"/>
      <c r="Q79" s="20"/>
      <c r="R79" s="20"/>
      <c r="S79" s="20"/>
      <c r="T79" s="20"/>
      <c r="U79" s="20"/>
      <c r="V79" s="20"/>
      <c r="W79" s="14"/>
      <c r="X79" s="14"/>
      <c r="Y79" s="13"/>
      <c r="Z79" s="13"/>
      <c r="AA79" s="13"/>
      <c r="AB79" s="13"/>
      <c r="AC79" s="13"/>
      <c r="AD79" s="13"/>
      <c r="AE79" s="13"/>
      <c r="AF79" s="12"/>
    </row>
    <row r="80" spans="1:46" ht="15.6" x14ac:dyDescent="0.6">
      <c r="A80" s="21"/>
      <c r="B80" s="21"/>
      <c r="C80" s="21"/>
      <c r="D80" s="21"/>
      <c r="E80" s="1"/>
      <c r="F80" s="1"/>
      <c r="G80" s="1"/>
      <c r="H80" s="1"/>
      <c r="I80" s="21"/>
      <c r="J80" s="21"/>
      <c r="K80" s="4"/>
      <c r="L80" s="5"/>
      <c r="M80" s="5"/>
      <c r="P80" s="16"/>
      <c r="Q80" s="17"/>
      <c r="R80" s="17"/>
      <c r="S80" s="17"/>
      <c r="T80" s="18"/>
      <c r="U80" s="19"/>
      <c r="V80" s="19"/>
      <c r="W80" s="14"/>
      <c r="X80" s="14"/>
      <c r="Y80" s="13"/>
      <c r="Z80" s="13"/>
      <c r="AA80" s="13"/>
      <c r="AB80" s="13"/>
      <c r="AC80" s="13"/>
      <c r="AD80" s="13"/>
      <c r="AE80" s="13"/>
      <c r="AF80" s="12"/>
    </row>
    <row r="81" spans="1:32" ht="15.6" x14ac:dyDescent="0.6">
      <c r="J81" s="4"/>
      <c r="K81" s="4"/>
      <c r="L81" s="5"/>
      <c r="M81" s="5"/>
      <c r="P81" s="20"/>
      <c r="Q81" s="20"/>
      <c r="R81" s="20"/>
      <c r="S81" s="20"/>
      <c r="T81" s="20"/>
      <c r="U81" s="20"/>
      <c r="V81" s="20"/>
      <c r="W81" s="14"/>
      <c r="X81" s="14"/>
      <c r="Y81" s="13"/>
      <c r="Z81" s="13"/>
      <c r="AA81" s="13"/>
      <c r="AB81" s="13"/>
      <c r="AC81" s="13"/>
      <c r="AD81" s="13"/>
      <c r="AE81" s="13"/>
      <c r="AF81" s="12"/>
    </row>
    <row r="82" spans="1:32" ht="15.6" x14ac:dyDescent="0.6">
      <c r="J82" s="4"/>
      <c r="K82" s="4"/>
      <c r="L82" s="5"/>
      <c r="M82" s="5"/>
      <c r="P82" s="16"/>
      <c r="Q82" s="17"/>
      <c r="R82" s="17"/>
      <c r="S82" s="17"/>
      <c r="T82" s="18"/>
      <c r="U82" s="19"/>
      <c r="V82" s="19"/>
      <c r="W82" s="14"/>
      <c r="X82" s="14"/>
      <c r="Y82" s="13"/>
      <c r="Z82" s="13"/>
      <c r="AA82" s="13"/>
      <c r="AB82" s="13"/>
      <c r="AC82" s="13"/>
      <c r="AD82" s="13"/>
      <c r="AE82" s="13"/>
      <c r="AF82" s="12"/>
    </row>
    <row r="83" spans="1:32" ht="15.6" x14ac:dyDescent="0.6">
      <c r="A83" s="4"/>
      <c r="B83" s="4"/>
      <c r="C83" s="4"/>
      <c r="D83" s="4"/>
      <c r="I83" s="4"/>
      <c r="J83" s="4"/>
      <c r="K83" s="4"/>
      <c r="L83" s="5"/>
      <c r="M83" s="5"/>
      <c r="P83" s="16"/>
      <c r="Q83" s="17"/>
      <c r="R83" s="17"/>
      <c r="S83" s="17"/>
      <c r="T83" s="18"/>
      <c r="U83" s="19"/>
      <c r="V83" s="19"/>
      <c r="W83" s="14"/>
      <c r="X83" s="14"/>
      <c r="Y83" s="13"/>
      <c r="Z83" s="13"/>
      <c r="AA83" s="13"/>
      <c r="AB83" s="13"/>
      <c r="AC83" s="13"/>
      <c r="AD83" s="13"/>
      <c r="AE83" s="13"/>
      <c r="AF83" s="12"/>
    </row>
    <row r="84" spans="1:32" ht="15.6" x14ac:dyDescent="0.6">
      <c r="A84" s="4"/>
      <c r="B84" s="4"/>
      <c r="C84" s="4"/>
      <c r="D84" s="4"/>
      <c r="I84" s="4"/>
      <c r="J84" s="4"/>
      <c r="K84" s="4"/>
      <c r="L84" s="5"/>
      <c r="M84" s="5"/>
      <c r="P84" s="16"/>
      <c r="Q84" s="17"/>
      <c r="R84" s="17"/>
      <c r="S84" s="17"/>
      <c r="T84" s="18"/>
      <c r="U84" s="19"/>
      <c r="V84" s="19"/>
      <c r="W84" s="14"/>
      <c r="X84" s="14"/>
      <c r="Y84" s="13"/>
      <c r="Z84" s="13"/>
      <c r="AA84" s="13"/>
      <c r="AB84" s="13"/>
      <c r="AC84" s="13"/>
      <c r="AD84" s="13"/>
      <c r="AE84" s="13"/>
      <c r="AF84" s="12"/>
    </row>
    <row r="85" spans="1:32" ht="15.6" x14ac:dyDescent="0.6">
      <c r="L85" s="5"/>
      <c r="M85" s="5"/>
      <c r="P85" s="20"/>
      <c r="Q85" s="20"/>
      <c r="R85" s="20"/>
      <c r="S85" s="20"/>
      <c r="T85" s="20"/>
      <c r="U85" s="20"/>
      <c r="V85" s="20"/>
      <c r="W85" s="14"/>
      <c r="X85" s="14"/>
      <c r="Y85" s="13"/>
      <c r="Z85" s="13"/>
      <c r="AA85" s="13"/>
      <c r="AB85" s="13"/>
      <c r="AC85" s="13"/>
      <c r="AD85" s="13"/>
      <c r="AE85" s="13"/>
      <c r="AF85" s="12"/>
    </row>
    <row r="86" spans="1:32" ht="15.6" x14ac:dyDescent="0.6">
      <c r="L86" s="5"/>
      <c r="M86" s="5"/>
      <c r="Y86" s="11"/>
      <c r="Z86" s="11"/>
      <c r="AA86" s="11"/>
      <c r="AB86" s="11"/>
      <c r="AC86" s="11"/>
      <c r="AD86" s="11"/>
      <c r="AE86" s="11"/>
    </row>
    <row r="87" spans="1:32" ht="15.6" x14ac:dyDescent="0.6">
      <c r="L87" s="5"/>
      <c r="M87" s="5"/>
    </row>
    <row r="88" spans="1:32" ht="41.4" customHeight="1" x14ac:dyDescent="0.6">
      <c r="L88" s="5"/>
      <c r="M88" s="5"/>
    </row>
    <row r="89" spans="1:32" ht="27" customHeight="1" x14ac:dyDescent="0.6">
      <c r="L89" s="5"/>
      <c r="M89" s="5"/>
    </row>
    <row r="90" spans="1:32" ht="15.6" x14ac:dyDescent="0.6">
      <c r="L90" s="5"/>
      <c r="M90" s="5"/>
    </row>
    <row r="91" spans="1:32" ht="15.6" x14ac:dyDescent="0.6">
      <c r="L91" s="5"/>
      <c r="M91" s="5"/>
      <c r="N91" s="93"/>
      <c r="O91" s="93"/>
      <c r="P91" s="93"/>
      <c r="Q91" s="93"/>
      <c r="R91" s="93"/>
      <c r="S91" s="93"/>
      <c r="T91" s="93"/>
      <c r="U91" s="93"/>
    </row>
    <row r="92" spans="1:32" ht="15.6" x14ac:dyDescent="0.6">
      <c r="L92" s="5"/>
      <c r="M92" s="5"/>
      <c r="N92" s="93"/>
      <c r="O92" s="93"/>
    </row>
    <row r="93" spans="1:32" ht="15.6" x14ac:dyDescent="0.6">
      <c r="L93" s="5"/>
      <c r="M93" s="5"/>
    </row>
    <row r="94" spans="1:32" ht="15.6" x14ac:dyDescent="0.6">
      <c r="L94" s="5"/>
      <c r="M94" s="5"/>
    </row>
    <row r="95" spans="1:32" ht="15.6" x14ac:dyDescent="0.6">
      <c r="L95" s="5"/>
      <c r="M95" s="5"/>
    </row>
  </sheetData>
  <mergeCells count="22">
    <mergeCell ref="AF32:AG32"/>
    <mergeCell ref="AC33:AC34"/>
    <mergeCell ref="AD33:AD34"/>
    <mergeCell ref="AE33:AE34"/>
    <mergeCell ref="N91:O91"/>
    <mergeCell ref="P91:U91"/>
    <mergeCell ref="AA33:AB33"/>
    <mergeCell ref="X33:Z33"/>
    <mergeCell ref="P33:P34"/>
    <mergeCell ref="Q33:Q34"/>
    <mergeCell ref="R33:R34"/>
    <mergeCell ref="S33:S34"/>
    <mergeCell ref="T33:T34"/>
    <mergeCell ref="U33:U34"/>
    <mergeCell ref="V33:V34"/>
    <mergeCell ref="W33:W34"/>
    <mergeCell ref="N92:O92"/>
    <mergeCell ref="P72:Q72"/>
    <mergeCell ref="R73:W73"/>
    <mergeCell ref="P74:Q74"/>
    <mergeCell ref="R74:W74"/>
    <mergeCell ref="R72:Z72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 2</vt:lpstr>
      <vt:lpstr>'Лист 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2015-06-05T18:19:34Z</dcterms:created>
  <dcterms:modified xsi:type="dcterms:W3CDTF">2025-07-21T08:43:53Z</dcterms:modified>
</cp:coreProperties>
</file>