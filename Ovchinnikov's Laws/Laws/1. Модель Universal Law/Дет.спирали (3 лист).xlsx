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"/>
    </mc:Choice>
  </mc:AlternateContent>
  <xr:revisionPtr revIDLastSave="0" documentId="8_{7DF85B57-AE61-4289-A184-D495DE1B1A5F}" xr6:coauthVersionLast="47" xr6:coauthVersionMax="47" xr10:uidLastSave="{00000000-0000-0000-0000-000000000000}"/>
  <bookViews>
    <workbookView xWindow="-96" yWindow="-96" windowWidth="17472" windowHeight="10992" tabRatio="605" xr2:uid="{00000000-000D-0000-FFFF-FFFF00000000}"/>
  </bookViews>
  <sheets>
    <sheet name="Лист 3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0" l="1"/>
  <c r="H45" i="10"/>
  <c r="H46" i="10"/>
  <c r="H47" i="10"/>
  <c r="H36" i="10"/>
  <c r="H37" i="10"/>
  <c r="H38" i="10"/>
  <c r="H39" i="10"/>
  <c r="H40" i="10"/>
  <c r="H41" i="10"/>
  <c r="H42" i="10"/>
  <c r="F17" i="10"/>
  <c r="G36" i="10"/>
  <c r="F47" i="10"/>
  <c r="H14" i="10"/>
  <c r="G14" i="10"/>
  <c r="F14" i="10"/>
  <c r="G44" i="10"/>
  <c r="F44" i="10"/>
  <c r="G42" i="10"/>
  <c r="F42" i="10"/>
  <c r="G41" i="10"/>
  <c r="F41" i="10"/>
  <c r="G47" i="10"/>
  <c r="G46" i="10"/>
  <c r="F46" i="10"/>
  <c r="G45" i="10"/>
  <c r="F45" i="10"/>
  <c r="H43" i="10"/>
  <c r="G43" i="10"/>
  <c r="F43" i="10"/>
  <c r="G40" i="10"/>
  <c r="F40" i="10"/>
  <c r="G39" i="10"/>
  <c r="F39" i="10"/>
  <c r="G38" i="10"/>
  <c r="F38" i="10"/>
  <c r="G37" i="10"/>
  <c r="F37" i="10"/>
  <c r="F36" i="10"/>
  <c r="G8" i="10"/>
  <c r="G9" i="10"/>
  <c r="H9" i="10"/>
  <c r="G10" i="10"/>
  <c r="G11" i="10"/>
  <c r="G12" i="10"/>
  <c r="G13" i="10"/>
  <c r="H13" i="10"/>
  <c r="G15" i="10"/>
  <c r="H15" i="10"/>
  <c r="G16" i="10"/>
  <c r="H16" i="10"/>
  <c r="G17" i="10"/>
  <c r="H17" i="10"/>
  <c r="F16" i="10"/>
  <c r="F15" i="10"/>
  <c r="F13" i="10"/>
  <c r="F12" i="10"/>
  <c r="F11" i="10"/>
  <c r="F10" i="10"/>
  <c r="F9" i="10"/>
  <c r="F8" i="10"/>
</calcChain>
</file>

<file path=xl/sharedStrings.xml><?xml version="1.0" encoding="utf-8"?>
<sst xmlns="http://schemas.openxmlformats.org/spreadsheetml/2006/main" count="12" uniqueCount="6">
  <si>
    <t>θ (расчетная в ExcеI )</t>
  </si>
  <si>
    <t>Физический статус системы</t>
  </si>
  <si>
    <t>Разброс в зоне стабилизации (±Δθ)</t>
  </si>
  <si>
    <t xml:space="preserve">L </t>
  </si>
  <si>
    <t>θ1 (определенная в ExcеI при построении )</t>
  </si>
  <si>
    <t>θ2 (определенная в ExcеI при построении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</si>
</sst>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1"/>
      <color rgb="FF00B05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 applyAlignment="0"/>
  </cellStyleXfs>
  <cellXfs count="46">
    <xf numFmtId="0" fontId="0" fillId="0" borderId="0" xfId="0"/>
    <xf numFmtId="0" fontId="0" fillId="3" borderId="0" xfId="0" applyFill="1"/>
    <xf numFmtId="0" fontId="2" fillId="0" borderId="0" xfId="0" applyFont="1"/>
    <xf numFmtId="4" fontId="1" fillId="2" borderId="1" xfId="1" applyNumberFormat="1" applyAlignment="1">
      <alignment horizontal="center" vertical="center" wrapText="1"/>
    </xf>
    <xf numFmtId="49" fontId="1" fillId="2" borderId="1" xfId="1" applyNumberFormat="1" applyAlignment="1">
      <alignment horizontal="center" vertical="center" wrapText="1"/>
    </xf>
    <xf numFmtId="3" fontId="1" fillId="2" borderId="1" xfId="1" applyNumberFormat="1" applyAlignment="1">
      <alignment horizontal="center" vertical="center" wrapText="1"/>
    </xf>
    <xf numFmtId="0" fontId="1" fillId="2" borderId="2" xfId="1" applyBorder="1" applyAlignment="1">
      <alignment horizontal="center" vertical="center" wrapText="1"/>
    </xf>
    <xf numFmtId="0" fontId="1" fillId="3" borderId="0" xfId="1" applyFill="1" applyBorder="1" applyAlignment="1">
      <alignment horizontal="center" vertical="center" wrapText="1"/>
    </xf>
    <xf numFmtId="0" fontId="0" fillId="3" borderId="0" xfId="0" applyFill="1" applyBorder="1"/>
    <xf numFmtId="3" fontId="1" fillId="2" borderId="2" xfId="1" applyNumberFormat="1" applyBorder="1" applyAlignment="1">
      <alignment horizontal="center" vertical="center" wrapText="1"/>
    </xf>
    <xf numFmtId="0" fontId="1" fillId="2" borderId="2" xfId="1" applyBorder="1"/>
    <xf numFmtId="3" fontId="1" fillId="3" borderId="0" xfId="1" applyNumberFormat="1" applyFill="1" applyBorder="1" applyAlignment="1">
      <alignment horizontal="center" vertical="center" wrapText="1"/>
    </xf>
    <xf numFmtId="0" fontId="1" fillId="3" borderId="0" xfId="1" applyFill="1" applyBorder="1"/>
    <xf numFmtId="0" fontId="0" fillId="0" borderId="0" xfId="0" applyBorder="1"/>
    <xf numFmtId="0" fontId="2" fillId="3" borderId="0" xfId="0" applyFont="1" applyFill="1"/>
    <xf numFmtId="2" fontId="3" fillId="2" borderId="1" xfId="1" applyNumberFormat="1" applyFont="1" applyAlignment="1">
      <alignment horizontal="center" vertical="top"/>
    </xf>
    <xf numFmtId="0" fontId="3" fillId="2" borderId="1" xfId="1" applyFont="1" applyAlignment="1">
      <alignment horizontal="center"/>
    </xf>
    <xf numFmtId="0" fontId="2" fillId="3" borderId="0" xfId="0" applyFont="1" applyFill="1" applyAlignment="1">
      <alignment vertical="top"/>
    </xf>
    <xf numFmtId="0" fontId="3" fillId="2" borderId="1" xfId="1" applyFont="1"/>
    <xf numFmtId="0" fontId="3" fillId="2" borderId="2" xfId="1" applyFont="1" applyBorder="1"/>
    <xf numFmtId="4" fontId="1" fillId="3" borderId="0" xfId="1" applyNumberFormat="1" applyFill="1" applyBorder="1" applyAlignment="1">
      <alignment horizontal="center" vertical="center" wrapText="1"/>
    </xf>
    <xf numFmtId="4" fontId="3" fillId="2" borderId="1" xfId="1" applyNumberFormat="1" applyFont="1" applyAlignment="1">
      <alignment horizontal="center" vertical="center" wrapText="1"/>
    </xf>
    <xf numFmtId="0" fontId="5" fillId="2" borderId="1" xfId="1" applyFont="1" applyAlignment="1">
      <alignment horizontal="center"/>
    </xf>
    <xf numFmtId="2" fontId="5" fillId="2" borderId="1" xfId="1" applyNumberFormat="1" applyFont="1" applyAlignment="1">
      <alignment horizontal="center" vertical="top"/>
    </xf>
    <xf numFmtId="0" fontId="5" fillId="2" borderId="1" xfId="1" applyFont="1"/>
    <xf numFmtId="0" fontId="5" fillId="2" borderId="2" xfId="1" applyFont="1" applyBorder="1"/>
    <xf numFmtId="3" fontId="3" fillId="2" borderId="1" xfId="1" applyNumberFormat="1" applyFont="1" applyAlignment="1">
      <alignment horizontal="center" vertical="center" wrapText="1"/>
    </xf>
    <xf numFmtId="4" fontId="6" fillId="2" borderId="1" xfId="1" applyNumberFormat="1" applyFont="1" applyAlignment="1">
      <alignment horizontal="center" vertical="center" wrapText="1"/>
    </xf>
    <xf numFmtId="0" fontId="6" fillId="2" borderId="1" xfId="1" applyFont="1" applyAlignment="1">
      <alignment horizontal="center"/>
    </xf>
    <xf numFmtId="0" fontId="6" fillId="2" borderId="1" xfId="1" applyFont="1"/>
    <xf numFmtId="2" fontId="6" fillId="2" borderId="1" xfId="1" applyNumberFormat="1" applyFont="1" applyAlignment="1">
      <alignment horizontal="center" vertical="top"/>
    </xf>
    <xf numFmtId="2" fontId="6" fillId="4" borderId="1" xfId="1" applyNumberFormat="1" applyFont="1" applyFill="1" applyAlignment="1">
      <alignment horizontal="center" vertical="top"/>
    </xf>
    <xf numFmtId="0" fontId="6" fillId="4" borderId="1" xfId="1" applyFont="1" applyFill="1" applyAlignment="1">
      <alignment horizontal="center"/>
    </xf>
    <xf numFmtId="0" fontId="6" fillId="4" borderId="1" xfId="1" applyFont="1" applyFill="1"/>
    <xf numFmtId="4" fontId="1" fillId="2" borderId="0" xfId="1" applyNumberFormat="1" applyBorder="1" applyAlignment="1">
      <alignment horizontal="center" vertical="center" wrapText="1"/>
    </xf>
    <xf numFmtId="3" fontId="1" fillId="2" borderId="0" xfId="1" applyNumberFormat="1" applyBorder="1" applyAlignment="1">
      <alignment horizontal="center" vertical="center" wrapText="1"/>
    </xf>
    <xf numFmtId="3" fontId="3" fillId="2" borderId="0" xfId="1" applyNumberFormat="1" applyFont="1" applyBorder="1" applyAlignment="1">
      <alignment horizontal="center" vertical="center" wrapText="1"/>
    </xf>
    <xf numFmtId="0" fontId="3" fillId="2" borderId="0" xfId="1" applyFont="1" applyBorder="1" applyAlignment="1">
      <alignment horizontal="center"/>
    </xf>
    <xf numFmtId="4" fontId="3" fillId="2" borderId="0" xfId="1" applyNumberFormat="1" applyFont="1" applyBorder="1" applyAlignment="1">
      <alignment horizontal="center" vertical="center" wrapText="1"/>
    </xf>
    <xf numFmtId="4" fontId="6" fillId="2" borderId="0" xfId="1" applyNumberFormat="1" applyFont="1" applyBorder="1" applyAlignment="1">
      <alignment horizontal="center" vertical="center" wrapText="1"/>
    </xf>
    <xf numFmtId="0" fontId="6" fillId="2" borderId="0" xfId="1" applyFont="1" applyBorder="1" applyAlignment="1">
      <alignment horizontal="center"/>
    </xf>
    <xf numFmtId="2" fontId="6" fillId="2" borderId="0" xfId="1" applyNumberFormat="1" applyFont="1" applyBorder="1" applyAlignment="1">
      <alignment horizontal="center" vertical="top"/>
    </xf>
    <xf numFmtId="2" fontId="3" fillId="2" borderId="0" xfId="1" applyNumberFormat="1" applyFont="1" applyBorder="1" applyAlignment="1">
      <alignment horizontal="center" vertical="top"/>
    </xf>
    <xf numFmtId="2" fontId="5" fillId="2" borderId="0" xfId="1" applyNumberFormat="1" applyFont="1" applyBorder="1" applyAlignment="1">
      <alignment horizontal="center" vertical="top"/>
    </xf>
    <xf numFmtId="0" fontId="5" fillId="2" borderId="0" xfId="1" applyFont="1" applyBorder="1" applyAlignment="1">
      <alignment horizontal="center"/>
    </xf>
    <xf numFmtId="0" fontId="4" fillId="3" borderId="0" xfId="0" applyFont="1" applyFill="1"/>
  </cellXfs>
  <cellStyles count="3">
    <cellStyle name="Вычисление" xfId="1" builtinId="22"/>
    <cellStyle name="Обычный" xfId="0" builtinId="0"/>
    <cellStyle name="Стиль 1" xfId="2" xr:uid="{534DBCDB-ED9A-4E0A-A989-410305A8926C}"/>
  </cellStyles>
  <dxfs count="0"/>
  <tableStyles count="0" defaultTableStyle="TableStyleMedium2" defaultPivotStyle="PivotStyleLight16"/>
  <colors>
    <mruColors>
      <color rgb="FFFC34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205674488593536E-2"/>
          <c:y val="2.4685415566690204E-2"/>
          <c:w val="0.93268245346549516"/>
          <c:h val="0.87608628197706673"/>
        </c:manualLayout>
      </c:layout>
      <c:scatterChart>
        <c:scatterStyle val="smoothMarker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'Лист 3'!$D$8:$D$17</c:f>
              <c:numCache>
                <c:formatCode>#,##0.00</c:formatCode>
                <c:ptCount val="10"/>
                <c:pt idx="0" formatCode="#,##0">
                  <c:v>51</c:v>
                </c:pt>
                <c:pt idx="1">
                  <c:v>58</c:v>
                </c:pt>
                <c:pt idx="2">
                  <c:v>165</c:v>
                </c:pt>
                <c:pt idx="3">
                  <c:v>73</c:v>
                </c:pt>
                <c:pt idx="4" formatCode="0.00">
                  <c:v>60</c:v>
                </c:pt>
                <c:pt idx="5" formatCode="0.00">
                  <c:v>149</c:v>
                </c:pt>
                <c:pt idx="6" formatCode="0.00">
                  <c:v>170</c:v>
                </c:pt>
                <c:pt idx="7" formatCode="0.00">
                  <c:v>169</c:v>
                </c:pt>
                <c:pt idx="8" formatCode="0.00">
                  <c:v>172</c:v>
                </c:pt>
                <c:pt idx="9" formatCode="0.00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B-42C5-9964-39BD37FE62BD}"/>
            </c:ext>
          </c:extLst>
        </c:ser>
        <c:ser>
          <c:idx val="2"/>
          <c:order val="1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'Лист 3'!$E$8:$E$17</c:f>
              <c:numCache>
                <c:formatCode>#,##0.00</c:formatCode>
                <c:ptCount val="10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113</c:v>
                </c:pt>
                <c:pt idx="4" formatCode="0.00">
                  <c:v>200</c:v>
                </c:pt>
                <c:pt idx="5" formatCode="0.00">
                  <c:v>211</c:v>
                </c:pt>
                <c:pt idx="6" formatCode="0.00">
                  <c:v>211</c:v>
                </c:pt>
                <c:pt idx="7" formatCode="0.00">
                  <c:v>187</c:v>
                </c:pt>
                <c:pt idx="8" formatCode="0.00">
                  <c:v>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1B-42C5-9964-39BD37FE62BD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'Лист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1B-42C5-9964-39BD37FE62BD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'Лист 3'!$F$8:$F$17</c:f>
              <c:numCache>
                <c:formatCode>General</c:formatCode>
                <c:ptCount val="10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277.05</c:v>
                </c:pt>
                <c:pt idx="4">
                  <c:v>305.25</c:v>
                </c:pt>
                <c:pt idx="5">
                  <c:v>211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6.5593696799033943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1B-42C5-9964-39BD37FE6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128288"/>
        <c:axId val="715128768"/>
      </c:scatterChart>
      <c:valAx>
        <c:axId val="71512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128768"/>
        <c:crosses val="autoZero"/>
        <c:crossBetween val="midCat"/>
        <c:majorUnit val="0.25"/>
      </c:valAx>
      <c:valAx>
        <c:axId val="71512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5128288"/>
        <c:crosses val="autoZero"/>
        <c:crossBetween val="midCat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'Лист 3'!$B$36:$B$47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C8-4C2E-8B5D-AFF46A9475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'Лист 3'!$C$36:$C$47</c:f>
              <c:numCache>
                <c:formatCode>#,##0.00</c:formatCode>
                <c:ptCount val="12"/>
                <c:pt idx="0" formatCode="#,##0">
                  <c:v>1.9</c:v>
                </c:pt>
                <c:pt idx="1">
                  <c:v>2.1</c:v>
                </c:pt>
                <c:pt idx="2">
                  <c:v>2.5</c:v>
                </c:pt>
                <c:pt idx="3">
                  <c:v>2.6</c:v>
                </c:pt>
                <c:pt idx="4" formatCode="0.00">
                  <c:v>3</c:v>
                </c:pt>
                <c:pt idx="5" formatCode="0.00">
                  <c:v>3.5</c:v>
                </c:pt>
                <c:pt idx="6" formatCode="0.00">
                  <c:v>4</c:v>
                </c:pt>
                <c:pt idx="7" formatCode="0.00">
                  <c:v>4.1399999999999997</c:v>
                </c:pt>
                <c:pt idx="8" formatCode="0.00">
                  <c:v>5.14</c:v>
                </c:pt>
                <c:pt idx="9" formatCode="0.00">
                  <c:v>5.4</c:v>
                </c:pt>
                <c:pt idx="10" formatCode="0.00">
                  <c:v>7.14</c:v>
                </c:pt>
                <c:pt idx="11" formatCode="0.00">
                  <c:v>10.82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C8-4C2E-8B5D-AFF46A94758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891-4056-873F-E9DB74E06B09}"/>
              </c:ext>
            </c:extLst>
          </c:dPt>
          <c:dLbls>
            <c:dLbl>
              <c:idx val="5"/>
              <c:layout>
                <c:manualLayout>
                  <c:x val="7.5089270516063827E-3"/>
                  <c:y val="-4.9319972178961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AC-4565-BF38-782473E825E9}"/>
                </c:ext>
              </c:extLst>
            </c:dLbl>
            <c:dLbl>
              <c:idx val="6"/>
              <c:layout>
                <c:manualLayout>
                  <c:x val="7.5089270516062716E-3"/>
                  <c:y val="-7.59902004761161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AC-4565-BF38-782473E825E9}"/>
                </c:ext>
              </c:extLst>
            </c:dLbl>
            <c:dLbl>
              <c:idx val="8"/>
              <c:layout>
                <c:manualLayout>
                  <c:x val="-5.5851431244448989E-2"/>
                  <c:y val="-3.980584073799671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EAC-4565-BF38-782473E825E9}"/>
                </c:ext>
              </c:extLst>
            </c:dLbl>
            <c:dLbl>
              <c:idx val="9"/>
              <c:layout>
                <c:manualLayout>
                  <c:x val="-4.2274211609580094E-2"/>
                  <c:y val="1.46885757342082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C-4565-BF38-782473E825E9}"/>
                </c:ext>
              </c:extLst>
            </c:dLbl>
            <c:dLbl>
              <c:idx val="10"/>
              <c:layout>
                <c:manualLayout>
                  <c:x val="-4.9817111406729543E-2"/>
                  <c:y val="2.26896442233545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C-4565-BF38-782473E82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'Лист 3'!$D$36:$D$47</c:f>
              <c:numCache>
                <c:formatCode>#,##0.00</c:formatCode>
                <c:ptCount val="12"/>
                <c:pt idx="0" formatCode="#,##0">
                  <c:v>51</c:v>
                </c:pt>
                <c:pt idx="1">
                  <c:v>58</c:v>
                </c:pt>
                <c:pt idx="2">
                  <c:v>165</c:v>
                </c:pt>
                <c:pt idx="3">
                  <c:v>73</c:v>
                </c:pt>
                <c:pt idx="4" formatCode="0.00">
                  <c:v>60</c:v>
                </c:pt>
                <c:pt idx="5" formatCode="0.00">
                  <c:v>340.5</c:v>
                </c:pt>
                <c:pt idx="6" formatCode="0.00">
                  <c:v>212.5</c:v>
                </c:pt>
                <c:pt idx="7" formatCode="0.00">
                  <c:v>149</c:v>
                </c:pt>
                <c:pt idx="8" formatCode="0.00">
                  <c:v>170</c:v>
                </c:pt>
                <c:pt idx="9" formatCode="0.00">
                  <c:v>169</c:v>
                </c:pt>
                <c:pt idx="10" formatCode="0.00">
                  <c:v>172</c:v>
                </c:pt>
                <c:pt idx="11" formatCode="0.00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C8-4C2E-8B5D-AFF46A94758C}"/>
            </c:ext>
          </c:extLst>
        </c:ser>
        <c:ser>
          <c:idx val="3"/>
          <c:order val="3"/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6.7920070919888109E-2"/>
                  <c:y val="3.069071271250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C-4565-BF38-782473E825E9}"/>
                </c:ext>
              </c:extLst>
            </c:dLbl>
            <c:dLbl>
              <c:idx val="10"/>
              <c:layout>
                <c:manualLayout>
                  <c:x val="-1.3611192380412186E-2"/>
                  <c:y val="-6.26550863275389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C-4565-BF38-782473E82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'Лист 3'!$E$36:$E$47</c:f>
              <c:numCache>
                <c:formatCode>#,##0.00</c:formatCode>
                <c:ptCount val="12"/>
                <c:pt idx="0" formatCode="#,##0">
                  <c:v>51</c:v>
                </c:pt>
                <c:pt idx="1">
                  <c:v>58</c:v>
                </c:pt>
                <c:pt idx="2">
                  <c:v>208</c:v>
                </c:pt>
                <c:pt idx="3">
                  <c:v>113</c:v>
                </c:pt>
                <c:pt idx="4" formatCode="0.00">
                  <c:v>200</c:v>
                </c:pt>
                <c:pt idx="5" formatCode="0.00">
                  <c:v>249</c:v>
                </c:pt>
                <c:pt idx="6" formatCode="0.00">
                  <c:v>249</c:v>
                </c:pt>
                <c:pt idx="7" formatCode="0.00">
                  <c:v>211</c:v>
                </c:pt>
                <c:pt idx="8" formatCode="0.00">
                  <c:v>211</c:v>
                </c:pt>
                <c:pt idx="9" formatCode="0.00">
                  <c:v>187</c:v>
                </c:pt>
                <c:pt idx="10" formatCode="0.00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C8-4C2E-8B5D-AFF46A94758C}"/>
            </c:ext>
          </c:extLst>
        </c:ser>
        <c:ser>
          <c:idx val="4"/>
          <c:order val="4"/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5.0903288977519008E-2"/>
                  <c:y val="-2.79837895412384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C-4565-BF38-782473E825E9}"/>
                </c:ext>
              </c:extLst>
            </c:dLbl>
            <c:dLbl>
              <c:idx val="6"/>
              <c:layout>
                <c:manualLayout>
                  <c:x val="-5.6937608815238509E-2"/>
                  <c:y val="4.020484415346546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C-4565-BF38-782473E825E9}"/>
                </c:ext>
              </c:extLst>
            </c:dLbl>
            <c:dLbl>
              <c:idx val="7"/>
              <c:layout>
                <c:manualLayout>
                  <c:x val="-1.2581556861645391E-2"/>
                  <c:y val="-6.53221091572544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C-4565-BF38-782473E825E9}"/>
                </c:ext>
              </c:extLst>
            </c:dLbl>
            <c:dLbl>
              <c:idx val="10"/>
              <c:layout>
                <c:manualLayout>
                  <c:x val="2.5042427326536173E-3"/>
                  <c:y val="-2.5316766711523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C-4565-BF38-782473E825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'Лист 3'!$F$36:$F$47</c:f>
              <c:numCache>
                <c:formatCode>General</c:formatCode>
                <c:ptCount val="12"/>
                <c:pt idx="0">
                  <c:v>340.5</c:v>
                </c:pt>
                <c:pt idx="1">
                  <c:v>340.5</c:v>
                </c:pt>
                <c:pt idx="2">
                  <c:v>270</c:v>
                </c:pt>
                <c:pt idx="3">
                  <c:v>277.05</c:v>
                </c:pt>
                <c:pt idx="4">
                  <c:v>305.25</c:v>
                </c:pt>
                <c:pt idx="5">
                  <c:v>340.5</c:v>
                </c:pt>
                <c:pt idx="6">
                  <c:v>212.5</c:v>
                </c:pt>
                <c:pt idx="7">
                  <c:v>211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6.5593696799033943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AC-4565-BF38-782473E825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0127695"/>
        <c:axId val="990125295"/>
      </c:lineChart>
      <c:catAx>
        <c:axId val="99012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125295"/>
        <c:crosses val="autoZero"/>
        <c:auto val="1"/>
        <c:lblAlgn val="ctr"/>
        <c:lblOffset val="100"/>
        <c:tickMarkSkip val="1"/>
        <c:noMultiLvlLbl val="0"/>
      </c:catAx>
      <c:valAx>
        <c:axId val="99012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0127695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490537</xdr:colOff>
      <xdr:row>3</xdr:row>
      <xdr:rowOff>180974</xdr:rowOff>
    </xdr:from>
    <xdr:to>
      <xdr:col>21</xdr:col>
      <xdr:colOff>137160</xdr:colOff>
      <xdr:row>31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2D9719-BE21-7B8E-56F0-F847DA701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187780</xdr:colOff>
      <xdr:row>11</xdr:row>
      <xdr:rowOff>147366</xdr:rowOff>
    </xdr:from>
    <xdr:to>
      <xdr:col>18</xdr:col>
      <xdr:colOff>187780</xdr:colOff>
      <xdr:row>28</xdr:row>
      <xdr:rowOff>23813</xdr:rowOff>
    </xdr:to>
    <xdr:cxnSp macro="">
      <xdr:nvCxnSpPr>
        <xdr:cNvPr id="26" name="Прямая со стрелкой 25">
          <a:extLst>
            <a:ext uri="{FF2B5EF4-FFF2-40B4-BE49-F238E27FC236}">
              <a16:creationId xmlns:a16="http://schemas.microsoft.com/office/drawing/2014/main" id="{3CEE80CC-0558-7A57-EE3E-FF5F71BC9CF2}"/>
            </a:ext>
          </a:extLst>
        </xdr:cNvPr>
        <xdr:cNvCxnSpPr/>
      </xdr:nvCxnSpPr>
      <xdr:spPr>
        <a:xfrm>
          <a:off x="13217980" y="2823891"/>
          <a:ext cx="0" cy="3010172"/>
        </a:xfrm>
        <a:prstGeom prst="straightConnector1">
          <a:avLst/>
        </a:prstGeom>
        <a:ln w="1905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318408</xdr:colOff>
      <xdr:row>6</xdr:row>
      <xdr:rowOff>170452</xdr:rowOff>
    </xdr:from>
    <xdr:to>
      <xdr:col>14</xdr:col>
      <xdr:colOff>320857</xdr:colOff>
      <xdr:row>28</xdr:row>
      <xdr:rowOff>17689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F4E8E371-951B-4235-B2DB-7943628A5358}"/>
            </a:ext>
          </a:extLst>
        </xdr:cNvPr>
        <xdr:cNvCxnSpPr/>
      </xdr:nvCxnSpPr>
      <xdr:spPr>
        <a:xfrm flipH="1">
          <a:off x="11585122" y="1797866"/>
          <a:ext cx="2449" cy="4060009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461964</xdr:colOff>
      <xdr:row>31</xdr:row>
      <xdr:rowOff>161925</xdr:rowOff>
    </xdr:from>
    <xdr:to>
      <xdr:col>21</xdr:col>
      <xdr:colOff>200027</xdr:colOff>
      <xdr:row>55</xdr:row>
      <xdr:rowOff>15239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7497D010-42FC-418B-E543-74D85323F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717233</xdr:colOff>
      <xdr:row>15</xdr:row>
      <xdr:rowOff>64770</xdr:rowOff>
    </xdr:from>
    <xdr:to>
      <xdr:col>21</xdr:col>
      <xdr:colOff>481013</xdr:colOff>
      <xdr:row>15</xdr:row>
      <xdr:rowOff>64770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8A66C4EE-CC52-D175-24CD-3D9FC23D9869}"/>
            </a:ext>
          </a:extLst>
        </xdr:cNvPr>
        <xdr:cNvCxnSpPr/>
      </xdr:nvCxnSpPr>
      <xdr:spPr>
        <a:xfrm>
          <a:off x="7022783" y="3522345"/>
          <a:ext cx="8402955" cy="0"/>
        </a:xfrm>
        <a:prstGeom prst="line">
          <a:avLst/>
        </a:prstGeom>
        <a:ln w="25400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35787</xdr:colOff>
      <xdr:row>4</xdr:row>
      <xdr:rowOff>645342</xdr:rowOff>
    </xdr:from>
    <xdr:to>
      <xdr:col>11</xdr:col>
      <xdr:colOff>38100</xdr:colOff>
      <xdr:row>28</xdr:row>
      <xdr:rowOff>48986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425CDE35-BAEE-25C6-F193-CB41360F18D4}"/>
            </a:ext>
          </a:extLst>
        </xdr:cNvPr>
        <xdr:cNvCxnSpPr/>
      </xdr:nvCxnSpPr>
      <xdr:spPr>
        <a:xfrm>
          <a:off x="9375730" y="1385571"/>
          <a:ext cx="2313" cy="4503601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509588</xdr:colOff>
      <xdr:row>6</xdr:row>
      <xdr:rowOff>143238</xdr:rowOff>
    </xdr:from>
    <xdr:to>
      <xdr:col>16</xdr:col>
      <xdr:colOff>509588</xdr:colOff>
      <xdr:row>27</xdr:row>
      <xdr:rowOff>171450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44A31CD9-3B42-401D-89C1-817B374BAF6A}"/>
            </a:ext>
          </a:extLst>
        </xdr:cNvPr>
        <xdr:cNvCxnSpPr/>
      </xdr:nvCxnSpPr>
      <xdr:spPr>
        <a:xfrm flipH="1">
          <a:off x="13060817" y="1770652"/>
          <a:ext cx="0" cy="4055927"/>
        </a:xfrm>
        <a:prstGeom prst="straightConnector1">
          <a:avLst/>
        </a:prstGeom>
        <a:ln w="25400">
          <a:solidFill>
            <a:srgbClr val="7030A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220435</xdr:colOff>
      <xdr:row>8</xdr:row>
      <xdr:rowOff>10885</xdr:rowOff>
    </xdr:from>
    <xdr:to>
      <xdr:col>13</xdr:col>
      <xdr:colOff>223156</xdr:colOff>
      <xdr:row>28</xdr:row>
      <xdr:rowOff>142874</xdr:rowOff>
    </xdr:to>
    <xdr:cxnSp macro="">
      <xdr:nvCxnSpPr>
        <xdr:cNvPr id="25" name="Прямая со стрелкой 24">
          <a:extLst>
            <a:ext uri="{FF2B5EF4-FFF2-40B4-BE49-F238E27FC236}">
              <a16:creationId xmlns:a16="http://schemas.microsoft.com/office/drawing/2014/main" id="{93904860-E250-47CE-AD86-284B92C0D57C}"/>
            </a:ext>
          </a:extLst>
        </xdr:cNvPr>
        <xdr:cNvCxnSpPr/>
      </xdr:nvCxnSpPr>
      <xdr:spPr>
        <a:xfrm flipH="1">
          <a:off x="10844892" y="2030185"/>
          <a:ext cx="2721" cy="3952875"/>
        </a:xfrm>
        <a:prstGeom prst="straightConnector1">
          <a:avLst/>
        </a:prstGeom>
        <a:ln w="25400">
          <a:solidFill>
            <a:schemeClr val="tx1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121283</xdr:colOff>
      <xdr:row>9</xdr:row>
      <xdr:rowOff>165008</xdr:rowOff>
    </xdr:from>
    <xdr:to>
      <xdr:col>12</xdr:col>
      <xdr:colOff>126999</xdr:colOff>
      <xdr:row>28</xdr:row>
      <xdr:rowOff>65313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875B1554-4B31-46C7-BD55-8C686C2589E9}"/>
            </a:ext>
          </a:extLst>
        </xdr:cNvPr>
        <xdr:cNvCxnSpPr/>
      </xdr:nvCxnSpPr>
      <xdr:spPr>
        <a:xfrm>
          <a:off x="10738483" y="2381158"/>
          <a:ext cx="5716" cy="3513455"/>
        </a:xfrm>
        <a:prstGeom prst="straightConnector1">
          <a:avLst/>
        </a:prstGeom>
        <a:ln w="15875">
          <a:solidFill>
            <a:srgbClr val="002060"/>
          </a:solidFill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576670</xdr:colOff>
      <xdr:row>5</xdr:row>
      <xdr:rowOff>83367</xdr:rowOff>
    </xdr:from>
    <xdr:to>
      <xdr:col>9</xdr:col>
      <xdr:colOff>582386</xdr:colOff>
      <xdr:row>28</xdr:row>
      <xdr:rowOff>81643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1BB2F0D2-E7C5-4D17-9E17-D36850B711C1}"/>
            </a:ext>
          </a:extLst>
        </xdr:cNvPr>
        <xdr:cNvCxnSpPr/>
      </xdr:nvCxnSpPr>
      <xdr:spPr>
        <a:xfrm>
          <a:off x="8632099" y="1514838"/>
          <a:ext cx="5716" cy="4406991"/>
        </a:xfrm>
        <a:prstGeom prst="straightConnector1">
          <a:avLst/>
        </a:prstGeom>
        <a:ln w="28575">
          <a:solidFill>
            <a:srgbClr val="002060"/>
          </a:solidFill>
          <a:headEnd type="stealth" w="sm" len="lg"/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642009</xdr:colOff>
      <xdr:row>29</xdr:row>
      <xdr:rowOff>39120</xdr:rowOff>
    </xdr:from>
    <xdr:to>
      <xdr:col>8</xdr:col>
      <xdr:colOff>642369</xdr:colOff>
      <xdr:row>29</xdr:row>
      <xdr:rowOff>43800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51" name="Рукописный ввод 50">
              <a:extLst>
                <a:ext uri="{FF2B5EF4-FFF2-40B4-BE49-F238E27FC236}">
                  <a16:creationId xmlns:a16="http://schemas.microsoft.com/office/drawing/2014/main" id="{174B8535-5CF5-8B37-AE57-2610DA1FA2B5}"/>
                </a:ext>
              </a:extLst>
            </xdr14:cNvPr>
            <xdr14:cNvContentPartPr/>
          </xdr14:nvContentPartPr>
          <xdr14:nvPr macro=""/>
          <xdr14:xfrm>
            <a:off x="7712280" y="6064363"/>
            <a:ext cx="360" cy="4680"/>
          </xdr14:xfrm>
        </xdr:contentPart>
      </mc:Choice>
      <mc:Fallback xmlns="">
        <xdr:pic>
          <xdr:nvPicPr>
            <xdr:cNvPr id="51" name="Рукописный ввод 50">
              <a:extLst>
                <a:ext uri="{FF2B5EF4-FFF2-40B4-BE49-F238E27FC236}">
                  <a16:creationId xmlns:a16="http://schemas.microsoft.com/office/drawing/2014/main" id="{174B8535-5CF5-8B37-AE57-2610DA1FA2B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49640" y="5686723"/>
              <a:ext cx="126000" cy="76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435471</xdr:colOff>
      <xdr:row>26</xdr:row>
      <xdr:rowOff>54652</xdr:rowOff>
    </xdr:from>
    <xdr:to>
      <xdr:col>7</xdr:col>
      <xdr:colOff>435831</xdr:colOff>
      <xdr:row>26</xdr:row>
      <xdr:rowOff>81652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54" name="Рукописный ввод 53">
              <a:extLst>
                <a:ext uri="{FF2B5EF4-FFF2-40B4-BE49-F238E27FC236}">
                  <a16:creationId xmlns:a16="http://schemas.microsoft.com/office/drawing/2014/main" id="{7D41B961-3E26-ECF4-F640-DDE294901117}"/>
                </a:ext>
              </a:extLst>
            </xdr14:cNvPr>
            <xdr14:cNvContentPartPr/>
          </xdr14:nvContentPartPr>
          <xdr14:nvPr macro=""/>
          <xdr14:xfrm>
            <a:off x="6395400" y="5524723"/>
            <a:ext cx="360" cy="27000"/>
          </xdr14:xfrm>
        </xdr:contentPart>
      </mc:Choice>
      <mc:Fallback xmlns="">
        <xdr:pic>
          <xdr:nvPicPr>
            <xdr:cNvPr id="54" name="Рукописный ввод 53">
              <a:extLst>
                <a:ext uri="{FF2B5EF4-FFF2-40B4-BE49-F238E27FC236}">
                  <a16:creationId xmlns:a16="http://schemas.microsoft.com/office/drawing/2014/main" id="{7D41B961-3E26-ECF4-F640-DDE29490111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332400" y="5146723"/>
              <a:ext cx="126000" cy="78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326451</xdr:colOff>
      <xdr:row>26</xdr:row>
      <xdr:rowOff>152212</xdr:rowOff>
    </xdr:from>
    <xdr:to>
      <xdr:col>9</xdr:col>
      <xdr:colOff>326811</xdr:colOff>
      <xdr:row>26</xdr:row>
      <xdr:rowOff>152572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55" name="Рукописный ввод 54">
              <a:extLst>
                <a:ext uri="{FF2B5EF4-FFF2-40B4-BE49-F238E27FC236}">
                  <a16:creationId xmlns:a16="http://schemas.microsoft.com/office/drawing/2014/main" id="{05DD5458-115C-3092-BFFA-E69835B609B8}"/>
                </a:ext>
              </a:extLst>
            </xdr14:cNvPr>
            <xdr14:cNvContentPartPr/>
          </xdr14:nvContentPartPr>
          <xdr14:nvPr macro=""/>
          <xdr14:xfrm>
            <a:off x="8381880" y="5622283"/>
            <a:ext cx="360" cy="360"/>
          </xdr14:xfrm>
        </xdr:contentPart>
      </mc:Choice>
      <mc:Fallback xmlns="">
        <xdr:pic>
          <xdr:nvPicPr>
            <xdr:cNvPr id="55" name="Рукописный ввод 54">
              <a:extLst>
                <a:ext uri="{FF2B5EF4-FFF2-40B4-BE49-F238E27FC236}">
                  <a16:creationId xmlns:a16="http://schemas.microsoft.com/office/drawing/2014/main" id="{05DD5458-115C-3092-BFFA-E69835B609B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319240" y="5244643"/>
              <a:ext cx="126000" cy="75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408896</xdr:colOff>
      <xdr:row>6</xdr:row>
      <xdr:rowOff>173855</xdr:rowOff>
    </xdr:from>
    <xdr:to>
      <xdr:col>15</xdr:col>
      <xdr:colOff>411345</xdr:colOff>
      <xdr:row>28</xdr:row>
      <xdr:rowOff>17010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562D6001-086B-413F-868F-1B3D0AE20EE3}"/>
            </a:ext>
          </a:extLst>
        </xdr:cNvPr>
        <xdr:cNvCxnSpPr/>
      </xdr:nvCxnSpPr>
      <xdr:spPr>
        <a:xfrm flipH="1">
          <a:off x="12317867" y="1801269"/>
          <a:ext cx="2449" cy="4055927"/>
        </a:xfrm>
        <a:prstGeom prst="straightConnector1">
          <a:avLst/>
        </a:prstGeom>
        <a:ln w="12700">
          <a:solidFill>
            <a:srgbClr val="C00000"/>
          </a:solidFill>
          <a:tailEnd type="stealth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114300</xdr:colOff>
      <xdr:row>38</xdr:row>
      <xdr:rowOff>139700</xdr:rowOff>
    </xdr:from>
    <xdr:to>
      <xdr:col>15</xdr:col>
      <xdr:colOff>115207</xdr:colOff>
      <xdr:row>51</xdr:row>
      <xdr:rowOff>56242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3C4007F9-A7D8-92B8-07BD-C9C7D5764033}"/>
            </a:ext>
          </a:extLst>
        </xdr:cNvPr>
        <xdr:cNvCxnSpPr/>
      </xdr:nvCxnSpPr>
      <xdr:spPr>
        <a:xfrm>
          <a:off x="12655550" y="8223250"/>
          <a:ext cx="907" cy="238669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585107</xdr:colOff>
      <xdr:row>39</xdr:row>
      <xdr:rowOff>120650</xdr:rowOff>
    </xdr:from>
    <xdr:to>
      <xdr:col>13</xdr:col>
      <xdr:colOff>585107</xdr:colOff>
      <xdr:row>51</xdr:row>
      <xdr:rowOff>126092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A638F6C9-65AE-48D9-AF98-4972570660F0}"/>
            </a:ext>
          </a:extLst>
        </xdr:cNvPr>
        <xdr:cNvCxnSpPr/>
      </xdr:nvCxnSpPr>
      <xdr:spPr>
        <a:xfrm flipH="1">
          <a:off x="11843657" y="8401050"/>
          <a:ext cx="0" cy="227874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293007</xdr:colOff>
      <xdr:row>40</xdr:row>
      <xdr:rowOff>69850</xdr:rowOff>
    </xdr:from>
    <xdr:to>
      <xdr:col>16</xdr:col>
      <xdr:colOff>298450</xdr:colOff>
      <xdr:row>51</xdr:row>
      <xdr:rowOff>43542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3BB3AED4-A4AC-4E29-B9F2-8F40B88D4E0C}"/>
            </a:ext>
          </a:extLst>
        </xdr:cNvPr>
        <xdr:cNvCxnSpPr/>
      </xdr:nvCxnSpPr>
      <xdr:spPr>
        <a:xfrm flipH="1">
          <a:off x="13475607" y="8547100"/>
          <a:ext cx="5443" cy="2050142"/>
        </a:xfrm>
        <a:prstGeom prst="line">
          <a:avLst/>
        </a:prstGeom>
        <a:ln w="1270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742950</xdr:colOff>
      <xdr:row>40</xdr:row>
      <xdr:rowOff>88900</xdr:rowOff>
    </xdr:from>
    <xdr:to>
      <xdr:col>16</xdr:col>
      <xdr:colOff>304800</xdr:colOff>
      <xdr:row>40</xdr:row>
      <xdr:rowOff>101600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id="{B380DE99-0344-3B63-2925-9077FD07A87C}"/>
            </a:ext>
          </a:extLst>
        </xdr:cNvPr>
        <xdr:cNvCxnSpPr/>
      </xdr:nvCxnSpPr>
      <xdr:spPr>
        <a:xfrm flipH="1">
          <a:off x="8451850" y="8566150"/>
          <a:ext cx="5035550" cy="1270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838200</xdr:colOff>
      <xdr:row>39</xdr:row>
      <xdr:rowOff>0</xdr:rowOff>
    </xdr:from>
    <xdr:to>
      <xdr:col>15</xdr:col>
      <xdr:colOff>88900</xdr:colOff>
      <xdr:row>39</xdr:row>
      <xdr:rowOff>12700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7ADFEB00-8518-4476-B81D-57A62245F77D}"/>
            </a:ext>
          </a:extLst>
        </xdr:cNvPr>
        <xdr:cNvCxnSpPr/>
      </xdr:nvCxnSpPr>
      <xdr:spPr>
        <a:xfrm flipH="1">
          <a:off x="8547100" y="8280400"/>
          <a:ext cx="4083050" cy="1270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825500</xdr:colOff>
      <xdr:row>39</xdr:row>
      <xdr:rowOff>152400</xdr:rowOff>
    </xdr:from>
    <xdr:to>
      <xdr:col>13</xdr:col>
      <xdr:colOff>622300</xdr:colOff>
      <xdr:row>39</xdr:row>
      <xdr:rowOff>158750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49147B3A-DC40-4E9A-AD25-1EA27E903678}"/>
            </a:ext>
          </a:extLst>
        </xdr:cNvPr>
        <xdr:cNvCxnSpPr/>
      </xdr:nvCxnSpPr>
      <xdr:spPr>
        <a:xfrm flipH="1">
          <a:off x="8534400" y="8432800"/>
          <a:ext cx="3346450" cy="6350"/>
        </a:xfrm>
        <a:prstGeom prst="line">
          <a:avLst/>
        </a:prstGeom>
        <a:ln w="127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2.064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13,'0'-6,"0"0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2.713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0 74,'0'-5,"0"-9,0-3</inkml:trace>
  <inkml:trace contextRef="#ctx0" brushRef="#br0" timeOffset="571.57">0 0,'0'0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4:21:34.045"/>
    </inkml:context>
    <inkml:brush xml:id="br0">
      <inkml:brushProperty name="width" value="0.35" units="cm"/>
      <inkml:brushProperty name="height" value="2.1" units="cm"/>
      <inkml:brushProperty name="color" value="#849398"/>
      <inkml:brushProperty name="ignorePressure" value="1"/>
      <inkml:brushProperty name="inkEffects" value="pencil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DB8-65F2-4ABE-B707-8C7210CEE88D}">
  <dimension ref="B3:AM47"/>
  <sheetViews>
    <sheetView tabSelected="1" topLeftCell="D34" zoomScale="60" zoomScaleNormal="60" workbookViewId="0">
      <selection activeCell="W11" sqref="W11"/>
    </sheetView>
  </sheetViews>
  <sheetFormatPr defaultRowHeight="14.4" x14ac:dyDescent="0.55000000000000004"/>
  <cols>
    <col min="3" max="3" width="10.5234375" customWidth="1"/>
    <col min="4" max="5" width="16.7890625" customWidth="1"/>
    <col min="6" max="6" width="13.578125" customWidth="1"/>
    <col min="7" max="7" width="15.7890625" customWidth="1"/>
    <col min="8" max="8" width="15.3671875" customWidth="1"/>
    <col min="9" max="9" width="13.578125" customWidth="1"/>
    <col min="22" max="22" width="15.89453125" customWidth="1"/>
    <col min="23" max="23" width="19.578125" customWidth="1"/>
    <col min="24" max="24" width="16.20703125" customWidth="1"/>
    <col min="25" max="25" width="21.47265625" customWidth="1"/>
    <col min="26" max="26" width="19.05078125" customWidth="1"/>
    <col min="27" max="27" width="21.15625" customWidth="1"/>
  </cols>
  <sheetData>
    <row r="3" spans="3:39" x14ac:dyDescent="0.55000000000000004">
      <c r="U3" s="13"/>
      <c r="V3" s="13"/>
      <c r="W3" s="13"/>
      <c r="X3" s="13"/>
      <c r="Y3" s="13"/>
      <c r="Z3" s="13"/>
      <c r="AA3" s="13"/>
      <c r="AB3" s="13"/>
    </row>
    <row r="4" spans="3:39" x14ac:dyDescent="0.55000000000000004">
      <c r="U4" s="13"/>
      <c r="V4" s="13"/>
      <c r="W4" s="13"/>
      <c r="X4" s="13"/>
      <c r="Y4" s="13"/>
      <c r="Z4" s="13"/>
      <c r="AA4" s="13"/>
      <c r="AB4" s="13"/>
    </row>
    <row r="5" spans="3:39" ht="54.6" customHeight="1" x14ac:dyDescent="0.55000000000000004">
      <c r="C5" s="3" t="s">
        <v>3</v>
      </c>
      <c r="D5" s="3" t="s">
        <v>4</v>
      </c>
      <c r="E5" s="3" t="s">
        <v>5</v>
      </c>
      <c r="F5" s="3" t="s">
        <v>0</v>
      </c>
      <c r="G5" s="4" t="s">
        <v>1</v>
      </c>
      <c r="H5" s="6" t="s">
        <v>2</v>
      </c>
      <c r="I5" s="7"/>
      <c r="U5" s="13"/>
      <c r="V5" s="34"/>
      <c r="W5" s="34"/>
      <c r="X5" s="34"/>
      <c r="Y5" s="34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3:39" ht="15.3" x14ac:dyDescent="0.55000000000000004">
      <c r="C6" s="5">
        <v>1</v>
      </c>
      <c r="D6" s="5"/>
      <c r="E6" s="5"/>
      <c r="F6" s="5">
        <v>5</v>
      </c>
      <c r="G6" s="5">
        <v>6</v>
      </c>
      <c r="H6" s="9">
        <v>7</v>
      </c>
      <c r="I6" s="11"/>
      <c r="U6" s="13"/>
      <c r="V6" s="35"/>
      <c r="W6" s="35"/>
      <c r="X6" s="35"/>
      <c r="Y6" s="35"/>
      <c r="Z6" s="1"/>
      <c r="AA6" s="45"/>
      <c r="AB6" s="45"/>
      <c r="AC6" s="45"/>
      <c r="AD6" s="45"/>
      <c r="AE6" s="45"/>
      <c r="AF6" s="45"/>
      <c r="AG6" s="17"/>
      <c r="AH6" s="14"/>
      <c r="AI6" s="1"/>
      <c r="AJ6" s="1"/>
      <c r="AK6" s="1"/>
      <c r="AL6" s="1"/>
      <c r="AM6" s="1"/>
    </row>
    <row r="7" spans="3:39" ht="15.3" x14ac:dyDescent="0.55000000000000004">
      <c r="C7" s="5"/>
      <c r="D7" s="5"/>
      <c r="E7" s="5"/>
      <c r="F7" s="5"/>
      <c r="G7" s="5"/>
      <c r="H7" s="9"/>
      <c r="I7" s="11"/>
      <c r="U7" s="13"/>
      <c r="V7" s="35"/>
      <c r="W7" s="35"/>
      <c r="X7" s="35"/>
      <c r="Y7" s="35"/>
      <c r="Z7" s="1"/>
      <c r="AA7" s="45"/>
      <c r="AB7" s="45"/>
      <c r="AC7" s="45"/>
      <c r="AD7" s="45"/>
      <c r="AE7" s="45"/>
      <c r="AF7" s="45"/>
      <c r="AG7" s="17"/>
      <c r="AH7" s="14"/>
      <c r="AI7" s="1"/>
      <c r="AJ7" s="1"/>
      <c r="AK7" s="1"/>
      <c r="AL7" s="1"/>
      <c r="AM7" s="1"/>
    </row>
    <row r="8" spans="3:39" ht="15.3" x14ac:dyDescent="0.55000000000000004">
      <c r="C8" s="26">
        <v>1.9</v>
      </c>
      <c r="D8" s="26">
        <v>51</v>
      </c>
      <c r="E8" s="26">
        <v>51</v>
      </c>
      <c r="F8" s="16">
        <f t="shared" ref="F8:F17" si="0">IF(2*C8&lt; 5,340.5,IF(AND(2*C8&gt;= 5, 2*C8 &lt; 7),340.5 - 70.5 * (7 - 2*C8)/2,IF(AND(2*C8 &gt;= 7, 2*C8 &lt; 8),340.5 - 128 * (2*C8 - 7),IF(AND(2*C8 &gt;= 8, 2*C8 &lt; 8.28),212.5 - 5.357 * (2*C8 - 8),IF(2*C8 = 8.28,211,IF(AND(2*C8 &gt; 8.28, 2*C8 &lt; 20),180,IF(2*C8 &gt;= 20,6 + 174 * EXP(-3.5 * (2*C8 - 20)),"Ошибка")))))))</f>
        <v>340.5</v>
      </c>
      <c r="G8" s="18" t="str">
        <f t="shared" ref="G8:G17" si="1">IF(2*C8 &lt; 5,"Сингулярность",IF(AND(2*C8 &gt;= 5, 2*C8 &lt; 7),"Предбифуркация",IF(AND(2*C8 &gt;= 7, 2*C8&lt;= 8.28),"Бифуркация", IF(AND(2*C8&gt; 8.28, 2*C8 &lt; 20),"Стабилизация", IF(2*C8 &gt;= 20,"Распад", "Н/Д")))))</f>
        <v>Сингулярность</v>
      </c>
      <c r="H8" s="9"/>
      <c r="I8" s="11"/>
      <c r="U8" s="13"/>
      <c r="V8" s="36"/>
      <c r="W8" s="36"/>
      <c r="X8" s="36"/>
      <c r="Y8" s="37"/>
      <c r="Z8" s="1"/>
      <c r="AA8" s="14"/>
      <c r="AB8" s="14"/>
      <c r="AC8" s="14"/>
      <c r="AD8" s="14"/>
      <c r="AE8" s="14"/>
      <c r="AF8" s="14"/>
      <c r="AG8" s="14"/>
      <c r="AH8" s="14"/>
      <c r="AI8" s="1"/>
      <c r="AJ8" s="1"/>
      <c r="AK8" s="1"/>
      <c r="AL8" s="1"/>
      <c r="AM8" s="1"/>
    </row>
    <row r="9" spans="3:39" ht="15.3" x14ac:dyDescent="0.55000000000000004">
      <c r="C9" s="21">
        <v>2.1</v>
      </c>
      <c r="D9" s="21">
        <v>58</v>
      </c>
      <c r="E9" s="21">
        <v>58</v>
      </c>
      <c r="F9" s="16">
        <f t="shared" si="0"/>
        <v>340.5</v>
      </c>
      <c r="G9" s="18" t="str">
        <f t="shared" si="1"/>
        <v>Сингулярность</v>
      </c>
      <c r="H9" s="19" t="str">
        <f>IF(AND(2*C9 &gt;= 8.28, 2*C9 &lt; 20),31 * EXP(-0.15 * (2*C9 - 8.28)),"")</f>
        <v/>
      </c>
      <c r="I9" s="20"/>
      <c r="U9" s="13"/>
      <c r="V9" s="38"/>
      <c r="W9" s="38"/>
      <c r="X9" s="38"/>
      <c r="Y9" s="37"/>
      <c r="Z9" s="1"/>
      <c r="AA9" s="14"/>
      <c r="AB9" s="14"/>
      <c r="AC9" s="14"/>
      <c r="AD9" s="14"/>
      <c r="AE9" s="17"/>
      <c r="AF9" s="17"/>
      <c r="AG9" s="14"/>
      <c r="AH9" s="14"/>
      <c r="AI9" s="1"/>
      <c r="AJ9" s="1"/>
      <c r="AK9" s="1"/>
      <c r="AL9" s="1"/>
      <c r="AM9" s="1"/>
    </row>
    <row r="10" spans="3:39" ht="14.1" customHeight="1" x14ac:dyDescent="0.55000000000000004">
      <c r="C10" s="27">
        <v>2.5</v>
      </c>
      <c r="D10" s="27">
        <v>165</v>
      </c>
      <c r="E10" s="27">
        <v>208</v>
      </c>
      <c r="F10" s="28">
        <f t="shared" si="0"/>
        <v>270</v>
      </c>
      <c r="G10" s="29" t="str">
        <f t="shared" si="1"/>
        <v>Предбифуркация</v>
      </c>
      <c r="H10" s="19"/>
      <c r="I10" s="20"/>
      <c r="U10" s="13"/>
      <c r="V10" s="39"/>
      <c r="W10" s="39"/>
      <c r="X10" s="39"/>
      <c r="Y10" s="40"/>
      <c r="Z10" s="1"/>
      <c r="AA10" s="14"/>
      <c r="AB10" s="14"/>
      <c r="AC10" s="14"/>
      <c r="AD10" s="14"/>
      <c r="AE10" s="14"/>
      <c r="AF10" s="14"/>
      <c r="AG10" s="14"/>
      <c r="AH10" s="14"/>
      <c r="AI10" s="1"/>
      <c r="AJ10" s="1"/>
      <c r="AK10" s="1"/>
      <c r="AL10" s="1"/>
      <c r="AM10" s="1"/>
    </row>
    <row r="11" spans="3:39" ht="20.100000000000001" customHeight="1" x14ac:dyDescent="0.55000000000000004">
      <c r="C11" s="27">
        <v>2.6</v>
      </c>
      <c r="D11" s="27">
        <v>73</v>
      </c>
      <c r="E11" s="27">
        <v>113</v>
      </c>
      <c r="F11" s="28">
        <f t="shared" si="0"/>
        <v>277.05</v>
      </c>
      <c r="G11" s="29" t="str">
        <f t="shared" si="1"/>
        <v>Предбифуркация</v>
      </c>
      <c r="H11" s="19"/>
      <c r="I11" s="20"/>
      <c r="U11" s="13"/>
      <c r="V11" s="39"/>
      <c r="W11" s="39"/>
      <c r="X11" s="39"/>
      <c r="Y11" s="40"/>
      <c r="Z11" s="1"/>
      <c r="AA11" s="14"/>
      <c r="AB11" s="14"/>
      <c r="AC11" s="14"/>
      <c r="AD11" s="14"/>
      <c r="AE11" s="14"/>
      <c r="AF11" s="14"/>
      <c r="AG11" s="14"/>
      <c r="AH11" s="14"/>
      <c r="AI11" s="1"/>
      <c r="AJ11" s="1"/>
      <c r="AK11" s="1"/>
      <c r="AL11" s="1"/>
      <c r="AM11" s="1"/>
    </row>
    <row r="12" spans="3:39" ht="15.3" x14ac:dyDescent="0.55000000000000004">
      <c r="C12" s="30">
        <v>3</v>
      </c>
      <c r="D12" s="30">
        <v>60</v>
      </c>
      <c r="E12" s="30">
        <v>200</v>
      </c>
      <c r="F12" s="28">
        <f t="shared" si="0"/>
        <v>305.25</v>
      </c>
      <c r="G12" s="29" t="str">
        <f t="shared" si="1"/>
        <v>Предбифуркация</v>
      </c>
      <c r="H12" s="19"/>
      <c r="I12" s="12"/>
      <c r="U12" s="13"/>
      <c r="V12" s="41"/>
      <c r="W12" s="41"/>
      <c r="X12" s="41"/>
      <c r="Y12" s="40"/>
      <c r="Z12" s="1"/>
      <c r="AA12" s="14"/>
      <c r="AB12" s="14"/>
      <c r="AC12" s="14"/>
      <c r="AD12" s="14"/>
      <c r="AE12" s="17"/>
      <c r="AF12" s="14"/>
      <c r="AG12" s="14"/>
      <c r="AH12" s="14"/>
      <c r="AI12" s="1"/>
      <c r="AJ12" s="1"/>
      <c r="AK12" s="1"/>
      <c r="AL12" s="1"/>
      <c r="AM12" s="1"/>
    </row>
    <row r="13" spans="3:39" ht="15.3" x14ac:dyDescent="0.55000000000000004">
      <c r="C13" s="15">
        <v>4.1399999999999997</v>
      </c>
      <c r="D13" s="15">
        <v>149</v>
      </c>
      <c r="E13" s="15">
        <v>211</v>
      </c>
      <c r="F13" s="16">
        <f t="shared" si="0"/>
        <v>211</v>
      </c>
      <c r="G13" s="18" t="str">
        <f t="shared" si="1"/>
        <v>Бифуркация</v>
      </c>
      <c r="H13" s="19">
        <f>IF(AND(2*C13 &gt;= 8.28, 2*C13 &lt; 20),31 * EXP(-0.15 * (2*C13 - 8.28)),"")</f>
        <v>31</v>
      </c>
      <c r="I13" s="12"/>
      <c r="U13" s="13"/>
      <c r="V13" s="42"/>
      <c r="W13" s="42"/>
      <c r="X13" s="42"/>
      <c r="Y13" s="37"/>
      <c r="Z13" s="1"/>
      <c r="AA13" s="14"/>
      <c r="AB13" s="14"/>
      <c r="AC13" s="14"/>
      <c r="AD13" s="14"/>
      <c r="AE13" s="14"/>
      <c r="AF13" s="14"/>
      <c r="AG13" s="14"/>
      <c r="AH13" s="14"/>
      <c r="AI13" s="1"/>
      <c r="AJ13" s="1"/>
      <c r="AK13" s="1"/>
      <c r="AL13" s="1"/>
      <c r="AM13" s="1"/>
    </row>
    <row r="14" spans="3:39" ht="15.3" x14ac:dyDescent="0.55000000000000004">
      <c r="C14" s="15">
        <v>5.14</v>
      </c>
      <c r="D14" s="15">
        <v>170</v>
      </c>
      <c r="E14" s="15">
        <v>211</v>
      </c>
      <c r="F14" s="16">
        <f t="shared" si="0"/>
        <v>180</v>
      </c>
      <c r="G14" s="18" t="str">
        <f t="shared" si="1"/>
        <v>Стабилизация</v>
      </c>
      <c r="H14" s="19">
        <f>IF(AND(2*C14 &gt;= 8.28, 2*C14 &lt; 20),31 * EXP(-0.15 * (2*C14 - 8.28)),"")</f>
        <v>22.965364841133255</v>
      </c>
      <c r="I14" s="12"/>
      <c r="U14" s="13"/>
      <c r="V14" s="42"/>
      <c r="W14" s="42"/>
      <c r="X14" s="42"/>
      <c r="Y14" s="37"/>
      <c r="Z14" s="1"/>
      <c r="AA14" s="14"/>
      <c r="AB14" s="14"/>
      <c r="AC14" s="14"/>
      <c r="AD14" s="14"/>
      <c r="AE14" s="14"/>
      <c r="AF14" s="14"/>
      <c r="AG14" s="14"/>
      <c r="AH14" s="14"/>
      <c r="AI14" s="1"/>
      <c r="AJ14" s="1"/>
      <c r="AK14" s="1"/>
      <c r="AL14" s="1"/>
      <c r="AM14" s="1"/>
    </row>
    <row r="15" spans="3:39" ht="15.3" x14ac:dyDescent="0.55000000000000004">
      <c r="C15" s="23">
        <v>5.4</v>
      </c>
      <c r="D15" s="23">
        <v>169</v>
      </c>
      <c r="E15" s="23">
        <v>187</v>
      </c>
      <c r="F15" s="22">
        <f t="shared" si="0"/>
        <v>180</v>
      </c>
      <c r="G15" s="24" t="str">
        <f t="shared" si="1"/>
        <v>Стабилизация</v>
      </c>
      <c r="H15" s="25">
        <f>IF(AND(2*C15 &gt;= 8.28, 2*C15 &lt; 20),31 * EXP(-0.15 * (2*C15 - 8.28)),"")</f>
        <v>21.242145520641976</v>
      </c>
      <c r="I15" s="12"/>
      <c r="U15" s="13"/>
      <c r="V15" s="43"/>
      <c r="W15" s="43"/>
      <c r="X15" s="43"/>
      <c r="Y15" s="44"/>
      <c r="Z15" s="1"/>
      <c r="AA15" s="14"/>
      <c r="AB15" s="14"/>
      <c r="AC15" s="14"/>
      <c r="AD15" s="14"/>
      <c r="AE15" s="14"/>
      <c r="AF15" s="14"/>
      <c r="AG15" s="14"/>
      <c r="AH15" s="14"/>
      <c r="AI15" s="1"/>
      <c r="AJ15" s="1"/>
      <c r="AK15" s="1"/>
      <c r="AL15" s="1"/>
      <c r="AM15" s="1"/>
    </row>
    <row r="16" spans="3:39" x14ac:dyDescent="0.55000000000000004">
      <c r="C16" s="23">
        <v>7.14</v>
      </c>
      <c r="D16" s="23">
        <v>172</v>
      </c>
      <c r="E16" s="23">
        <v>188</v>
      </c>
      <c r="F16" s="22">
        <f t="shared" si="0"/>
        <v>180</v>
      </c>
      <c r="G16" s="24" t="str">
        <f t="shared" si="1"/>
        <v>Стабилизация</v>
      </c>
      <c r="H16" s="25">
        <f>IF(AND(2*C16 &gt;= 8.28, 2*C16 &lt; 20),31 * EXP(-0.15 * (2*C16 - 8.28)),"")</f>
        <v>12.603659451958574</v>
      </c>
      <c r="I16" s="12"/>
      <c r="U16" s="13"/>
      <c r="V16" s="43"/>
      <c r="W16" s="43"/>
      <c r="X16" s="43"/>
      <c r="Y16" s="44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3:39" x14ac:dyDescent="0.55000000000000004">
      <c r="C17" s="15">
        <v>10.82</v>
      </c>
      <c r="D17" s="15">
        <v>6</v>
      </c>
      <c r="E17" s="23"/>
      <c r="F17" s="22">
        <f t="shared" si="0"/>
        <v>6.5593696799033943</v>
      </c>
      <c r="G17" s="18" t="str">
        <f t="shared" si="1"/>
        <v>Распад</v>
      </c>
      <c r="H17" s="10" t="str">
        <f>IF(AND(2*C17 &gt;= 8.28, 2*C17 &lt; 20),31 * EXP(-0.15 * (2*C17 - 8.28)),"")</f>
        <v/>
      </c>
      <c r="U17" s="13"/>
      <c r="V17" s="42"/>
      <c r="W17" s="42"/>
      <c r="X17" s="42"/>
      <c r="Y17" s="37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3:39" x14ac:dyDescent="0.55000000000000004">
      <c r="U18" s="13"/>
      <c r="V18" s="13"/>
      <c r="W18" s="13"/>
      <c r="X18" s="13"/>
      <c r="Y18" s="13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3:39" x14ac:dyDescent="0.55000000000000004">
      <c r="U19" s="13"/>
      <c r="V19" s="13"/>
      <c r="W19" s="13"/>
      <c r="X19" s="13"/>
      <c r="Y19" s="13"/>
      <c r="Z19" s="8"/>
      <c r="AA19" s="8"/>
      <c r="AB19" s="8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3:39" x14ac:dyDescent="0.55000000000000004"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3:39" x14ac:dyDescent="0.55000000000000004"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3:39" x14ac:dyDescent="0.55000000000000004"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34" spans="2:18" ht="43.2" x14ac:dyDescent="0.55000000000000004">
      <c r="C34" s="3" t="s">
        <v>3</v>
      </c>
      <c r="D34" s="3" t="s">
        <v>4</v>
      </c>
      <c r="E34" s="3" t="s">
        <v>5</v>
      </c>
      <c r="F34" s="3" t="s">
        <v>0</v>
      </c>
      <c r="G34" s="4" t="s">
        <v>1</v>
      </c>
      <c r="H34" s="6" t="s">
        <v>2</v>
      </c>
      <c r="I34" s="17"/>
      <c r="R34" s="2"/>
    </row>
    <row r="35" spans="2:18" ht="15.3" x14ac:dyDescent="0.55000000000000004">
      <c r="C35" s="5">
        <v>1</v>
      </c>
      <c r="D35" s="5"/>
      <c r="E35" s="5"/>
      <c r="F35" s="5">
        <v>5</v>
      </c>
      <c r="G35" s="5">
        <v>6</v>
      </c>
      <c r="H35" s="9">
        <v>7</v>
      </c>
      <c r="I35" s="14"/>
      <c r="R35" s="2"/>
    </row>
    <row r="36" spans="2:18" ht="15.3" x14ac:dyDescent="0.55000000000000004">
      <c r="B36">
        <v>1</v>
      </c>
      <c r="C36" s="26">
        <v>1.9</v>
      </c>
      <c r="D36" s="26">
        <v>51</v>
      </c>
      <c r="E36" s="26">
        <v>51</v>
      </c>
      <c r="F36" s="16">
        <f t="shared" ref="F36:F47" si="2">IF(2*C36&lt; 5,340.5,IF(AND(2*C36&gt;= 5, 2*C36 &lt; 7),340.5 - 70.5 * (7 - 2*C36)/2,IF(AND(2*C36 &gt;= 7, 2*C36 &lt; 8),340.5 - 128 * (2*C36 - 7),IF(AND(2*C36 &gt;= 8, 2*C36 &lt; 8.28),212.5 - 5.357 * (2*C36 - 8),IF(2*C36 = 8.28,211,IF(AND(2*C36 &gt; 8.28, 2*C36 &lt; 20),180,IF(2*C36 &gt;= 20,6 + 174 * EXP(-3.5 * (2*C36 - 20)),"Ошибка")))))))</f>
        <v>340.5</v>
      </c>
      <c r="G36" s="18" t="str">
        <f t="shared" ref="G36:G47" si="3">IF(2*C36 &lt; 5,"Сингулярность",IF(AND(2*C36 &gt;= 5, 2*C36 &lt; 7),"Предбифуркация",IF(AND(2*C36 &gt;= 7, 2*C36&lt;= 8.28),"Бифуркация", IF(AND(2*C36&gt; 8.28, 2*C36 &lt; 20),"Стабилизация", IF(2*C36 &gt;= 20,"Распад", "Н/Д")))))</f>
        <v>Сингулярность</v>
      </c>
      <c r="H36" s="19" t="str">
        <f t="shared" ref="H36:H42" si="4">IF(AND(2*C36 &gt;= 8.28, 2*C36 &lt; 20),31 * EXP(-0.15 * (2*C36 - 8.28)),"")</f>
        <v/>
      </c>
      <c r="R36" s="2"/>
    </row>
    <row r="37" spans="2:18" ht="15.3" x14ac:dyDescent="0.55000000000000004">
      <c r="B37">
        <v>2</v>
      </c>
      <c r="C37" s="21">
        <v>2.1</v>
      </c>
      <c r="D37" s="21">
        <v>58</v>
      </c>
      <c r="E37" s="21">
        <v>58</v>
      </c>
      <c r="F37" s="16">
        <f t="shared" si="2"/>
        <v>340.5</v>
      </c>
      <c r="G37" s="18" t="str">
        <f t="shared" si="3"/>
        <v>Сингулярность</v>
      </c>
      <c r="H37" s="19" t="str">
        <f t="shared" si="4"/>
        <v/>
      </c>
      <c r="I37" s="14"/>
      <c r="R37" s="2"/>
    </row>
    <row r="38" spans="2:18" ht="15.3" x14ac:dyDescent="0.55000000000000004">
      <c r="B38">
        <v>3</v>
      </c>
      <c r="C38" s="27">
        <v>2.5</v>
      </c>
      <c r="D38" s="27">
        <v>165</v>
      </c>
      <c r="E38" s="27">
        <v>208</v>
      </c>
      <c r="F38" s="28">
        <f t="shared" si="2"/>
        <v>270</v>
      </c>
      <c r="G38" s="29" t="str">
        <f t="shared" si="3"/>
        <v>Предбифуркация</v>
      </c>
      <c r="H38" s="19" t="str">
        <f t="shared" si="4"/>
        <v/>
      </c>
      <c r="I38" s="14"/>
      <c r="R38" s="2"/>
    </row>
    <row r="39" spans="2:18" ht="15.3" x14ac:dyDescent="0.55000000000000004">
      <c r="B39">
        <v>4</v>
      </c>
      <c r="C39" s="27">
        <v>2.6</v>
      </c>
      <c r="D39" s="27">
        <v>73</v>
      </c>
      <c r="E39" s="27">
        <v>113</v>
      </c>
      <c r="F39" s="28">
        <f t="shared" si="2"/>
        <v>277.05</v>
      </c>
      <c r="G39" s="29" t="str">
        <f t="shared" si="3"/>
        <v>Предбифуркация</v>
      </c>
      <c r="H39" s="19" t="str">
        <f t="shared" si="4"/>
        <v/>
      </c>
      <c r="I39" s="14"/>
      <c r="R39" s="2"/>
    </row>
    <row r="40" spans="2:18" ht="15.3" x14ac:dyDescent="0.55000000000000004">
      <c r="B40">
        <v>5</v>
      </c>
      <c r="C40" s="30">
        <v>3</v>
      </c>
      <c r="D40" s="30">
        <v>60</v>
      </c>
      <c r="E40" s="30">
        <v>200</v>
      </c>
      <c r="F40" s="28">
        <f t="shared" si="2"/>
        <v>305.25</v>
      </c>
      <c r="G40" s="29" t="str">
        <f t="shared" si="3"/>
        <v>Предбифуркация</v>
      </c>
      <c r="H40" s="19" t="str">
        <f t="shared" si="4"/>
        <v/>
      </c>
      <c r="I40" s="14"/>
      <c r="R40" s="2"/>
    </row>
    <row r="41" spans="2:18" ht="15.3" x14ac:dyDescent="0.55000000000000004">
      <c r="B41">
        <v>6</v>
      </c>
      <c r="C41" s="31">
        <v>3.5</v>
      </c>
      <c r="D41" s="31">
        <v>340.5</v>
      </c>
      <c r="E41" s="31">
        <v>249</v>
      </c>
      <c r="F41" s="32">
        <f t="shared" si="2"/>
        <v>340.5</v>
      </c>
      <c r="G41" s="33" t="str">
        <f t="shared" si="3"/>
        <v>Бифуркация</v>
      </c>
      <c r="H41" s="19" t="str">
        <f t="shared" si="4"/>
        <v/>
      </c>
      <c r="I41" s="14"/>
      <c r="R41" s="2"/>
    </row>
    <row r="42" spans="2:18" ht="15.3" x14ac:dyDescent="0.55000000000000004">
      <c r="B42">
        <v>7</v>
      </c>
      <c r="C42" s="30">
        <v>4</v>
      </c>
      <c r="D42" s="30">
        <v>212.5</v>
      </c>
      <c r="E42" s="30">
        <v>249</v>
      </c>
      <c r="F42" s="28">
        <f t="shared" si="2"/>
        <v>212.5</v>
      </c>
      <c r="G42" s="29" t="str">
        <f t="shared" si="3"/>
        <v>Бифуркация</v>
      </c>
      <c r="H42" s="19" t="str">
        <f t="shared" si="4"/>
        <v/>
      </c>
      <c r="I42" s="14"/>
      <c r="R42" s="2"/>
    </row>
    <row r="43" spans="2:18" ht="15.3" x14ac:dyDescent="0.55000000000000004">
      <c r="B43">
        <v>8</v>
      </c>
      <c r="C43" s="15">
        <v>4.1399999999999997</v>
      </c>
      <c r="D43" s="15">
        <v>149</v>
      </c>
      <c r="E43" s="15">
        <v>211</v>
      </c>
      <c r="F43" s="16">
        <f t="shared" si="2"/>
        <v>211</v>
      </c>
      <c r="G43" s="18" t="str">
        <f t="shared" si="3"/>
        <v>Бифуркация</v>
      </c>
      <c r="H43" s="19">
        <f>IF(AND(2*C43 &gt;= 8.28, 2*C43 &lt; 20),31 * EXP(-0.15 * (2*C43 - 8.28)),"")</f>
        <v>31</v>
      </c>
      <c r="I43" s="14"/>
      <c r="R43" s="2"/>
    </row>
    <row r="44" spans="2:18" ht="15.3" x14ac:dyDescent="0.55000000000000004">
      <c r="B44">
        <v>9</v>
      </c>
      <c r="C44" s="15">
        <v>5.14</v>
      </c>
      <c r="D44" s="15">
        <v>170</v>
      </c>
      <c r="E44" s="15">
        <v>211</v>
      </c>
      <c r="F44" s="16">
        <f t="shared" si="2"/>
        <v>180</v>
      </c>
      <c r="G44" s="18" t="str">
        <f t="shared" si="3"/>
        <v>Стабилизация</v>
      </c>
      <c r="H44" s="19">
        <f t="shared" ref="H44:H47" si="5">IF(AND(2*C44 &gt;= 8.28, 2*C44 &lt; 20),31 * EXP(-0.15 * (2*C44 - 8.28)),"")</f>
        <v>22.965364841133255</v>
      </c>
      <c r="I44" s="14"/>
      <c r="R44" s="2"/>
    </row>
    <row r="45" spans="2:18" x14ac:dyDescent="0.55000000000000004">
      <c r="B45">
        <v>10</v>
      </c>
      <c r="C45" s="23">
        <v>5.4</v>
      </c>
      <c r="D45" s="23">
        <v>169</v>
      </c>
      <c r="E45" s="23">
        <v>187</v>
      </c>
      <c r="F45" s="22">
        <f t="shared" si="2"/>
        <v>180</v>
      </c>
      <c r="G45" s="24" t="str">
        <f t="shared" si="3"/>
        <v>Стабилизация</v>
      </c>
      <c r="H45" s="19">
        <f t="shared" si="5"/>
        <v>21.242145520641976</v>
      </c>
    </row>
    <row r="46" spans="2:18" x14ac:dyDescent="0.55000000000000004">
      <c r="B46">
        <v>11</v>
      </c>
      <c r="C46" s="23">
        <v>7.14</v>
      </c>
      <c r="D46" s="23">
        <v>172</v>
      </c>
      <c r="E46" s="23">
        <v>188</v>
      </c>
      <c r="F46" s="22">
        <f t="shared" si="2"/>
        <v>180</v>
      </c>
      <c r="G46" s="24" t="str">
        <f t="shared" si="3"/>
        <v>Стабилизация</v>
      </c>
      <c r="H46" s="19">
        <f t="shared" si="5"/>
        <v>12.603659451958574</v>
      </c>
    </row>
    <row r="47" spans="2:18" x14ac:dyDescent="0.55000000000000004">
      <c r="B47">
        <v>12</v>
      </c>
      <c r="C47" s="15">
        <v>10.82</v>
      </c>
      <c r="D47" s="15">
        <v>6</v>
      </c>
      <c r="E47" s="23"/>
      <c r="F47" s="22">
        <f t="shared" si="2"/>
        <v>6.5593696799033943</v>
      </c>
      <c r="G47" s="18" t="str">
        <f t="shared" si="3"/>
        <v>Распад</v>
      </c>
      <c r="H47" s="19" t="str">
        <f t="shared" si="5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2025-07-21T08:29:42Z</dcterms:modified>
</cp:coreProperties>
</file>