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2\Desktop\Законы Овчииников на 04.08\Законы\Модель Universal Law Topological Evolution v1.0_2025.pdf\"/>
    </mc:Choice>
  </mc:AlternateContent>
  <xr:revisionPtr revIDLastSave="0" documentId="13_ncr:1_{C7A9A110-78AD-4F8D-8593-9F9944E50443}" xr6:coauthVersionLast="47" xr6:coauthVersionMax="47" xr10:uidLastSave="{00000000-0000-0000-0000-000000000000}"/>
  <bookViews>
    <workbookView xWindow="-96" yWindow="-96" windowWidth="17472" windowHeight="10992" xr2:uid="{00000000-000D-0000-FFFF-FFFF00000000}"/>
  </bookViews>
  <sheets>
    <sheet name="UTE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2" l="1"/>
  <c r="C23" i="2"/>
  <c r="C21" i="2"/>
  <c r="C15" i="2"/>
  <c r="C16" i="2"/>
  <c r="C14" i="2"/>
  <c r="A21" i="2"/>
  <c r="A15" i="2"/>
  <c r="A23" i="2" s="1"/>
  <c r="A16" i="2"/>
  <c r="A14" i="2"/>
  <c r="A22" i="2" s="1"/>
  <c r="L6" i="2" l="1"/>
  <c r="C8" i="2"/>
  <c r="E8" i="2" s="1"/>
  <c r="C7" i="2"/>
  <c r="E7" i="2" s="1"/>
  <c r="C6" i="2"/>
  <c r="B7" i="2"/>
  <c r="X7" i="2" s="1"/>
  <c r="L7" i="2"/>
  <c r="M7" i="2"/>
  <c r="N7" i="2"/>
  <c r="O7" i="2"/>
  <c r="B8" i="2"/>
  <c r="V8" i="2" s="1"/>
  <c r="L8" i="2"/>
  <c r="M8" i="2"/>
  <c r="N8" i="2"/>
  <c r="O8" i="2"/>
  <c r="O6" i="2"/>
  <c r="N6" i="2"/>
  <c r="M6" i="2"/>
  <c r="B21" i="2" l="1"/>
  <c r="W7" i="2"/>
  <c r="B22" i="2"/>
  <c r="Q7" i="2"/>
  <c r="P7" i="2"/>
  <c r="T7" i="2" s="1"/>
  <c r="V7" i="2"/>
  <c r="Y7" i="2" s="1"/>
  <c r="Q6" i="2"/>
  <c r="P6" i="2"/>
  <c r="U6" i="2" s="1"/>
  <c r="B23" i="2"/>
  <c r="Q8" i="2"/>
  <c r="P8" i="2"/>
  <c r="T8" i="2" s="1"/>
  <c r="F8" i="2"/>
  <c r="G8" i="2"/>
  <c r="H8" i="2"/>
  <c r="F7" i="2"/>
  <c r="G7" i="2"/>
  <c r="H7" i="2"/>
  <c r="W8" i="2"/>
  <c r="AA8" i="2"/>
  <c r="Z8" i="2"/>
  <c r="X8" i="2"/>
  <c r="AA7" i="2"/>
  <c r="Z7" i="2"/>
  <c r="E6" i="2"/>
  <c r="H6" i="2" s="1"/>
  <c r="B6" i="2"/>
  <c r="Z6" i="2" s="1"/>
  <c r="T6" i="2" l="1"/>
  <c r="U8" i="2"/>
  <c r="U7" i="2"/>
  <c r="D23" i="2"/>
  <c r="E23" i="2"/>
  <c r="D21" i="2"/>
  <c r="E21" i="2"/>
  <c r="J6" i="2"/>
  <c r="D22" i="2"/>
  <c r="E22" i="2"/>
  <c r="AC8" i="2"/>
  <c r="I6" i="2"/>
  <c r="K6" i="2" s="1"/>
  <c r="AB8" i="2"/>
  <c r="I8" i="2"/>
  <c r="K8" i="2" s="1"/>
  <c r="J8" i="2"/>
  <c r="AB7" i="2"/>
  <c r="I7" i="2"/>
  <c r="J7" i="2"/>
  <c r="Y8" i="2"/>
  <c r="AC7" i="2"/>
  <c r="AB6" i="2"/>
  <c r="X6" i="2"/>
  <c r="V6" i="2"/>
  <c r="W6" i="2"/>
  <c r="AA6" i="2"/>
  <c r="F6" i="2"/>
  <c r="G6" i="2"/>
  <c r="B16" i="2" l="1"/>
  <c r="K7" i="2"/>
  <c r="B15" i="2" s="1"/>
  <c r="B14" i="2"/>
  <c r="AC6" i="2"/>
  <c r="Y6" i="2"/>
  <c r="E16" i="2" l="1"/>
  <c r="D16" i="2"/>
  <c r="E15" i="2"/>
  <c r="D15" i="2"/>
  <c r="E14" i="2"/>
  <c r="D14" i="2"/>
</calcChain>
</file>

<file path=xl/sharedStrings.xml><?xml version="1.0" encoding="utf-8"?>
<sst xmlns="http://schemas.openxmlformats.org/spreadsheetml/2006/main" count="42" uniqueCount="32">
  <si>
    <t>ПИ</t>
  </si>
  <si>
    <t>МАХ</t>
  </si>
  <si>
    <t>2ПИ</t>
  </si>
  <si>
    <t>2ПИ(А)/МАКС</t>
  </si>
  <si>
    <t>Безразмерный угол</t>
  </si>
  <si>
    <t>Х</t>
  </si>
  <si>
    <t>Y</t>
  </si>
  <si>
    <t>Z</t>
  </si>
  <si>
    <t>F</t>
  </si>
  <si>
    <t>Кривизна F</t>
  </si>
  <si>
    <t>G</t>
  </si>
  <si>
    <t>Кручение</t>
  </si>
  <si>
    <t>Физические значения</t>
  </si>
  <si>
    <t>L0(Б.радиус)</t>
  </si>
  <si>
    <t>L0(Планк)</t>
  </si>
  <si>
    <t>L(идеал)</t>
  </si>
  <si>
    <t>Наименование</t>
  </si>
  <si>
    <t>λ</t>
  </si>
  <si>
    <t>θ (расчетная в ExcеI )</t>
  </si>
  <si>
    <t>Физический статус системы</t>
  </si>
  <si>
    <t>Разброс в зоне стабилизации (±Δθ)</t>
  </si>
  <si>
    <t>θ</t>
  </si>
  <si>
    <t>Параметрические значения спирали</t>
  </si>
  <si>
    <t>L(идеал)( учет темп.эффект)</t>
  </si>
  <si>
    <t>L(идеал)( учет коэфф.упаковки)</t>
  </si>
  <si>
    <t>Коэфф упаковки, Кх</t>
  </si>
  <si>
    <t>Температура, К</t>
  </si>
  <si>
    <t>Z(θ=2π)=L(идеал)</t>
  </si>
  <si>
    <t>1. Расчет (Определение исходных параметрических и физических значений)/Calculation (Determination of initial parametric and physical values)</t>
  </si>
  <si>
    <t>2. Расчет (Параметрические значения)/Calculation (Parametric values)</t>
  </si>
  <si>
    <t>Универсальный тополого-энергетический закон эволюции и динамической стабильности систем (закон Овчинникова)/The universal topological-energy law of evolution and dynamic stability of systems (Ovchinnikov's law)</t>
  </si>
  <si>
    <t>3. Расчет (Физические значения)/Calculation (Physical values)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</si>
</sst>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F2F2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5" borderId="2" applyNumberFormat="0" applyAlignment="0" applyProtection="0"/>
  </cellStyleXfs>
  <cellXfs count="39">
    <xf numFmtId="0" fontId="0" fillId="0" borderId="0" xfId="0"/>
    <xf numFmtId="0" fontId="0" fillId="2" borderId="0" xfId="0" applyFill="1"/>
    <xf numFmtId="0" fontId="0" fillId="4" borderId="0" xfId="0" applyFill="1"/>
    <xf numFmtId="0" fontId="2" fillId="0" borderId="0" xfId="0" applyFont="1"/>
    <xf numFmtId="0" fontId="1" fillId="5" borderId="2" xfId="1" applyAlignment="1">
      <alignment horizontal="center" vertical="center"/>
    </xf>
    <xf numFmtId="4" fontId="1" fillId="5" borderId="2" xfId="1" applyNumberFormat="1" applyAlignment="1">
      <alignment horizontal="center" vertical="center" wrapText="1"/>
    </xf>
    <xf numFmtId="49" fontId="1" fillId="5" borderId="2" xfId="1" applyNumberFormat="1" applyAlignment="1">
      <alignment horizontal="center" vertical="center" wrapText="1"/>
    </xf>
    <xf numFmtId="0" fontId="1" fillId="5" borderId="2" xfId="1" applyAlignment="1">
      <alignment horizontal="center" vertical="center" wrapText="1"/>
    </xf>
    <xf numFmtId="3" fontId="1" fillId="5" borderId="2" xfId="1" applyNumberFormat="1" applyAlignment="1">
      <alignment horizontal="center" vertical="center" wrapText="1"/>
    </xf>
    <xf numFmtId="2" fontId="1" fillId="5" borderId="2" xfId="1" applyNumberFormat="1" applyAlignment="1">
      <alignment horizontal="center" vertical="center"/>
    </xf>
    <xf numFmtId="0" fontId="2" fillId="0" borderId="1" xfId="0" applyFont="1" applyBorder="1"/>
    <xf numFmtId="0" fontId="0" fillId="2" borderId="0" xfId="0" applyFill="1" applyBorder="1"/>
    <xf numFmtId="0" fontId="1" fillId="2" borderId="0" xfId="1" applyFill="1" applyBorder="1" applyAlignment="1">
      <alignment horizontal="center" vertical="center" wrapText="1"/>
    </xf>
    <xf numFmtId="0" fontId="1" fillId="2" borderId="0" xfId="1" applyFill="1" applyBorder="1" applyAlignment="1">
      <alignment horizontal="center" vertical="center"/>
    </xf>
    <xf numFmtId="2" fontId="1" fillId="2" borderId="0" xfId="1" applyNumberFormat="1" applyFill="1" applyBorder="1" applyAlignment="1">
      <alignment horizontal="center" vertical="center"/>
    </xf>
    <xf numFmtId="0" fontId="3" fillId="0" borderId="0" xfId="0" applyFont="1"/>
    <xf numFmtId="0" fontId="2" fillId="3" borderId="0" xfId="0" applyFont="1" applyFill="1"/>
    <xf numFmtId="0" fontId="2" fillId="3" borderId="5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2" fontId="2" fillId="6" borderId="1" xfId="0" applyNumberFormat="1" applyFont="1" applyFill="1" applyBorder="1"/>
    <xf numFmtId="0" fontId="2" fillId="4" borderId="1" xfId="0" applyFont="1" applyFill="1" applyBorder="1"/>
    <xf numFmtId="165" fontId="2" fillId="4" borderId="1" xfId="0" applyNumberFormat="1" applyFont="1" applyFill="1" applyBorder="1"/>
    <xf numFmtId="164" fontId="4" fillId="3" borderId="1" xfId="0" applyNumberFormat="1" applyFont="1" applyFill="1" applyBorder="1"/>
    <xf numFmtId="164" fontId="2" fillId="4" borderId="1" xfId="0" applyNumberFormat="1" applyFont="1" applyFill="1" applyBorder="1"/>
    <xf numFmtId="1" fontId="2" fillId="3" borderId="1" xfId="0" applyNumberFormat="1" applyFont="1" applyFill="1" applyBorder="1"/>
    <xf numFmtId="164" fontId="2" fillId="6" borderId="1" xfId="0" applyNumberFormat="1" applyFont="1" applyFill="1" applyBorder="1"/>
    <xf numFmtId="0" fontId="2" fillId="3" borderId="1" xfId="0" applyFont="1" applyFill="1" applyBorder="1"/>
    <xf numFmtId="165" fontId="2" fillId="3" borderId="1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 wrapText="1"/>
    </xf>
  </cellXfs>
  <cellStyles count="2">
    <cellStyle name="Вычисление" xfId="1" builtinId="2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27DC-9A75-4BAA-9D07-33FEB5BB5256}">
  <dimension ref="A1:AC246"/>
  <sheetViews>
    <sheetView tabSelected="1" zoomScale="40" zoomScaleNormal="40" workbookViewId="0">
      <selection activeCell="J42" sqref="J42"/>
    </sheetView>
  </sheetViews>
  <sheetFormatPr defaultRowHeight="14.4" x14ac:dyDescent="0.55000000000000004"/>
  <cols>
    <col min="1" max="1" width="18.578125" customWidth="1"/>
    <col min="2" max="2" width="15.20703125" style="2" customWidth="1"/>
    <col min="3" max="3" width="15.41796875" style="2" customWidth="1"/>
    <col min="4" max="4" width="15.68359375" style="2" customWidth="1"/>
    <col min="5" max="5" width="15.734375" customWidth="1"/>
    <col min="6" max="6" width="13.3125" customWidth="1"/>
    <col min="9" max="9" width="12.734375" customWidth="1"/>
    <col min="11" max="11" width="11.62890625" customWidth="1"/>
    <col min="15" max="15" width="21.83984375" customWidth="1"/>
    <col min="16" max="17" width="12.734375" customWidth="1"/>
    <col min="18" max="18" width="15.62890625" customWidth="1"/>
    <col min="19" max="20" width="28.83984375" customWidth="1"/>
    <col min="21" max="21" width="27.7890625" customWidth="1"/>
    <col min="22" max="24" width="8.83984375" style="2" customWidth="1"/>
    <col min="26" max="27" width="8.83984375" style="2" customWidth="1"/>
    <col min="28" max="28" width="9.15625" style="2" customWidth="1"/>
  </cols>
  <sheetData>
    <row r="1" spans="1:29" ht="18.3" x14ac:dyDescent="0.7">
      <c r="A1" s="15" t="s">
        <v>30</v>
      </c>
      <c r="B1" s="1"/>
      <c r="C1" s="1"/>
      <c r="D1" s="1"/>
      <c r="V1" s="1"/>
      <c r="W1" s="1"/>
      <c r="X1" s="1"/>
      <c r="Y1" s="1"/>
      <c r="Z1" s="1"/>
      <c r="AA1" s="1"/>
      <c r="AB1" s="1"/>
      <c r="AC1" s="1"/>
    </row>
    <row r="2" spans="1:29" x14ac:dyDescent="0.55000000000000004">
      <c r="B2" s="1"/>
      <c r="C2" s="1"/>
      <c r="D2" s="1"/>
      <c r="V2" s="1"/>
      <c r="W2" s="1"/>
      <c r="X2" s="1"/>
      <c r="Y2" s="1"/>
      <c r="Z2" s="1"/>
      <c r="AA2" s="1"/>
      <c r="AB2" s="1"/>
      <c r="AC2" s="1"/>
    </row>
    <row r="3" spans="1:29" s="1" customFormat="1" x14ac:dyDescent="0.55000000000000004">
      <c r="A3" s="10" t="s">
        <v>28</v>
      </c>
    </row>
    <row r="4" spans="1:29" ht="14.4" customHeight="1" x14ac:dyDescent="0.55000000000000004">
      <c r="A4" s="16"/>
      <c r="B4" s="33" t="s">
        <v>4</v>
      </c>
      <c r="C4" s="33"/>
      <c r="D4" s="33"/>
      <c r="E4" s="33"/>
      <c r="F4" s="35" t="s">
        <v>22</v>
      </c>
      <c r="G4" s="35"/>
      <c r="H4" s="35"/>
      <c r="I4" s="35"/>
      <c r="J4" s="35"/>
      <c r="K4" s="35"/>
      <c r="L4" s="36" t="s">
        <v>12</v>
      </c>
      <c r="M4" s="37"/>
      <c r="N4" s="37"/>
      <c r="O4" s="37"/>
      <c r="P4" s="37"/>
      <c r="Q4" s="37"/>
      <c r="R4" s="37"/>
      <c r="S4" s="37"/>
      <c r="T4" s="38"/>
      <c r="U4" s="17"/>
      <c r="V4" s="34" t="s">
        <v>9</v>
      </c>
      <c r="W4" s="34"/>
      <c r="X4" s="34"/>
      <c r="Y4" s="34"/>
      <c r="Z4" s="34" t="s">
        <v>11</v>
      </c>
      <c r="AA4" s="34"/>
      <c r="AB4" s="34"/>
      <c r="AC4" s="34"/>
    </row>
    <row r="5" spans="1:29" x14ac:dyDescent="0.55000000000000004">
      <c r="A5" s="18" t="s">
        <v>16</v>
      </c>
      <c r="B5" s="19" t="s">
        <v>0</v>
      </c>
      <c r="C5" s="19" t="s">
        <v>1</v>
      </c>
      <c r="D5" s="19" t="s">
        <v>2</v>
      </c>
      <c r="E5" s="19" t="s">
        <v>3</v>
      </c>
      <c r="F5" s="19" t="s">
        <v>5</v>
      </c>
      <c r="G5" s="19" t="s">
        <v>6</v>
      </c>
      <c r="H5" s="20" t="s">
        <v>7</v>
      </c>
      <c r="I5" s="19" t="s">
        <v>13</v>
      </c>
      <c r="J5" s="19" t="s">
        <v>14</v>
      </c>
      <c r="K5" s="21" t="s">
        <v>15</v>
      </c>
      <c r="L5" s="19" t="s">
        <v>5</v>
      </c>
      <c r="M5" s="19" t="s">
        <v>6</v>
      </c>
      <c r="N5" s="19" t="s">
        <v>7</v>
      </c>
      <c r="O5" s="18" t="s">
        <v>27</v>
      </c>
      <c r="P5" s="19" t="s">
        <v>13</v>
      </c>
      <c r="Q5" s="19" t="s">
        <v>14</v>
      </c>
      <c r="R5" s="19" t="s">
        <v>26</v>
      </c>
      <c r="S5" s="19" t="s">
        <v>25</v>
      </c>
      <c r="T5" s="21" t="s">
        <v>23</v>
      </c>
      <c r="U5" s="21" t="s">
        <v>24</v>
      </c>
      <c r="V5" s="19"/>
      <c r="W5" s="19"/>
      <c r="X5" s="19"/>
      <c r="Y5" s="21" t="s">
        <v>8</v>
      </c>
      <c r="Z5" s="22"/>
      <c r="AA5" s="22"/>
      <c r="AB5" s="22"/>
      <c r="AC5" s="23" t="s">
        <v>10</v>
      </c>
    </row>
    <row r="6" spans="1:29" x14ac:dyDescent="0.55000000000000004">
      <c r="A6" s="24">
        <v>17</v>
      </c>
      <c r="B6" s="25">
        <f>PI()</f>
        <v>3.1415926535897931</v>
      </c>
      <c r="C6" s="25">
        <f>MAX(A6:A8)</f>
        <v>48</v>
      </c>
      <c r="D6" s="25">
        <v>6.2831849999999996</v>
      </c>
      <c r="E6" s="26">
        <f t="shared" ref="E6:E8" si="0">D6*A6/C6</f>
        <v>2.2252946874999999</v>
      </c>
      <c r="F6" s="26">
        <f>LN(1 + E6) * COS(E6)</f>
        <v>-0.71287433861796645</v>
      </c>
      <c r="G6" s="26">
        <f>LN(1 + E6) * SIN(E6)</f>
        <v>0.92903613501003701</v>
      </c>
      <c r="H6" s="27">
        <f t="shared" ref="H6:H8" si="1">0.5 * (E6^1.5)</f>
        <v>1.6597829576936767</v>
      </c>
      <c r="I6" s="28">
        <f>H6*(0.0000000000529)</f>
        <v>8.7802518461995497E-11</v>
      </c>
      <c r="J6" s="28">
        <f t="shared" ref="J6:J8" si="2">H6*(1.62E-35)</f>
        <v>2.6888483914637564E-35</v>
      </c>
      <c r="K6" s="29">
        <f>(H6^1.5)*(I6+86-13-13/137)/100</f>
        <v>1.5589598058707705</v>
      </c>
      <c r="L6" s="28">
        <f>(LN(1 + A6)*COS(A6))*0.000000000000386</f>
        <v>-3.0699519566952957E-13</v>
      </c>
      <c r="M6" s="28">
        <f xml:space="preserve"> (LN(1 + A6)*SIN(A6))*0.000000000000386</f>
        <v>-1.072615317235379E-12</v>
      </c>
      <c r="N6" s="28">
        <f xml:space="preserve"> (A6^1.5)*0.00000000000243</f>
        <v>1.7032549339426563E-10</v>
      </c>
      <c r="O6" s="30">
        <f>(A6^1.5)*(0.000000000000386-13/137)*(2*PI())</f>
        <v>-41.790352611432318</v>
      </c>
      <c r="P6" s="28">
        <f>O6*(0.0000000000529)</f>
        <v>-2.2107096531447695E-9</v>
      </c>
      <c r="Q6" s="28">
        <f t="shared" ref="Q6:Q8" si="3">O6*(1.62E-35)</f>
        <v>-6.7700371230520361E-34</v>
      </c>
      <c r="R6" s="28">
        <v>500</v>
      </c>
      <c r="S6" s="28">
        <v>5</v>
      </c>
      <c r="T6" s="29">
        <f>O6/(P6*(1+0.002*(R6-300)))</f>
        <v>13502565487.442616</v>
      </c>
      <c r="U6" s="29">
        <f>O6/(P6*SQRT(1+0.01*(S6-0.5)))</f>
        <v>18492097846.673668</v>
      </c>
      <c r="V6" s="25">
        <f>DEGREES(((COS(B6)/(1+B6) - LN(1+B6)*SIN(B6))^2 +((SIN(B6))/((1+B6)+LN(1+B6)*COS(B6)))^2))</f>
        <v>3.34031842560639</v>
      </c>
      <c r="W6" s="25">
        <f>(1.5*DEGREES((B6)^2)/(1 + 1/(1+B6))^2)</f>
        <v>550.36786380060028</v>
      </c>
      <c r="X6" s="25">
        <f>(1.5*DEGREES(B6)^2)^1.5</f>
        <v>10714068.134933611</v>
      </c>
      <c r="Y6" s="31">
        <f>V6+W6+X6</f>
        <v>10714621.843115838</v>
      </c>
      <c r="Z6" s="26">
        <f>(((1.5/(2*DEGREES(B6)))*((SIN(B6)/(1+B6))+LN(1+B6)*COS(B6)))-((COS(B6)/(1+B6)^2-SIN(B6)/(1+B6)-LN(1+B6)*SIN(B6))))</f>
        <v>5.2378386205221998E-2</v>
      </c>
      <c r="AA6" s="26">
        <f>((1.5*DEGREES(B6)))</f>
        <v>270</v>
      </c>
      <c r="AB6" s="26">
        <f>(H6^2 * ((1/(1+B6))^2) + (LN(1+B6)^2) + (1.5*(DEGREES(B6)^2 )))</f>
        <v>48602.180077785488</v>
      </c>
      <c r="AC6" s="32">
        <f>Z6*AA6/AB6</f>
        <v>2.9097798190896119E-4</v>
      </c>
    </row>
    <row r="7" spans="1:29" x14ac:dyDescent="0.55000000000000004">
      <c r="A7" s="24">
        <v>30</v>
      </c>
      <c r="B7" s="25">
        <f>PI()</f>
        <v>3.1415926535897931</v>
      </c>
      <c r="C7" s="25">
        <f>MAX(A6:A8)</f>
        <v>48</v>
      </c>
      <c r="D7" s="25">
        <v>6.2831849999999996</v>
      </c>
      <c r="E7" s="26">
        <f t="shared" si="0"/>
        <v>3.9269906249999997</v>
      </c>
      <c r="F7" s="26">
        <f>LN(1 + E7) * COS(E7)</f>
        <v>-1.1276434686928669</v>
      </c>
      <c r="G7" s="26">
        <f t="shared" ref="G7:G8" si="4">LN(1 + E7) * SIN(E7)</f>
        <v>-1.1276430357066314</v>
      </c>
      <c r="H7" s="27">
        <f>0.5 * (E7^1.5)</f>
        <v>3.8909871902628166</v>
      </c>
      <c r="I7" s="28">
        <f t="shared" ref="I7:I8" si="5">H7*(0.0000000000529)</f>
        <v>2.0583322236490299E-10</v>
      </c>
      <c r="J7" s="28">
        <f t="shared" si="2"/>
        <v>6.3033992482257635E-35</v>
      </c>
      <c r="K7" s="29">
        <f t="shared" ref="K7:K8" si="6">(H7^1.5)*(I7+86-13-13/137)/100</f>
        <v>5.5956129691819436</v>
      </c>
      <c r="L7" s="28">
        <f>(LN(1 + A7)*COS(A7))*0.000000000000386</f>
        <v>2.044632370022767E-13</v>
      </c>
      <c r="M7" s="28">
        <f xml:space="preserve"> (LN(1 + A7)*SIN(A7))*0.000000000000386</f>
        <v>-1.3096547505379644E-12</v>
      </c>
      <c r="N7" s="28">
        <f xml:space="preserve"> (A7^1.5)*0.00000000000243</f>
        <v>3.9928974442126601E-10</v>
      </c>
      <c r="O7" s="30">
        <f>(A7^1.5)*(0.000000000000386-13/137)*(2*PI())</f>
        <v>-97.968066206436603</v>
      </c>
      <c r="P7" s="28">
        <f t="shared" ref="P7:P8" si="7">O7*(0.0000000000529)</f>
        <v>-5.1825107023204959E-9</v>
      </c>
      <c r="Q7" s="28">
        <f t="shared" si="3"/>
        <v>-1.5870826725442732E-33</v>
      </c>
      <c r="R7" s="28">
        <v>500</v>
      </c>
      <c r="S7" s="28">
        <v>5</v>
      </c>
      <c r="T7" s="29">
        <f>O7/(P7*(1+0.002*(R7-300)))</f>
        <v>13502565487.442616</v>
      </c>
      <c r="U7" s="29">
        <f t="shared" ref="U7:U8" si="8">O7/(P7*SQRT(1+0.01*(S7-0.5)))</f>
        <v>18492097846.673668</v>
      </c>
      <c r="V7" s="25">
        <f>DEGREES(((COS(B7)/(1+B7) - LN(1+B7)*SIN(B7))^2 +((SIN(B7))/((1+B7)+LN(1+B7)*COS(B7)))^2))</f>
        <v>3.34031842560639</v>
      </c>
      <c r="W7" s="25">
        <f>(1.5*DEGREES((B7)^2)/(1 + 1/(1+B7))^2)</f>
        <v>550.36786380060028</v>
      </c>
      <c r="X7" s="25">
        <f>(1.5*DEGREES(B7)^2)^1.5</f>
        <v>10714068.134933611</v>
      </c>
      <c r="Y7" s="31">
        <f t="shared" ref="Y7:Y8" si="9">V7+W7+X7</f>
        <v>10714621.843115838</v>
      </c>
      <c r="Z7" s="26">
        <f>(((1.5/(2*DEGREES(B7)))*((SIN(B7)/(1+B7))+LN(1+B7)*COS(B7)))-((COS(B7)/(1+B7)^2-SIN(B7)/(1+B7)-LN(1+B7)*SIN(B7))))</f>
        <v>5.2378386205221998E-2</v>
      </c>
      <c r="AA7" s="26">
        <f>((1.5*DEGREES(B7)))</f>
        <v>270</v>
      </c>
      <c r="AB7" s="26">
        <f>(H7^2 * ((1/(1+B7))^2) + (LN(1+B7)^2) + (1.5*(DEGREES(B7)^2 )))</f>
        <v>48602.902112046897</v>
      </c>
      <c r="AC7" s="32">
        <f t="shared" ref="AC7:AC8" si="10">Z7*AA7</f>
        <v>14.142164275409939</v>
      </c>
    </row>
    <row r="8" spans="1:29" x14ac:dyDescent="0.55000000000000004">
      <c r="A8" s="24">
        <v>48</v>
      </c>
      <c r="B8" s="25">
        <f>PI()</f>
        <v>3.1415926535897931</v>
      </c>
      <c r="C8" s="25">
        <f>MAX(A5:A8)</f>
        <v>48</v>
      </c>
      <c r="D8" s="25">
        <v>6.2831849999999996</v>
      </c>
      <c r="E8" s="26">
        <f t="shared" si="0"/>
        <v>6.2831849999999996</v>
      </c>
      <c r="F8" s="26">
        <f t="shared" ref="F8" si="11">LN(1 + E8) * COS(E8)</f>
        <v>1.9855682665332801</v>
      </c>
      <c r="G8" s="26">
        <f t="shared" si="4"/>
        <v>-6.0992603987760077E-7</v>
      </c>
      <c r="H8" s="27">
        <f t="shared" si="1"/>
        <v>7.8748043953724371</v>
      </c>
      <c r="I8" s="28">
        <f t="shared" si="5"/>
        <v>4.1657715251520193E-10</v>
      </c>
      <c r="J8" s="28">
        <f t="shared" si="2"/>
        <v>1.275718312050335E-34</v>
      </c>
      <c r="K8" s="29">
        <f t="shared" si="6"/>
        <v>16.110819391238003</v>
      </c>
      <c r="L8" s="28">
        <f>(LN(1 + A8)*COS(A8))*0.000000000000386</f>
        <v>-9.6165211934980455E-13</v>
      </c>
      <c r="M8" s="28">
        <f xml:space="preserve"> (LN(1 + A8)*SIN(A8))*0.000000000000386</f>
        <v>-1.1541049068322149E-12</v>
      </c>
      <c r="N8" s="28">
        <f xml:space="preserve"> (A8^1.5)*0.00000000000243</f>
        <v>8.0810562477933578E-10</v>
      </c>
      <c r="O8" s="30">
        <f>(A8^1.5)*(0.000000000000386-13/137)*(2*PI())</f>
        <v>-198.27342539168731</v>
      </c>
      <c r="P8" s="28">
        <f t="shared" si="7"/>
        <v>-1.0488664203220258E-8</v>
      </c>
      <c r="Q8" s="28">
        <f t="shared" si="3"/>
        <v>-3.2120294913453347E-33</v>
      </c>
      <c r="R8" s="28">
        <v>500</v>
      </c>
      <c r="S8" s="28">
        <v>5</v>
      </c>
      <c r="T8" s="29">
        <f>O8/(P8*(1+0.002*(R8-300)))</f>
        <v>13502565487.442616</v>
      </c>
      <c r="U8" s="29">
        <f t="shared" si="8"/>
        <v>18492097846.673668</v>
      </c>
      <c r="V8" s="25">
        <f>DEGREES(((COS(B8)/(1+B8) - LN(1+B8)*SIN(B8))^2 +((SIN(B8))/((1+B8)+LN(1+B8)*COS(B8)))^2))</f>
        <v>3.34031842560639</v>
      </c>
      <c r="W8" s="25">
        <f>(1.5*DEGREES((B8)^2)/(1 + 1/(1+B8))^2)</f>
        <v>550.36786380060028</v>
      </c>
      <c r="X8" s="25">
        <f>(1.5*DEGREES(B8)^2)^1.5</f>
        <v>10714068.134933611</v>
      </c>
      <c r="Y8" s="31">
        <f t="shared" si="9"/>
        <v>10714621.843115838</v>
      </c>
      <c r="Z8" s="26">
        <f>(((1.5/(2*DEGREES(B8)))*((SIN(B8)/(1+B8))+LN(1+B8)*COS(B8)))-((COS(B8)/(1+B8)^2-SIN(B8)/(1+B8)-LN(1+B8)*SIN(B8))))</f>
        <v>5.2378386205221998E-2</v>
      </c>
      <c r="AA8" s="26">
        <f>((1.5*DEGREES(B8)))</f>
        <v>270</v>
      </c>
      <c r="AB8" s="26">
        <f>(H8^2 * ((1/(1+B8))^2) + (LN(1+B8)^2) + (1.5*(DEGREES(B8)^2 )))</f>
        <v>48605.634773249411</v>
      </c>
      <c r="AC8" s="32">
        <f t="shared" si="10"/>
        <v>14.142164275409939</v>
      </c>
    </row>
    <row r="9" spans="1:29" s="1" customFormat="1" x14ac:dyDescent="0.55000000000000004"/>
    <row r="10" spans="1:29" s="1" customFormat="1" x14ac:dyDescent="0.55000000000000004"/>
    <row r="11" spans="1:29" s="1" customFormat="1" x14ac:dyDescent="0.55000000000000004">
      <c r="A11" s="3" t="s">
        <v>29</v>
      </c>
      <c r="B11"/>
      <c r="C11"/>
      <c r="D11"/>
    </row>
    <row r="12" spans="1:29" s="1" customFormat="1" ht="44.1" customHeight="1" x14ac:dyDescent="0.55000000000000004">
      <c r="A12" s="4" t="s">
        <v>16</v>
      </c>
      <c r="B12" s="5" t="s">
        <v>17</v>
      </c>
      <c r="C12" s="5" t="s">
        <v>21</v>
      </c>
      <c r="D12" s="6" t="s">
        <v>19</v>
      </c>
      <c r="E12" s="7" t="s">
        <v>20</v>
      </c>
      <c r="F12" s="12"/>
      <c r="G12" s="11"/>
    </row>
    <row r="13" spans="1:29" s="1" customFormat="1" x14ac:dyDescent="0.55000000000000004">
      <c r="A13" s="4">
        <v>1</v>
      </c>
      <c r="B13" s="8">
        <v>2</v>
      </c>
      <c r="C13" s="8">
        <v>3</v>
      </c>
      <c r="D13" s="8">
        <v>4</v>
      </c>
      <c r="E13" s="8">
        <v>5</v>
      </c>
      <c r="F13" s="13"/>
      <c r="G13" s="11"/>
    </row>
    <row r="14" spans="1:29" x14ac:dyDescent="0.55000000000000004">
      <c r="A14" s="5">
        <f>A6</f>
        <v>17</v>
      </c>
      <c r="B14" s="5">
        <f>IF(I6&lt;&gt;0, K6, "Ошибка: L₀=0")</f>
        <v>1.5589598058707705</v>
      </c>
      <c r="C14" s="9">
        <f>IF(B14&lt;1, 340.5,
  IF(AND(B14&gt;=1,B14&lt; 7), 340.5,
    IF(AND(B14&gt;=7,B14&lt; 8.28), 340.5-101.17*(B14-7),
      IF(AND(B14&gt;=8.28,B14&lt;= 8.31), (149+211)/2,
        IF(AND(B14&gt;8.31,B14&lt; 20), 180+31*EXP(-0.15*(B14-8.28)),
          IF(B14&gt;=20, 6+174*EXP(-0.25*(B14-20)),
            "вне диапазона"))))))</f>
        <v>340.5</v>
      </c>
      <c r="D14" s="4" t="str">
        <f t="shared" ref="D14:D16" si="12">IF(2*B14 &lt; 5,"Сингулярность",IF(AND(2*B14 &gt;= 5, 2*B14 &lt; 7),"Предбифуркация",IF(AND(2*B14 &gt;= 7, 2*B14&lt;= 8.28),"Бифуркация", IF(AND(2*B14&gt; 8.28, 2*B14 &lt; 20),"Стабилизация", IF(2*B14 &gt;= 20,"Распад", "Н/Д")))))</f>
        <v>Сингулярность</v>
      </c>
      <c r="E14" s="4" t="str">
        <f>IF(AND(2*B14 &gt;= 8.28, 2*B14 &lt; 20),31 * EXP(-0.15 * (2*B14 - 8.28)),"")</f>
        <v/>
      </c>
      <c r="F14" s="14"/>
      <c r="G14" s="1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55000000000000004">
      <c r="A15" s="5">
        <f t="shared" ref="A15:A16" si="13">A7</f>
        <v>30</v>
      </c>
      <c r="B15" s="5">
        <f t="shared" ref="B15:B16" si="14">IF(I7&lt;&gt;0, K7, "Ошибка: L₀=0")</f>
        <v>5.5956129691819436</v>
      </c>
      <c r="C15" s="9">
        <f t="shared" ref="C15:C16" si="15">IF(B15&lt;1, 340.5,
  IF(AND(B15&gt;=1,B15&lt; 7), 340.5,
    IF(AND(B15&gt;=7,B15&lt; 8.28), 340.5-101.17*(B15-7),
      IF(AND(B15&gt;=8.28,B15&lt;= 8.31), (149+211)/2,
        IF(AND(B15&gt;8.31,B15&lt; 20), 180+31*EXP(-0.15*(B15-8.28)),
          IF(B15&gt;=20, 6+174*EXP(-0.25*(B15-20)),
            "вне диапазона"))))))</f>
        <v>340.5</v>
      </c>
      <c r="D15" s="4" t="str">
        <f t="shared" si="12"/>
        <v>Стабилизация</v>
      </c>
      <c r="E15" s="4">
        <f t="shared" ref="E15:E16" si="16">IF(AND(2*B15 &gt;= 8.28, 2*B15 &lt; 20),31 * EXP(-0.15 * (2*B15 - 8.28)),"")</f>
        <v>20.031445498134183</v>
      </c>
      <c r="F15" s="14"/>
      <c r="G15" s="1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55000000000000004">
      <c r="A16" s="5">
        <f t="shared" si="13"/>
        <v>48</v>
      </c>
      <c r="B16" s="5">
        <f t="shared" si="14"/>
        <v>16.110819391238003</v>
      </c>
      <c r="C16" s="9">
        <f t="shared" si="15"/>
        <v>189.57699909267473</v>
      </c>
      <c r="D16" s="4" t="str">
        <f t="shared" si="12"/>
        <v>Распад</v>
      </c>
      <c r="E16" s="4" t="str">
        <f t="shared" si="16"/>
        <v/>
      </c>
      <c r="F16" s="14"/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55000000000000004">
      <c r="A17" s="1"/>
      <c r="B17" s="1"/>
      <c r="C17" s="1"/>
      <c r="D17" s="1"/>
      <c r="E17" s="1"/>
      <c r="F17" s="11"/>
      <c r="G17" s="1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55000000000000004">
      <c r="A18" s="3" t="s">
        <v>31</v>
      </c>
      <c r="B18"/>
      <c r="C18"/>
      <c r="D18"/>
      <c r="E18" s="1"/>
      <c r="F18" s="11"/>
      <c r="G18" s="1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43.2" x14ac:dyDescent="0.55000000000000004">
      <c r="A19" s="4" t="s">
        <v>16</v>
      </c>
      <c r="B19" s="5" t="s">
        <v>17</v>
      </c>
      <c r="C19" s="5" t="s">
        <v>18</v>
      </c>
      <c r="D19" s="6" t="s">
        <v>19</v>
      </c>
      <c r="E19" s="7" t="s">
        <v>20</v>
      </c>
      <c r="F19" s="12"/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55000000000000004">
      <c r="A20" s="4">
        <v>1</v>
      </c>
      <c r="B20" s="8">
        <v>2</v>
      </c>
      <c r="C20" s="8">
        <v>3</v>
      </c>
      <c r="D20" s="8">
        <v>4</v>
      </c>
      <c r="E20" s="8">
        <v>5</v>
      </c>
      <c r="F20" s="13"/>
      <c r="G20" s="1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55000000000000004">
      <c r="A21" s="5">
        <f>A13</f>
        <v>1</v>
      </c>
      <c r="B21" s="5">
        <f>IF(O6&lt;&gt;0, O6, "Ошибка: L₀=0")</f>
        <v>-41.790352611432318</v>
      </c>
      <c r="C21" s="9">
        <f>IF(B21&lt;1, 340.5,
  IF(AND(B21&gt;=1,B21&lt; 7), 340.5,
    IF(AND(B21&gt;=7,B21&lt; 8.28), 340.5-101.17*(B21-7),
      IF(AND(B21&gt;=8.28,B21&lt;= 8.31), (149+211)/2,
        IF(AND(B21&gt;8.31,B21&lt; 20), 180+31*EXP(-0.15*(B21-8.28)),
          IF(B21&gt;=20, 6+174*EXP(-0.25*(B21-20)),
            "вне диапазона"))))))</f>
        <v>340.5</v>
      </c>
      <c r="D21" s="4" t="str">
        <f t="shared" ref="D21:D23" si="17">IF(2*B21 &lt; 5,"Сингулярность",IF(AND(2*B21 &gt;= 5, 2*B21 &lt; 7),"Предбифуркация",IF(AND(2*B21 &gt;= 7, 2*B21&lt;= 8.28),"Бифуркация", IF(AND(2*B21&gt; 8.28, 2*B21 &lt; 20),"Стабилизация", IF(2*B21 &gt;= 20,"Распад", "Н/Д")))))</f>
        <v>Сингулярность</v>
      </c>
      <c r="E21" s="4" t="str">
        <f>IF(AND(2*B21 &gt;= 8.28, 2*B21 &lt; 20),31 * EXP(-0.15 * (2*B21 - 8.28)),"")</f>
        <v/>
      </c>
      <c r="F21" s="14"/>
      <c r="G21" s="1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55000000000000004">
      <c r="A22" s="5">
        <f t="shared" ref="A22:A23" si="18">A14</f>
        <v>17</v>
      </c>
      <c r="B22" s="5">
        <f t="shared" ref="B22:B23" si="19">IF(O7&lt;&gt;0, O7, "Ошибка: L₀=0")</f>
        <v>-97.968066206436603</v>
      </c>
      <c r="C22" s="9">
        <f t="shared" ref="C22:C23" si="20">IF(B22&lt;1, 340.5,
  IF(AND(B22&gt;=1,B22&lt; 7), 340.5,
    IF(AND(B22&gt;=7,B22&lt; 8.28), 340.5-101.17*(B22-7),
      IF(AND(B22&gt;=8.28,B22&lt;= 8.31), (149+211)/2,
        IF(AND(B22&gt;8.31,B22&lt; 20), 180+31*EXP(-0.15*(B22-8.28)),
          IF(B22&gt;=20, 6+174*EXP(-0.25*(B22-20)),
            "вне диапазона"))))))</f>
        <v>340.5</v>
      </c>
      <c r="D22" s="4" t="str">
        <f t="shared" si="17"/>
        <v>Сингулярность</v>
      </c>
      <c r="E22" s="4" t="str">
        <f t="shared" ref="E22:E23" si="21">IF(AND(2*B22 &gt;= 8.28, 2*B22 &lt; 20),31 * EXP(-0.15 * (2*B22 - 8.28)),"")</f>
        <v/>
      </c>
      <c r="F22" s="14"/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55000000000000004">
      <c r="A23" s="5">
        <f t="shared" si="18"/>
        <v>30</v>
      </c>
      <c r="B23" s="5">
        <f t="shared" si="19"/>
        <v>-198.27342539168731</v>
      </c>
      <c r="C23" s="9">
        <f t="shared" si="20"/>
        <v>340.5</v>
      </c>
      <c r="D23" s="4" t="str">
        <f t="shared" si="17"/>
        <v>Сингулярность</v>
      </c>
      <c r="E23" s="4" t="str">
        <f t="shared" si="21"/>
        <v/>
      </c>
      <c r="F23" s="14"/>
      <c r="G23" s="1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5500000000000000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5500000000000000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5500000000000000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5500000000000000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5500000000000000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5500000000000000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5500000000000000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5500000000000000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5500000000000000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5500000000000000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5500000000000000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5500000000000000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5500000000000000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5500000000000000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5500000000000000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5500000000000000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5500000000000000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5500000000000000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5500000000000000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5500000000000000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5500000000000000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5500000000000000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5500000000000000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5500000000000000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5500000000000000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5500000000000000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5500000000000000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5500000000000000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5500000000000000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5500000000000000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5500000000000000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5500000000000000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5500000000000000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5500000000000000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5500000000000000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5500000000000000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5500000000000000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5500000000000000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5500000000000000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5500000000000000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x14ac:dyDescent="0.5500000000000000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5500000000000000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x14ac:dyDescent="0.5500000000000000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5500000000000000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550000000000000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5500000000000000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5500000000000000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5500000000000000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x14ac:dyDescent="0.5500000000000000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5500000000000000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x14ac:dyDescent="0.5500000000000000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5500000000000000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5500000000000000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5500000000000000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5500000000000000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5500000000000000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x14ac:dyDescent="0.5500000000000000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5500000000000000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x14ac:dyDescent="0.5500000000000000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5500000000000000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5500000000000000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5500000000000000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5500000000000000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5500000000000000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x14ac:dyDescent="0.5500000000000000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5500000000000000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x14ac:dyDescent="0.5500000000000000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5500000000000000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5500000000000000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5500000000000000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5500000000000000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5500000000000000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x14ac:dyDescent="0.5500000000000000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5500000000000000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x14ac:dyDescent="0.5500000000000000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5500000000000000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5500000000000000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5500000000000000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5500000000000000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5500000000000000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x14ac:dyDescent="0.5500000000000000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5500000000000000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x14ac:dyDescent="0.5500000000000000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5500000000000000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5500000000000000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5500000000000000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5500000000000000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5500000000000000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x14ac:dyDescent="0.5500000000000000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5500000000000000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x14ac:dyDescent="0.5500000000000000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5500000000000000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5500000000000000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5500000000000000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5500000000000000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5500000000000000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x14ac:dyDescent="0.5500000000000000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5500000000000000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x14ac:dyDescent="0.5500000000000000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5500000000000000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5500000000000000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5500000000000000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5500000000000000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5500000000000000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x14ac:dyDescent="0.5500000000000000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5500000000000000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x14ac:dyDescent="0.5500000000000000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5500000000000000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5500000000000000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5500000000000000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x14ac:dyDescent="0.5500000000000000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x14ac:dyDescent="0.5500000000000000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x14ac:dyDescent="0.5500000000000000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x14ac:dyDescent="0.5500000000000000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x14ac:dyDescent="0.5500000000000000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x14ac:dyDescent="0.5500000000000000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x14ac:dyDescent="0.5500000000000000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x14ac:dyDescent="0.5500000000000000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x14ac:dyDescent="0.5500000000000000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x14ac:dyDescent="0.5500000000000000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x14ac:dyDescent="0.5500000000000000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x14ac:dyDescent="0.5500000000000000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x14ac:dyDescent="0.5500000000000000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x14ac:dyDescent="0.5500000000000000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x14ac:dyDescent="0.5500000000000000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x14ac:dyDescent="0.5500000000000000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x14ac:dyDescent="0.5500000000000000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x14ac:dyDescent="0.5500000000000000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x14ac:dyDescent="0.5500000000000000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x14ac:dyDescent="0.5500000000000000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x14ac:dyDescent="0.5500000000000000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x14ac:dyDescent="0.5500000000000000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x14ac:dyDescent="0.5500000000000000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x14ac:dyDescent="0.5500000000000000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x14ac:dyDescent="0.5500000000000000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x14ac:dyDescent="0.5500000000000000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x14ac:dyDescent="0.5500000000000000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x14ac:dyDescent="0.5500000000000000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x14ac:dyDescent="0.5500000000000000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x14ac:dyDescent="0.5500000000000000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x14ac:dyDescent="0.5500000000000000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x14ac:dyDescent="0.5500000000000000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x14ac:dyDescent="0.5500000000000000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x14ac:dyDescent="0.5500000000000000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x14ac:dyDescent="0.550000000000000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x14ac:dyDescent="0.5500000000000000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x14ac:dyDescent="0.5500000000000000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x14ac:dyDescent="0.5500000000000000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x14ac:dyDescent="0.5500000000000000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x14ac:dyDescent="0.5500000000000000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x14ac:dyDescent="0.5500000000000000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x14ac:dyDescent="0.5500000000000000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x14ac:dyDescent="0.5500000000000000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x14ac:dyDescent="0.5500000000000000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x14ac:dyDescent="0.5500000000000000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x14ac:dyDescent="0.5500000000000000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x14ac:dyDescent="0.5500000000000000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x14ac:dyDescent="0.5500000000000000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x14ac:dyDescent="0.5500000000000000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x14ac:dyDescent="0.5500000000000000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x14ac:dyDescent="0.5500000000000000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x14ac:dyDescent="0.5500000000000000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x14ac:dyDescent="0.5500000000000000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x14ac:dyDescent="0.5500000000000000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x14ac:dyDescent="0.5500000000000000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x14ac:dyDescent="0.5500000000000000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x14ac:dyDescent="0.5500000000000000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x14ac:dyDescent="0.5500000000000000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x14ac:dyDescent="0.5500000000000000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x14ac:dyDescent="0.5500000000000000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x14ac:dyDescent="0.5500000000000000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x14ac:dyDescent="0.5500000000000000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x14ac:dyDescent="0.5500000000000000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x14ac:dyDescent="0.5500000000000000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x14ac:dyDescent="0.5500000000000000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x14ac:dyDescent="0.5500000000000000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x14ac:dyDescent="0.5500000000000000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x14ac:dyDescent="0.5500000000000000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x14ac:dyDescent="0.5500000000000000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x14ac:dyDescent="0.5500000000000000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x14ac:dyDescent="0.5500000000000000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x14ac:dyDescent="0.5500000000000000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x14ac:dyDescent="0.5500000000000000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x14ac:dyDescent="0.5500000000000000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x14ac:dyDescent="0.5500000000000000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x14ac:dyDescent="0.5500000000000000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x14ac:dyDescent="0.5500000000000000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</sheetData>
  <mergeCells count="5">
    <mergeCell ref="B4:E4"/>
    <mergeCell ref="V4:Y4"/>
    <mergeCell ref="Z4:AC4"/>
    <mergeCell ref="F4:K4"/>
    <mergeCell ref="L4:T4"/>
  </mergeCells>
  <pageMargins left="0.7" right="0.7" top="0.75" bottom="0.75" header="0.3" footer="0.3"/>
  <pageSetup paperSize="9" orientation="landscape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Сергей Овчинников</cp:lastModifiedBy>
  <cp:lastPrinted>2025-08-05T12:59:47Z</cp:lastPrinted>
  <dcterms:created xsi:type="dcterms:W3CDTF">2015-06-05T18:19:34Z</dcterms:created>
  <dcterms:modified xsi:type="dcterms:W3CDTF">2025-08-05T13:44:15Z</dcterms:modified>
</cp:coreProperties>
</file>