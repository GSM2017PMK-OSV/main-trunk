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а\Законы\Эксперимент\Нихром\"/>
    </mc:Choice>
  </mc:AlternateContent>
  <xr:revisionPtr revIDLastSave="0" documentId="13_ncr:1_{096451ED-3D4B-48FD-B100-6B02E26E9D70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Нихром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" i="12" l="1"/>
  <c r="AC18" i="12" s="1"/>
  <c r="C18" i="12"/>
  <c r="AC19" i="12"/>
  <c r="AC20" i="12"/>
  <c r="AC24" i="12"/>
  <c r="AB20" i="12"/>
  <c r="AB21" i="12"/>
  <c r="AB22" i="12"/>
  <c r="AB23" i="12"/>
  <c r="AB24" i="12"/>
  <c r="AB18" i="12"/>
  <c r="AA20" i="12"/>
  <c r="AA21" i="12"/>
  <c r="AA22" i="12"/>
  <c r="AA23" i="12"/>
  <c r="AA24" i="12"/>
  <c r="AA18" i="12"/>
  <c r="Z20" i="12"/>
  <c r="Z21" i="12"/>
  <c r="Z22" i="12"/>
  <c r="AC22" i="12" s="1"/>
  <c r="Z23" i="12"/>
  <c r="Z24" i="12"/>
  <c r="Y18" i="12"/>
  <c r="Y19" i="12"/>
  <c r="Y20" i="12"/>
  <c r="Y21" i="12"/>
  <c r="Y22" i="12"/>
  <c r="Y23" i="12"/>
  <c r="Y24" i="12"/>
  <c r="X20" i="12"/>
  <c r="X21" i="12"/>
  <c r="X22" i="12"/>
  <c r="X23" i="12"/>
  <c r="X24" i="12"/>
  <c r="X18" i="12"/>
  <c r="W20" i="12"/>
  <c r="W21" i="12"/>
  <c r="W22" i="12"/>
  <c r="W23" i="12"/>
  <c r="W24" i="12"/>
  <c r="W18" i="12"/>
  <c r="V20" i="12"/>
  <c r="V21" i="12"/>
  <c r="V22" i="12"/>
  <c r="V23" i="12"/>
  <c r="V24" i="12"/>
  <c r="V18" i="12"/>
  <c r="AC23" i="12"/>
  <c r="AC21" i="12"/>
  <c r="AB19" i="12"/>
  <c r="AA19" i="12"/>
  <c r="Z19" i="12"/>
  <c r="X19" i="12"/>
  <c r="W19" i="12"/>
  <c r="V19" i="12"/>
  <c r="C19" i="12" l="1"/>
  <c r="E7" i="12"/>
  <c r="G18" i="12" s="1"/>
  <c r="U19" i="12"/>
  <c r="U20" i="12"/>
  <c r="U21" i="12"/>
  <c r="U22" i="12"/>
  <c r="U23" i="12"/>
  <c r="U24" i="12"/>
  <c r="J20" i="12"/>
  <c r="J21" i="12"/>
  <c r="J22" i="12"/>
  <c r="J23" i="12"/>
  <c r="J24" i="12"/>
  <c r="J19" i="12"/>
  <c r="J18" i="12"/>
  <c r="L24" i="12" s="1"/>
  <c r="F18" i="12" l="1"/>
  <c r="U18" i="12"/>
  <c r="D18" i="12"/>
  <c r="L18" i="12"/>
  <c r="N18" i="12" s="1"/>
  <c r="R18" i="12" l="1"/>
  <c r="K18" i="12"/>
  <c r="T18" i="12"/>
  <c r="S19" i="12"/>
  <c r="K19" i="12"/>
  <c r="K20" i="12"/>
  <c r="R20" i="12"/>
  <c r="S20" i="12"/>
  <c r="T20" i="12"/>
  <c r="K21" i="12"/>
  <c r="R21" i="12"/>
  <c r="S21" i="12"/>
  <c r="T21" i="12"/>
  <c r="T22" i="12"/>
  <c r="K22" i="12"/>
  <c r="R22" i="12"/>
  <c r="K23" i="12"/>
  <c r="K24" i="12"/>
  <c r="S18" i="12" l="1"/>
  <c r="N24" i="12"/>
  <c r="O24" i="12" s="1"/>
  <c r="R19" i="12"/>
  <c r="L22" i="12"/>
  <c r="N22" i="12" s="1"/>
  <c r="O22" i="12" s="1"/>
  <c r="T19" i="12"/>
  <c r="S22" i="12"/>
  <c r="R24" i="12"/>
  <c r="S24" i="12"/>
  <c r="T24" i="12"/>
  <c r="L19" i="12"/>
  <c r="N19" i="12" s="1"/>
  <c r="L23" i="12"/>
  <c r="N23" i="12" s="1"/>
  <c r="R23" i="12"/>
  <c r="S23" i="12"/>
  <c r="T23" i="12"/>
  <c r="L20" i="12"/>
  <c r="N20" i="12" s="1"/>
  <c r="L21" i="12"/>
  <c r="N21" i="12" s="1"/>
  <c r="P22" i="12" l="1"/>
  <c r="Q22" i="12"/>
  <c r="C22" i="12" s="1"/>
  <c r="G22" i="12" s="1"/>
  <c r="Q24" i="12"/>
  <c r="P24" i="12"/>
  <c r="O23" i="12"/>
  <c r="P23" i="12"/>
  <c r="Q23" i="12"/>
  <c r="C23" i="12" s="1"/>
  <c r="G23" i="12" s="1"/>
  <c r="O19" i="12"/>
  <c r="P19" i="12"/>
  <c r="Q19" i="12"/>
  <c r="G19" i="12" s="1"/>
  <c r="O18" i="12"/>
  <c r="P18" i="12"/>
  <c r="Q18" i="12"/>
  <c r="O21" i="12"/>
  <c r="P21" i="12"/>
  <c r="Q21" i="12"/>
  <c r="C21" i="12" s="1"/>
  <c r="G21" i="12" s="1"/>
  <c r="P20" i="12"/>
  <c r="O20" i="12"/>
  <c r="Q20" i="12"/>
  <c r="C20" i="12" s="1"/>
  <c r="G20" i="12" s="1"/>
  <c r="C24" i="12" l="1"/>
  <c r="D24" i="12"/>
  <c r="D22" i="12"/>
  <c r="F22" i="12"/>
  <c r="E22" i="12"/>
  <c r="G24" i="12" l="1"/>
  <c r="E24" i="12"/>
  <c r="F24" i="12"/>
  <c r="E23" i="12"/>
  <c r="F23" i="12"/>
  <c r="D23" i="12"/>
  <c r="D19" i="12"/>
  <c r="E19" i="12"/>
  <c r="F19" i="12"/>
  <c r="E18" i="12"/>
  <c r="D21" i="12"/>
  <c r="E21" i="12"/>
  <c r="F21" i="12"/>
  <c r="D20" i="12"/>
  <c r="E20" i="12"/>
  <c r="F20" i="12"/>
</calcChain>
</file>

<file path=xl/sharedStrings.xml><?xml version="1.0" encoding="utf-8"?>
<sst xmlns="http://schemas.openxmlformats.org/spreadsheetml/2006/main" count="43" uniqueCount="33">
  <si>
    <t>θ (расчетная в ExcеI )</t>
  </si>
  <si>
    <t>Физический статус системы</t>
  </si>
  <si>
    <t>Разброс в зоне стабилизации (±Δθ)</t>
  </si>
  <si>
    <t>Безразмерный угол</t>
  </si>
  <si>
    <t>Параметрические уравнения спирали</t>
  </si>
  <si>
    <t>Физические значения</t>
  </si>
  <si>
    <t>Кривизна F</t>
  </si>
  <si>
    <t>Кручение</t>
  </si>
  <si>
    <t>ПИ</t>
  </si>
  <si>
    <t>МАХ</t>
  </si>
  <si>
    <t>2ПИ</t>
  </si>
  <si>
    <t>2ПИ(А)/МАКС</t>
  </si>
  <si>
    <t>Х</t>
  </si>
  <si>
    <t>Y</t>
  </si>
  <si>
    <t>Z</t>
  </si>
  <si>
    <t>Z(θ=2π)</t>
  </si>
  <si>
    <t>F</t>
  </si>
  <si>
    <t>G</t>
  </si>
  <si>
    <t>Показатель</t>
  </si>
  <si>
    <t>Наименование</t>
  </si>
  <si>
    <t>Таблица 1</t>
  </si>
  <si>
    <t>Объект</t>
  </si>
  <si>
    <t xml:space="preserve"> Расчет </t>
  </si>
  <si>
    <t>Нихром</t>
  </si>
  <si>
    <t>Исходные данные на 19.07.2025  УЛЬЯНОВСК</t>
  </si>
  <si>
    <t>Длина нити</t>
  </si>
  <si>
    <t>Показатели</t>
  </si>
  <si>
    <t>Температура</t>
  </si>
  <si>
    <t>Диаметр нити</t>
  </si>
  <si>
    <t xml:space="preserve">λ = L/h </t>
  </si>
  <si>
    <t>θ=180 -31 * EXP(-0,15*(λ - 8,28)</t>
  </si>
  <si>
    <t>МОДЕЛЬ НИХРОМ</t>
  </si>
  <si>
    <t>λ = L/h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</si>
</sst>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₽"/>
    <numFmt numFmtId="165" formatCode="0.000"/>
    <numFmt numFmtId="166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40404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Aptos"/>
      <family val="2"/>
    </font>
    <font>
      <b/>
      <sz val="20"/>
      <color theme="1"/>
      <name val="Calibri"/>
      <family val="2"/>
      <charset val="204"/>
      <scheme val="minor"/>
    </font>
    <font>
      <sz val="12"/>
      <color rgb="FF8B8B8B"/>
      <name val="Aptos"/>
      <family val="2"/>
    </font>
    <font>
      <sz val="12"/>
      <color rgb="FF404040"/>
      <name val="Aptos"/>
      <family val="2"/>
    </font>
    <font>
      <b/>
      <sz val="18"/>
      <color rgb="FFFA7D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 applyAlignment="0"/>
  </cellStyleXfs>
  <cellXfs count="88">
    <xf numFmtId="0" fontId="0" fillId="0" borderId="0" xfId="0"/>
    <xf numFmtId="0" fontId="0" fillId="3" borderId="0" xfId="0" applyFill="1"/>
    <xf numFmtId="0" fontId="2" fillId="0" borderId="0" xfId="0" applyFont="1"/>
    <xf numFmtId="3" fontId="1" fillId="2" borderId="1" xfId="1" applyNumberFormat="1" applyAlignment="1">
      <alignment horizontal="center" vertical="center" wrapText="1"/>
    </xf>
    <xf numFmtId="0" fontId="1" fillId="3" borderId="0" xfId="1" applyFill="1" applyBorder="1" applyAlignment="1">
      <alignment horizontal="center" vertical="center" wrapText="1"/>
    </xf>
    <xf numFmtId="3" fontId="1" fillId="3" borderId="0" xfId="1" applyNumberFormat="1" applyFill="1" applyBorder="1" applyAlignment="1">
      <alignment horizontal="center" vertical="center" wrapText="1"/>
    </xf>
    <xf numFmtId="0" fontId="2" fillId="3" borderId="0" xfId="0" applyFont="1" applyFill="1"/>
    <xf numFmtId="4" fontId="1" fillId="3" borderId="0" xfId="1" applyNumberFormat="1" applyFill="1" applyBorder="1" applyAlignment="1">
      <alignment horizontal="center" vertical="center" wrapText="1"/>
    </xf>
    <xf numFmtId="49" fontId="1" fillId="3" borderId="0" xfId="1" applyNumberFormat="1" applyFill="1" applyBorder="1" applyAlignment="1">
      <alignment horizontal="center" vertical="center" wrapText="1"/>
    </xf>
    <xf numFmtId="3" fontId="3" fillId="3" borderId="0" xfId="1" applyNumberFormat="1" applyFont="1" applyFill="1" applyBorder="1" applyAlignment="1">
      <alignment horizontal="center" vertical="center" wrapText="1"/>
    </xf>
    <xf numFmtId="0" fontId="3" fillId="3" borderId="0" xfId="1" applyFont="1" applyFill="1" applyBorder="1"/>
    <xf numFmtId="4" fontId="3" fillId="3" borderId="0" xfId="1" applyNumberFormat="1" applyFont="1" applyFill="1" applyBorder="1" applyAlignment="1">
      <alignment horizontal="center" vertical="center" wrapText="1"/>
    </xf>
    <xf numFmtId="4" fontId="4" fillId="3" borderId="0" xfId="1" applyNumberFormat="1" applyFont="1" applyFill="1" applyBorder="1" applyAlignment="1">
      <alignment horizontal="center" vertical="center" wrapText="1"/>
    </xf>
    <xf numFmtId="0" fontId="4" fillId="3" borderId="0" xfId="1" applyFont="1" applyFill="1" applyBorder="1"/>
    <xf numFmtId="2" fontId="4" fillId="3" borderId="0" xfId="1" applyNumberFormat="1" applyFont="1" applyFill="1" applyBorder="1" applyAlignment="1">
      <alignment horizontal="center" vertical="top"/>
    </xf>
    <xf numFmtId="0" fontId="0" fillId="4" borderId="0" xfId="0" applyFill="1"/>
    <xf numFmtId="4" fontId="1" fillId="2" borderId="1" xfId="1" applyNumberFormat="1" applyAlignment="1">
      <alignment horizontal="center" vertical="center" wrapText="1"/>
    </xf>
    <xf numFmtId="49" fontId="1" fillId="2" borderId="1" xfId="1" applyNumberFormat="1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6" fillId="0" borderId="0" xfId="0" applyFont="1"/>
    <xf numFmtId="0" fontId="6" fillId="3" borderId="0" xfId="0" applyFont="1" applyFill="1"/>
    <xf numFmtId="164" fontId="3" fillId="3" borderId="0" xfId="1" applyNumberFormat="1" applyFont="1" applyFill="1" applyBorder="1" applyAlignment="1">
      <alignment horizontal="center"/>
    </xf>
    <xf numFmtId="164" fontId="1" fillId="2" borderId="1" xfId="1" applyNumberFormat="1" applyAlignment="1">
      <alignment horizontal="center" vertical="center"/>
    </xf>
    <xf numFmtId="0" fontId="1" fillId="2" borderId="1" xfId="1" applyAlignment="1">
      <alignment horizontal="center" vertical="center"/>
    </xf>
    <xf numFmtId="0" fontId="7" fillId="0" borderId="0" xfId="0" applyFont="1"/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65" fontId="0" fillId="4" borderId="2" xfId="0" applyNumberFormat="1" applyFill="1" applyBorder="1" applyAlignment="1">
      <alignment vertical="center"/>
    </xf>
    <xf numFmtId="165" fontId="0" fillId="6" borderId="2" xfId="0" applyNumberFormat="1" applyFill="1" applyBorder="1" applyAlignment="1">
      <alignment vertical="center"/>
    </xf>
    <xf numFmtId="166" fontId="0" fillId="6" borderId="2" xfId="0" applyNumberForma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5" fontId="0" fillId="7" borderId="2" xfId="0" applyNumberFormat="1" applyFill="1" applyBorder="1" applyAlignment="1">
      <alignment vertical="center"/>
    </xf>
    <xf numFmtId="4" fontId="1" fillId="3" borderId="0" xfId="1" applyNumberForma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" fillId="3" borderId="0" xfId="1" applyFill="1" applyBorder="1" applyAlignment="1">
      <alignment horizontal="left" vertical="center" wrapText="1"/>
    </xf>
    <xf numFmtId="0" fontId="1" fillId="3" borderId="0" xfId="1" applyFill="1" applyBorder="1" applyAlignment="1">
      <alignment horizontal="center" vertical="center"/>
    </xf>
    <xf numFmtId="164" fontId="1" fillId="3" borderId="0" xfId="1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2" fillId="3" borderId="0" xfId="0" applyFont="1" applyFill="1" applyAlignment="1">
      <alignment vertical="center"/>
    </xf>
    <xf numFmtId="2" fontId="1" fillId="3" borderId="0" xfId="1" applyNumberFormat="1" applyFill="1" applyBorder="1" applyAlignment="1">
      <alignment vertical="center" wrapText="1"/>
    </xf>
    <xf numFmtId="4" fontId="1" fillId="3" borderId="2" xfId="1" applyNumberFormat="1" applyFill="1" applyBorder="1" applyAlignment="1">
      <alignment vertical="center" wrapText="1"/>
    </xf>
    <xf numFmtId="2" fontId="0" fillId="3" borderId="0" xfId="0" applyNumberFormat="1" applyFill="1"/>
    <xf numFmtId="0" fontId="7" fillId="3" borderId="0" xfId="0" applyFont="1" applyFill="1"/>
    <xf numFmtId="0" fontId="9" fillId="0" borderId="0" xfId="0" applyFont="1"/>
    <xf numFmtId="0" fontId="10" fillId="0" borderId="0" xfId="0" applyFont="1" applyAlignment="1">
      <alignment horizontal="left" vertical="center" wrapText="1"/>
    </xf>
    <xf numFmtId="2" fontId="3" fillId="2" borderId="2" xfId="1" applyNumberFormat="1" applyFont="1" applyBorder="1" applyAlignment="1">
      <alignment vertical="center" wrapText="1"/>
    </xf>
    <xf numFmtId="2" fontId="0" fillId="4" borderId="2" xfId="0" applyNumberFormat="1" applyFill="1" applyBorder="1" applyAlignment="1">
      <alignment vertical="center"/>
    </xf>
    <xf numFmtId="0" fontId="1" fillId="3" borderId="0" xfId="1" applyFill="1" applyBorder="1" applyAlignment="1">
      <alignment horizontal="center" vertical="center" wrapText="1"/>
    </xf>
    <xf numFmtId="0" fontId="0" fillId="3" borderId="0" xfId="0" applyFill="1" applyBorder="1"/>
    <xf numFmtId="0" fontId="1" fillId="3" borderId="0" xfId="1" applyFill="1" applyBorder="1"/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3" borderId="0" xfId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3" borderId="0" xfId="1" applyFill="1" applyBorder="1" applyAlignment="1">
      <alignment horizontal="left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1" fillId="3" borderId="0" xfId="1" applyFont="1" applyFill="1" applyBorder="1" applyAlignment="1"/>
    <xf numFmtId="0" fontId="1" fillId="3" borderId="0" xfId="1" applyFill="1" applyBorder="1" applyAlignment="1">
      <alignment vertical="center" wrapText="1"/>
    </xf>
    <xf numFmtId="4" fontId="1" fillId="2" borderId="1" xfId="1" applyNumberForma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2" borderId="2" xfId="1" applyBorder="1" applyAlignment="1">
      <alignment vertical="center" wrapText="1"/>
    </xf>
    <xf numFmtId="0" fontId="1" fillId="2" borderId="2" xfId="1" applyBorder="1" applyAlignment="1">
      <alignment horizontal="left" vertical="center" wrapText="1"/>
    </xf>
    <xf numFmtId="0" fontId="1" fillId="2" borderId="2" xfId="1" applyBorder="1" applyAlignment="1">
      <alignment horizontal="center" vertical="center" wrapText="1"/>
    </xf>
    <xf numFmtId="4" fontId="1" fillId="2" borderId="2" xfId="1" applyNumberFormat="1" applyBorder="1" applyAlignment="1">
      <alignment vertical="center" wrapText="1"/>
    </xf>
    <xf numFmtId="4" fontId="1" fillId="2" borderId="2" xfId="1" applyNumberFormat="1" applyBorder="1" applyAlignment="1">
      <alignment horizontal="center" vertical="center" wrapText="1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vertical="center" wrapText="1"/>
    </xf>
    <xf numFmtId="0" fontId="1" fillId="2" borderId="3" xfId="1" applyBorder="1" applyAlignment="1">
      <alignment vertical="center" wrapText="1"/>
    </xf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86811414444838"/>
          <c:y val="0.16733865202036324"/>
          <c:w val="0.8523550944458036"/>
          <c:h val="0.67095555953914787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243791667185921"/>
                  <c:y val="6.9550600891635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29C-48B9-B353-458F33825FA8}"/>
                </c:ext>
              </c:extLst>
            </c:dLbl>
            <c:dLbl>
              <c:idx val="1"/>
              <c:layout>
                <c:manualLayout>
                  <c:x val="-9.5017089380971573E-2"/>
                  <c:y val="-0.13446449505716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9C-48B9-B353-458F33825FA8}"/>
                </c:ext>
              </c:extLst>
            </c:dLbl>
            <c:dLbl>
              <c:idx val="3"/>
              <c:layout>
                <c:manualLayout>
                  <c:x val="-0.23041619032189875"/>
                  <c:y val="5.100377398719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9C-48B9-B353-458F33825FA8}"/>
                </c:ext>
              </c:extLst>
            </c:dLbl>
            <c:dLbl>
              <c:idx val="4"/>
              <c:layout>
                <c:manualLayout>
                  <c:x val="-0.19707172861280314"/>
                  <c:y val="-8.8097427796071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9C-48B9-B353-458F33825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Нихром!$C$18:$G$18</c:f>
              <c:strCache>
                <c:ptCount val="5"/>
                <c:pt idx="0">
                  <c:v>0,16</c:v>
                </c:pt>
                <c:pt idx="1">
                  <c:v>340,50  </c:v>
                </c:pt>
                <c:pt idx="2">
                  <c:v>Сингулярность</c:v>
                </c:pt>
                <c:pt idx="4">
                  <c:v>284,75</c:v>
                </c:pt>
              </c:strCache>
            </c:strRef>
          </c:xVal>
          <c:yVal>
            <c:numRef>
              <c:f>Нихром!$C$19:$G$19</c:f>
              <c:numCache>
                <c:formatCode>#\ ##0.00\ _₽</c:formatCode>
                <c:ptCount val="5"/>
                <c:pt idx="0" formatCode="#,##0.00">
                  <c:v>5.3490805256186551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21.569128296229774</c:v>
                </c:pt>
                <c:pt idx="4" formatCode="#,##0.00">
                  <c:v>228.11649865325614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9C-48B9-B353-458F33825FA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2.6727997353676616E-2"/>
                  <c:y val="-6.0277187439417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9C-48B9-B353-458F33825FA8}"/>
                </c:ext>
              </c:extLst>
            </c:dLbl>
            <c:dLbl>
              <c:idx val="1"/>
              <c:layout>
                <c:manualLayout>
                  <c:x val="7.7181516926609342E-3"/>
                  <c:y val="-3.24569470827630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29C-48B9-B353-458F33825FA8}"/>
                </c:ext>
              </c:extLst>
            </c:dLbl>
            <c:dLbl>
              <c:idx val="3"/>
              <c:layout>
                <c:manualLayout>
                  <c:x val="-7.3171803538036413E-3"/>
                  <c:y val="-6.027718743941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9C-48B9-B353-458F33825FA8}"/>
                </c:ext>
              </c:extLst>
            </c:dLbl>
            <c:dLbl>
              <c:idx val="4"/>
              <c:layout>
                <c:manualLayout>
                  <c:x val="-3.9161169708167534E-2"/>
                  <c:y val="0.157648028687706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9C-48B9-B353-458F33825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Нихром!$C$18:$G$18</c:f>
              <c:strCache>
                <c:ptCount val="5"/>
                <c:pt idx="0">
                  <c:v>0,16</c:v>
                </c:pt>
                <c:pt idx="1">
                  <c:v>340,50  </c:v>
                </c:pt>
                <c:pt idx="2">
                  <c:v>Сингулярность</c:v>
                </c:pt>
                <c:pt idx="4">
                  <c:v>284,75</c:v>
                </c:pt>
              </c:strCache>
            </c:strRef>
          </c:xVal>
          <c:yVal>
            <c:numRef>
              <c:f>Нихром!$C$23:$G$23</c:f>
              <c:numCache>
                <c:formatCode>#\ ##0.00\ _₽</c:formatCode>
                <c:ptCount val="5"/>
                <c:pt idx="0" formatCode="#,##0.00">
                  <c:v>7.3440342888475083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11.855322440391735</c:v>
                </c:pt>
                <c:pt idx="4" formatCode="#,##0.00">
                  <c:v>215.67257053656775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9C-48B9-B353-458F33825FA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174617989533208"/>
                  <c:y val="-0.12982778833105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29C-48B9-B353-458F33825FA8}"/>
                </c:ext>
              </c:extLst>
            </c:dLbl>
            <c:dLbl>
              <c:idx val="1"/>
              <c:layout>
                <c:manualLayout>
                  <c:x val="-0.21441209927735524"/>
                  <c:y val="-3.2456947082763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9C-48B9-B353-458F33825FA8}"/>
                </c:ext>
              </c:extLst>
            </c:dLbl>
            <c:dLbl>
              <c:idx val="3"/>
              <c:layout>
                <c:manualLayout>
                  <c:x val="-0.12566231872936248"/>
                  <c:y val="-0.102007547974398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9C-48B9-B353-458F33825FA8}"/>
                </c:ext>
              </c:extLst>
            </c:dLbl>
            <c:dLbl>
              <c:idx val="4"/>
              <c:layout>
                <c:manualLayout>
                  <c:x val="-0.21830200225497187"/>
                  <c:y val="7.4187307617744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9C-48B9-B353-458F33825F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Нихром!$C$18:$G$18</c:f>
              <c:strCache>
                <c:ptCount val="5"/>
                <c:pt idx="0">
                  <c:v>0,16</c:v>
                </c:pt>
                <c:pt idx="1">
                  <c:v>340,50  </c:v>
                </c:pt>
                <c:pt idx="2">
                  <c:v>Сингулярность</c:v>
                </c:pt>
                <c:pt idx="4">
                  <c:v>284,75</c:v>
                </c:pt>
              </c:strCache>
            </c:strRef>
          </c:xVal>
          <c:yVal>
            <c:numRef>
              <c:f>Нихром!$C$22:$G$22</c:f>
              <c:numCache>
                <c:formatCode>#\ ##0.00\ _₽</c:formatCode>
                <c:ptCount val="5"/>
                <c:pt idx="0" formatCode="#,##0.00">
                  <c:v>6.8257558078312517</c:v>
                </c:pt>
                <c:pt idx="1">
                  <c:v>180</c:v>
                </c:pt>
                <c:pt idx="2" formatCode="General">
                  <c:v>0</c:v>
                </c:pt>
                <c:pt idx="3" formatCode="General">
                  <c:v>13.849656932857551</c:v>
                </c:pt>
                <c:pt idx="4" formatCode="#,##0.00">
                  <c:v>218.55646666108021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9C-48B9-B353-458F33825F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1302072208"/>
        <c:axId val="1302076048"/>
      </c:scatterChart>
      <c:valAx>
        <c:axId val="130207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76048"/>
        <c:crosses val="autoZero"/>
        <c:crossBetween val="midCat"/>
      </c:valAx>
      <c:valAx>
        <c:axId val="13020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7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833333333333352E-2"/>
          <c:y val="0.17171296296296298"/>
          <c:w val="0.87182633420822397"/>
          <c:h val="0.6714577865266842"/>
        </c:manualLayout>
      </c:layout>
      <c:areaChart>
        <c:grouping val="stacked"/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cat>
            <c:numRef>
              <c:f>Нихром!$C$18:$D$18</c:f>
              <c:numCache>
                <c:formatCode>#\ ##0.00\ _₽</c:formatCode>
                <c:ptCount val="2"/>
                <c:pt idx="0" formatCode="#,##0.00">
                  <c:v>0.16262834877220372</c:v>
                </c:pt>
                <c:pt idx="1">
                  <c:v>340.5</c:v>
                </c:pt>
              </c:numCache>
            </c:numRef>
          </c:cat>
          <c:val>
            <c:numRef>
              <c:f>Нихром!$C$19:$D$19</c:f>
              <c:numCache>
                <c:formatCode>#\ ##0.00\ _₽</c:formatCode>
                <c:ptCount val="2"/>
                <c:pt idx="0" formatCode="#,##0.00">
                  <c:v>5.3490805256186551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B-445C-98B7-13ADB2D584D3}"/>
            </c:ext>
          </c:extLst>
        </c:ser>
        <c:ser>
          <c:idx val="1"/>
          <c:order val="1"/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cat>
            <c:numRef>
              <c:f>Нихром!$C$18:$D$18</c:f>
              <c:numCache>
                <c:formatCode>#\ ##0.00\ _₽</c:formatCode>
                <c:ptCount val="2"/>
                <c:pt idx="0" formatCode="#,##0.00">
                  <c:v>0.16262834877220372</c:v>
                </c:pt>
                <c:pt idx="1">
                  <c:v>340.5</c:v>
                </c:pt>
              </c:numCache>
            </c:numRef>
          </c:cat>
          <c:val>
            <c:numRef>
              <c:f>Нихром!$C$21:$D$21</c:f>
              <c:numCache>
                <c:formatCode>#\ ##0.00\ _₽</c:formatCode>
                <c:ptCount val="2"/>
                <c:pt idx="0" formatCode="#,##0.00">
                  <c:v>6.3202776201475759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B-445C-98B7-13ADB2D5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069328"/>
        <c:axId val="1302064048"/>
      </c:areaChart>
      <c:barChart>
        <c:barDir val="col"/>
        <c:grouping val="clustered"/>
        <c:varyColors val="0"/>
        <c:ser>
          <c:idx val="2"/>
          <c:order val="2"/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cat>
            <c:numRef>
              <c:f>Нихром!$C$18:$D$18</c:f>
              <c:numCache>
                <c:formatCode>#\ ##0.00\ _₽</c:formatCode>
                <c:ptCount val="2"/>
                <c:pt idx="0" formatCode="#,##0.00">
                  <c:v>0.16262834877220372</c:v>
                </c:pt>
                <c:pt idx="1">
                  <c:v>340.5</c:v>
                </c:pt>
              </c:numCache>
            </c:numRef>
          </c:cat>
          <c:val>
            <c:numRef>
              <c:f>Нихром!$C$23:$D$23</c:f>
              <c:numCache>
                <c:formatCode>#\ ##0.00\ _₽</c:formatCode>
                <c:ptCount val="2"/>
                <c:pt idx="0" formatCode="#,##0.00">
                  <c:v>7.3440342888475083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EB-445C-98B7-13ADB2D5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069328"/>
        <c:axId val="1302064048"/>
      </c:barChart>
      <c:catAx>
        <c:axId val="13020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64048"/>
        <c:crosses val="autoZero"/>
        <c:auto val="1"/>
        <c:lblAlgn val="ctr"/>
        <c:lblOffset val="100"/>
        <c:noMultiLvlLbl val="0"/>
      </c:catAx>
      <c:valAx>
        <c:axId val="1302064048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2069328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620346</xdr:colOff>
      <xdr:row>29</xdr:row>
      <xdr:rowOff>120292</xdr:rowOff>
    </xdr:from>
    <xdr:to>
      <xdr:col>11</xdr:col>
      <xdr:colOff>817683</xdr:colOff>
      <xdr:row>57</xdr:row>
      <xdr:rowOff>2931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5040CC-66F4-35E5-5D66-AE7AEA825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342902</xdr:colOff>
      <xdr:row>29</xdr:row>
      <xdr:rowOff>101602</xdr:rowOff>
    </xdr:from>
    <xdr:to>
      <xdr:col>5</xdr:col>
      <xdr:colOff>1066800</xdr:colOff>
      <xdr:row>60</xdr:row>
      <xdr:rowOff>152400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CAFE2FAB-A232-57E5-A09D-1A4AB06E8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170234</xdr:colOff>
      <xdr:row>45</xdr:row>
      <xdr:rowOff>137807</xdr:rowOff>
    </xdr:from>
    <xdr:to>
      <xdr:col>4</xdr:col>
      <xdr:colOff>993032</xdr:colOff>
      <xdr:row>45</xdr:row>
      <xdr:rowOff>137808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FBB9656B-5AA5-9CFF-F4D8-2C39562F5EB1}"/>
            </a:ext>
          </a:extLst>
        </xdr:cNvPr>
        <xdr:cNvCxnSpPr/>
      </xdr:nvCxnSpPr>
      <xdr:spPr>
        <a:xfrm flipH="1" flipV="1">
          <a:off x="810638" y="8961605"/>
          <a:ext cx="5585298" cy="1"/>
        </a:xfrm>
        <a:prstGeom prst="line">
          <a:avLst/>
        </a:prstGeom>
        <a:ln>
          <a:headEnd type="none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149969</xdr:colOff>
      <xdr:row>47</xdr:row>
      <xdr:rowOff>137809</xdr:rowOff>
    </xdr:from>
    <xdr:to>
      <xdr:col>3</xdr:col>
      <xdr:colOff>1033564</xdr:colOff>
      <xdr:row>47</xdr:row>
      <xdr:rowOff>137809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77FC05DA-BA5E-4C13-0666-FD2E509046B1}"/>
            </a:ext>
          </a:extLst>
        </xdr:cNvPr>
        <xdr:cNvCxnSpPr/>
      </xdr:nvCxnSpPr>
      <xdr:spPr>
        <a:xfrm flipH="1" flipV="1">
          <a:off x="790373" y="9326394"/>
          <a:ext cx="4304489" cy="0"/>
        </a:xfrm>
        <a:prstGeom prst="straightConnector1">
          <a:avLst/>
        </a:prstGeom>
        <a:ln>
          <a:tailEnd type="stealth" w="sm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1268648</xdr:colOff>
      <xdr:row>45</xdr:row>
      <xdr:rowOff>125649</xdr:rowOff>
    </xdr:from>
    <xdr:to>
      <xdr:col>4</xdr:col>
      <xdr:colOff>1033564</xdr:colOff>
      <xdr:row>56</xdr:row>
      <xdr:rowOff>20266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9130EE97-DE49-F323-14C5-B74065E63714}"/>
            </a:ext>
          </a:extLst>
        </xdr:cNvPr>
        <xdr:cNvCxnSpPr/>
      </xdr:nvCxnSpPr>
      <xdr:spPr>
        <a:xfrm flipV="1">
          <a:off x="3100691" y="8949447"/>
          <a:ext cx="3335777" cy="1998223"/>
        </a:xfrm>
        <a:prstGeom prst="straightConnector1">
          <a:avLst/>
        </a:prstGeom>
        <a:ln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0.12002</cdr:x>
      <cdr:y>0.71758</cdr:y>
    </cdr:from>
    <cdr:to>
      <cdr:x>0.79162</cdr:x>
      <cdr:y>0.72043</cdr:y>
    </cdr:to>
    <cdr:cxnSp macro="">
      <cdr:nvCxnSpPr>
        <cdr:cNvPr id="2" name="Прямая со стрелкой 1">
          <a:extLst xmlns:a="http://schemas.openxmlformats.org/drawingml/2006/main">
            <a:ext uri="{FF2B5EF4-FFF2-40B4-BE49-F238E27FC236}">
              <a16:creationId xmlns:a16="http://schemas.microsoft.com/office/drawing/2014/main" id="{690C0A1B-3B46-BC3C-A479-3E2423A7193D}"/>
            </a:ext>
          </a:extLst>
        </cdr:cNvPr>
        <cdr:cNvCxnSpPr/>
      </cdr:nvCxnSpPr>
      <cdr:spPr>
        <a:xfrm xmlns:a="http://schemas.openxmlformats.org/drawingml/2006/main">
          <a:off x="987445" y="3663423"/>
          <a:ext cx="5525702" cy="14563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stealth" w="sm" len="lg"/>
          <a:tailEnd type="non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0.06353</cdr:x>
      <cdr:y>0.44492</cdr:y>
    </cdr:from>
    <cdr:to>
      <cdr:x>0.71925</cdr:x>
      <cdr:y>0.44492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5D0ADB2A-26EA-A77E-F95A-A4026402921B}"/>
            </a:ext>
          </a:extLst>
        </cdr:cNvPr>
        <cdr:cNvCxnSpPr/>
      </cdr:nvCxnSpPr>
      <cdr:spPr>
        <a:xfrm xmlns:a="http://schemas.openxmlformats.org/drawingml/2006/main">
          <a:off x="479896" y="2614036"/>
          <a:ext cx="495300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headEnd type="stealth" w="sm" len="lg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0.19232</cdr:x>
      <cdr:y>0.4463</cdr:y>
    </cdr:from>
    <cdr:to>
      <cdr:x>0.71657</cdr:x>
      <cdr:y>0.83402</cdr:y>
    </cdr:to>
    <cdr:cxnSp macro="">
      <cdr:nvCxnSpPr>
        <cdr:cNvPr id="5" name="Прямая со стрелкой 4">
          <a:extLst xmlns:a="http://schemas.openxmlformats.org/drawingml/2006/main">
            <a:ext uri="{FF2B5EF4-FFF2-40B4-BE49-F238E27FC236}">
              <a16:creationId xmlns:a16="http://schemas.microsoft.com/office/drawing/2014/main" id="{E89B5E93-2439-BAA2-2494-326D121A35BB}"/>
            </a:ext>
          </a:extLst>
        </cdr:cNvPr>
        <cdr:cNvCxnSpPr/>
      </cdr:nvCxnSpPr>
      <cdr:spPr>
        <a:xfrm xmlns:a="http://schemas.openxmlformats.org/drawingml/2006/main" flipV="1">
          <a:off x="1452662" y="2622143"/>
          <a:ext cx="3959968" cy="22778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stealth" w="sm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0.28354</cdr:x>
      <cdr:y>0.57048</cdr:y>
    </cdr:from>
    <cdr:to>
      <cdr:x>0.63501</cdr:x>
      <cdr:y>0.83264</cdr:y>
    </cdr:to>
    <cdr:cxnSp macro="">
      <cdr:nvCxnSpPr>
        <cdr:cNvPr id="7" name="Прямая со стрелкой 6">
          <a:extLst xmlns:a="http://schemas.openxmlformats.org/drawingml/2006/main">
            <a:ext uri="{FF2B5EF4-FFF2-40B4-BE49-F238E27FC236}">
              <a16:creationId xmlns:a16="http://schemas.microsoft.com/office/drawing/2014/main" id="{0B86A6C9-0649-8707-B9FC-BDEF0C3FC4DA}"/>
            </a:ext>
          </a:extLst>
        </cdr:cNvPr>
        <cdr:cNvCxnSpPr/>
      </cdr:nvCxnSpPr>
      <cdr:spPr>
        <a:xfrm xmlns:a="http://schemas.openxmlformats.org/drawingml/2006/main" flipV="1">
          <a:off x="2141704" y="3351717"/>
          <a:ext cx="2654841" cy="154021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stealth" w="sm" len="lg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E36A-9B09-4C12-A591-712FEA3FE6EA}">
  <dimension ref="A1:HY499"/>
  <sheetViews>
    <sheetView tabSelected="1" view="pageBreakPreview" topLeftCell="A16" zoomScale="65" zoomScaleNormal="50" zoomScaleSheetLayoutView="65" workbookViewId="0">
      <selection activeCell="D27" sqref="D27"/>
    </sheetView>
  </sheetViews>
  <sheetFormatPr defaultRowHeight="14.4" x14ac:dyDescent="0.55000000000000004"/>
  <cols>
    <col min="2" max="2" width="16.47265625" customWidth="1"/>
    <col min="3" max="3" width="30.7890625" customWidth="1"/>
    <col min="4" max="4" width="18.5234375" customWidth="1"/>
    <col min="5" max="5" width="19.68359375" customWidth="1"/>
    <col min="6" max="6" width="20.41796875" style="1" customWidth="1"/>
    <col min="7" max="7" width="29.3125" style="1" customWidth="1"/>
    <col min="8" max="8" width="33.41796875" style="1" customWidth="1"/>
    <col min="9" max="9" width="16" style="1" customWidth="1"/>
    <col min="10" max="10" width="18.5234375" customWidth="1"/>
    <col min="11" max="11" width="13.578125" customWidth="1"/>
    <col min="12" max="12" width="14.3125" customWidth="1"/>
    <col min="13" max="13" width="16.83984375" customWidth="1"/>
    <col min="14" max="14" width="19.20703125" customWidth="1"/>
    <col min="15" max="15" width="16.47265625" customWidth="1"/>
    <col min="16" max="16" width="14.89453125" customWidth="1"/>
    <col min="17" max="17" width="15.3125" customWidth="1"/>
    <col min="18" max="19" width="8.83984375" style="15" customWidth="1"/>
    <col min="20" max="20" width="14.05078125" style="15" customWidth="1"/>
    <col min="21" max="21" width="17.15625" customWidth="1"/>
    <col min="22" max="22" width="24.9453125" style="15" customWidth="1"/>
    <col min="23" max="23" width="14.734375" style="15" customWidth="1"/>
    <col min="24" max="24" width="16.62890625" style="15" customWidth="1"/>
    <col min="25" max="25" width="20" customWidth="1"/>
    <col min="26" max="26" width="15.578125" customWidth="1"/>
    <col min="27" max="27" width="8.83984375" customWidth="1"/>
    <col min="28" max="28" width="16.734375" customWidth="1"/>
    <col min="30" max="111" width="8.83984375" style="1"/>
  </cols>
  <sheetData>
    <row r="1" spans="2:233" ht="18.3" customHeight="1" x14ac:dyDescent="0.7">
      <c r="B1" s="64" t="s">
        <v>31</v>
      </c>
      <c r="C1" s="64"/>
      <c r="D1" s="64"/>
      <c r="E1" s="19"/>
      <c r="F1" s="20"/>
      <c r="G1"/>
      <c r="H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</row>
    <row r="2" spans="2:233" ht="18.3" customHeight="1" x14ac:dyDescent="0.7">
      <c r="B2" s="64"/>
      <c r="C2" s="64"/>
      <c r="D2" s="64"/>
      <c r="E2" s="19"/>
      <c r="F2" s="20"/>
      <c r="G2"/>
      <c r="H2"/>
      <c r="P2" s="24"/>
      <c r="Q2" s="52"/>
      <c r="R2" s="52"/>
      <c r="S2" s="52"/>
      <c r="T2" s="1"/>
      <c r="U2" s="1"/>
      <c r="V2" s="1"/>
      <c r="W2" s="1"/>
      <c r="X2" s="1"/>
      <c r="Y2" s="1"/>
      <c r="Z2" s="1"/>
      <c r="AA2" s="1"/>
      <c r="AB2" s="1"/>
      <c r="AC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</row>
    <row r="3" spans="2:233" ht="18.3" customHeight="1" x14ac:dyDescent="0.7">
      <c r="B3" s="77"/>
      <c r="C3" s="77"/>
      <c r="D3" s="77"/>
      <c r="E3" s="19"/>
      <c r="F3" s="20"/>
      <c r="G3"/>
      <c r="H3"/>
      <c r="I3" s="58"/>
      <c r="J3" s="58"/>
      <c r="K3" s="58"/>
      <c r="L3" s="58"/>
      <c r="M3" s="58"/>
      <c r="N3" s="58"/>
      <c r="O3" s="58"/>
      <c r="P3" s="24"/>
      <c r="Q3" s="53"/>
      <c r="R3" s="52"/>
      <c r="S3" s="52"/>
      <c r="T3" s="1"/>
      <c r="U3" s="1"/>
      <c r="V3" s="1"/>
      <c r="W3" s="1"/>
      <c r="X3" s="1"/>
      <c r="Y3" s="1"/>
      <c r="Z3" s="1"/>
      <c r="AA3" s="1"/>
      <c r="AB3" s="1"/>
      <c r="AC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</row>
    <row r="4" spans="2:233" ht="23.1" x14ac:dyDescent="0.85">
      <c r="B4" s="83" t="s">
        <v>24</v>
      </c>
      <c r="C4" s="84"/>
      <c r="D4" s="84"/>
      <c r="E4" s="85"/>
      <c r="F4" s="74"/>
      <c r="G4" s="74"/>
      <c r="H4" s="74"/>
      <c r="I4" s="58"/>
      <c r="J4" s="58"/>
      <c r="K4" s="58"/>
      <c r="L4" s="58"/>
      <c r="M4" s="58"/>
      <c r="N4" s="58"/>
      <c r="O4" s="58"/>
      <c r="P4" s="24"/>
      <c r="Q4" s="53"/>
      <c r="R4" s="52"/>
      <c r="S4" s="52"/>
      <c r="T4" s="1"/>
      <c r="U4" s="1"/>
      <c r="V4" s="1"/>
      <c r="W4" s="1"/>
      <c r="X4" s="1"/>
      <c r="Y4" s="1"/>
      <c r="Z4" s="1"/>
      <c r="AA4" s="1"/>
      <c r="AB4" s="1"/>
      <c r="AC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</row>
    <row r="5" spans="2:233" ht="28.8" customHeight="1" x14ac:dyDescent="0.6">
      <c r="B5" s="86" t="s">
        <v>26</v>
      </c>
      <c r="C5" s="87"/>
      <c r="D5" s="78"/>
      <c r="E5" s="78"/>
      <c r="F5" s="75"/>
      <c r="G5" s="75"/>
      <c r="H5" s="42"/>
      <c r="I5" s="58"/>
      <c r="J5" s="59"/>
      <c r="K5" s="59"/>
      <c r="L5" s="59"/>
      <c r="M5" s="59"/>
      <c r="N5" s="59"/>
      <c r="O5" s="58"/>
      <c r="P5" s="54"/>
      <c r="Q5" s="53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</row>
    <row r="6" spans="2:233" ht="15.6" x14ac:dyDescent="0.6">
      <c r="B6" s="79" t="s">
        <v>21</v>
      </c>
      <c r="C6" s="80" t="s">
        <v>25</v>
      </c>
      <c r="D6" s="80" t="s">
        <v>28</v>
      </c>
      <c r="E6" s="80" t="s">
        <v>32</v>
      </c>
      <c r="F6" s="57"/>
      <c r="G6" s="57"/>
      <c r="H6" s="42"/>
      <c r="I6" s="58"/>
      <c r="J6" s="65"/>
      <c r="K6" s="65"/>
      <c r="L6" s="65"/>
      <c r="M6" s="65"/>
      <c r="N6" s="65"/>
      <c r="O6" s="58"/>
      <c r="P6" s="54"/>
      <c r="Q6" s="53"/>
      <c r="R6" s="52"/>
      <c r="S6" s="52"/>
      <c r="T6" s="1"/>
      <c r="U6" s="1"/>
      <c r="V6" s="1"/>
      <c r="W6" s="1"/>
      <c r="X6" s="1"/>
      <c r="Y6" s="1"/>
      <c r="Z6" s="1"/>
      <c r="AA6" s="1"/>
      <c r="AB6" s="1"/>
      <c r="AC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</row>
    <row r="7" spans="2:233" ht="15.6" x14ac:dyDescent="0.6">
      <c r="B7" s="81" t="s">
        <v>23</v>
      </c>
      <c r="C7" s="82">
        <v>82.8</v>
      </c>
      <c r="D7" s="82">
        <v>10</v>
      </c>
      <c r="E7" s="82">
        <f>C7/D7</f>
        <v>8.2799999999999994</v>
      </c>
      <c r="F7" s="11"/>
      <c r="G7" s="59"/>
      <c r="H7" s="59"/>
      <c r="I7" s="58"/>
      <c r="J7" s="59"/>
      <c r="K7" s="59"/>
      <c r="L7" s="59"/>
      <c r="M7" s="59"/>
      <c r="N7" s="59"/>
      <c r="O7" s="58"/>
      <c r="P7" s="52"/>
      <c r="Q7" s="53"/>
      <c r="R7" s="52"/>
      <c r="S7" s="52"/>
      <c r="T7" s="1"/>
      <c r="U7" s="1"/>
      <c r="V7" s="1"/>
      <c r="W7" s="1"/>
      <c r="X7" s="1"/>
      <c r="Y7" s="1"/>
      <c r="Z7" s="1"/>
      <c r="AA7" s="1"/>
      <c r="AB7" s="1"/>
      <c r="AC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</row>
    <row r="8" spans="2:233" ht="15.6" x14ac:dyDescent="0.6">
      <c r="B8" s="81" t="s">
        <v>27</v>
      </c>
      <c r="C8" s="82">
        <v>850</v>
      </c>
      <c r="D8" s="82"/>
      <c r="E8" s="82"/>
      <c r="F8" s="11"/>
      <c r="G8" s="59"/>
      <c r="H8" s="59"/>
      <c r="I8" s="58"/>
      <c r="J8" s="59"/>
      <c r="K8" s="59"/>
      <c r="L8" s="59"/>
      <c r="M8" s="59"/>
      <c r="N8" s="59"/>
      <c r="O8" s="58"/>
      <c r="Q8" s="53"/>
      <c r="R8" s="52"/>
      <c r="S8" s="52"/>
      <c r="T8" s="1"/>
      <c r="U8" s="1"/>
      <c r="V8" s="1"/>
      <c r="W8" s="1"/>
      <c r="X8" s="1"/>
      <c r="Y8" s="1"/>
      <c r="Z8" s="1"/>
      <c r="AA8" s="1"/>
      <c r="AB8" s="1"/>
      <c r="AC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</row>
    <row r="9" spans="2:233" ht="15.6" x14ac:dyDescent="0.6">
      <c r="B9" s="81"/>
      <c r="C9" s="82">
        <v>900</v>
      </c>
      <c r="D9" s="82"/>
      <c r="E9" s="82"/>
      <c r="F9" s="11"/>
      <c r="G9" s="59"/>
      <c r="H9" s="59"/>
      <c r="I9" s="58"/>
      <c r="J9" s="59"/>
      <c r="K9" s="59"/>
      <c r="L9" s="59"/>
      <c r="M9" s="59"/>
      <c r="N9" s="59"/>
      <c r="O9" s="58"/>
      <c r="P9" s="52"/>
      <c r="Q9" s="53"/>
      <c r="R9" s="52"/>
      <c r="S9" s="52"/>
      <c r="T9" s="1"/>
      <c r="U9" s="1"/>
      <c r="V9" s="1"/>
      <c r="W9" s="1"/>
      <c r="X9" s="1"/>
      <c r="Y9" s="1"/>
      <c r="Z9" s="1"/>
      <c r="AA9" s="1"/>
      <c r="AB9" s="1"/>
      <c r="AC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</row>
    <row r="10" spans="2:233" ht="15.6" x14ac:dyDescent="0.6">
      <c r="B10" s="81"/>
      <c r="C10" s="82">
        <v>950</v>
      </c>
      <c r="D10" s="82"/>
      <c r="E10" s="82"/>
      <c r="F10" s="11"/>
      <c r="G10" s="59"/>
      <c r="H10" s="59"/>
      <c r="I10" s="58"/>
      <c r="J10" s="59"/>
      <c r="K10" s="59"/>
      <c r="L10" s="59"/>
      <c r="M10" s="59"/>
      <c r="N10" s="59"/>
      <c r="O10" s="58"/>
      <c r="P10" s="52"/>
      <c r="Q10" s="52"/>
      <c r="R10" s="52"/>
      <c r="S10" s="52"/>
      <c r="T10" s="1"/>
      <c r="U10" s="1"/>
      <c r="V10" s="1"/>
      <c r="W10" s="1"/>
      <c r="X10" s="1"/>
      <c r="Y10" s="1"/>
      <c r="Z10" s="1"/>
      <c r="AA10" s="1"/>
      <c r="AB10" s="1"/>
      <c r="AC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</row>
    <row r="11" spans="2:233" ht="13.8" customHeight="1" x14ac:dyDescent="0.55000000000000004">
      <c r="B11" s="81"/>
      <c r="C11" s="82">
        <v>1000</v>
      </c>
      <c r="D11" s="82"/>
      <c r="E11" s="82"/>
      <c r="F11" s="11"/>
      <c r="G11" s="59"/>
      <c r="H11" s="59"/>
      <c r="I11" s="58"/>
      <c r="J11" s="59"/>
      <c r="K11" s="59"/>
      <c r="L11" s="59"/>
      <c r="M11" s="59"/>
      <c r="N11" s="59"/>
      <c r="O11" s="5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</row>
    <row r="12" spans="2:233" ht="17.100000000000001" customHeight="1" x14ac:dyDescent="0.55000000000000004">
      <c r="B12" s="81"/>
      <c r="C12" s="82">
        <v>1050</v>
      </c>
      <c r="D12" s="82"/>
      <c r="E12" s="82"/>
      <c r="F12" s="11"/>
      <c r="G12" s="59"/>
      <c r="H12" s="59"/>
      <c r="P12" s="1"/>
      <c r="Q12" s="1"/>
      <c r="R12" s="1"/>
      <c r="S12" s="1"/>
      <c r="T12" s="1"/>
      <c r="U12" s="1"/>
      <c r="V12" s="1"/>
      <c r="W12" s="1"/>
      <c r="X12" s="1"/>
      <c r="Y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</row>
    <row r="13" spans="2:233" ht="14.4" customHeight="1" x14ac:dyDescent="0.55000000000000004">
      <c r="B13" s="81"/>
      <c r="C13" s="82">
        <v>1100</v>
      </c>
      <c r="D13" s="82"/>
      <c r="E13" s="82"/>
      <c r="F13" s="11"/>
      <c r="G13" s="59"/>
      <c r="H13" s="59"/>
      <c r="P13" s="1"/>
      <c r="Q13" s="1"/>
      <c r="R13" s="1"/>
      <c r="S13" s="1"/>
      <c r="T13" s="1"/>
      <c r="U13" s="1"/>
      <c r="V13" s="1"/>
      <c r="W13" s="1"/>
      <c r="X13" s="1"/>
      <c r="Y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</row>
    <row r="14" spans="2:233" x14ac:dyDescent="0.55000000000000004">
      <c r="B14" t="s">
        <v>22</v>
      </c>
      <c r="G14" s="38"/>
      <c r="H14" s="51"/>
      <c r="I14" s="1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</row>
    <row r="15" spans="2:233" ht="9.9" customHeight="1" x14ac:dyDescent="0.55000000000000004">
      <c r="H15" s="49"/>
      <c r="I15" s="72"/>
      <c r="J15" s="73"/>
      <c r="K15" s="69" t="s">
        <v>3</v>
      </c>
      <c r="L15" s="70"/>
      <c r="M15" s="70"/>
      <c r="N15" s="71"/>
      <c r="O15" s="66" t="s">
        <v>4</v>
      </c>
      <c r="P15" s="67"/>
      <c r="Q15" s="68"/>
      <c r="R15" s="66" t="s">
        <v>5</v>
      </c>
      <c r="S15" s="67"/>
      <c r="T15" s="67"/>
      <c r="U15" s="68"/>
      <c r="V15" s="60" t="s">
        <v>6</v>
      </c>
      <c r="W15" s="61"/>
      <c r="X15" s="61"/>
      <c r="Y15" s="62"/>
      <c r="Z15" s="60" t="s">
        <v>7</v>
      </c>
      <c r="AA15" s="61"/>
      <c r="AB15" s="61"/>
      <c r="AC15" s="62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</row>
    <row r="16" spans="2:233" ht="36.9" customHeight="1" x14ac:dyDescent="0.55000000000000004">
      <c r="B16" s="23" t="s">
        <v>19</v>
      </c>
      <c r="C16" s="16" t="s">
        <v>29</v>
      </c>
      <c r="D16" s="16" t="s">
        <v>0</v>
      </c>
      <c r="E16" s="17" t="s">
        <v>1</v>
      </c>
      <c r="F16" s="18" t="s">
        <v>2</v>
      </c>
      <c r="G16" s="18" t="s">
        <v>30</v>
      </c>
      <c r="H16" s="49"/>
      <c r="I16" s="25" t="s">
        <v>19</v>
      </c>
      <c r="J16" s="26" t="s">
        <v>18</v>
      </c>
      <c r="K16" s="27" t="s">
        <v>8</v>
      </c>
      <c r="L16" s="27" t="s">
        <v>9</v>
      </c>
      <c r="M16" s="27" t="s">
        <v>10</v>
      </c>
      <c r="N16" s="27" t="s">
        <v>11</v>
      </c>
      <c r="O16" s="28" t="s">
        <v>12</v>
      </c>
      <c r="P16" s="28" t="s">
        <v>13</v>
      </c>
      <c r="Q16" s="28" t="s">
        <v>14</v>
      </c>
      <c r="R16" s="28" t="s">
        <v>12</v>
      </c>
      <c r="S16" s="28" t="s">
        <v>13</v>
      </c>
      <c r="T16" s="28" t="s">
        <v>14</v>
      </c>
      <c r="U16" s="28" t="s">
        <v>15</v>
      </c>
      <c r="V16" s="60" t="s">
        <v>6</v>
      </c>
      <c r="W16" s="61"/>
      <c r="X16" s="61"/>
      <c r="Y16" s="62"/>
      <c r="Z16" s="60" t="s">
        <v>7</v>
      </c>
      <c r="AA16" s="61"/>
      <c r="AB16" s="61"/>
      <c r="AC16" s="62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</row>
    <row r="17" spans="1:233" ht="14.4" customHeight="1" x14ac:dyDescent="0.55000000000000004">
      <c r="B17" s="23">
        <v>1</v>
      </c>
      <c r="C17" s="3">
        <v>2</v>
      </c>
      <c r="D17" s="3">
        <v>3</v>
      </c>
      <c r="E17" s="3">
        <v>4</v>
      </c>
      <c r="F17" s="3">
        <v>7</v>
      </c>
      <c r="G17" s="23">
        <v>8</v>
      </c>
      <c r="H17" s="49"/>
      <c r="I17" s="25"/>
      <c r="J17" s="26"/>
      <c r="K17" s="27"/>
      <c r="L17" s="27"/>
      <c r="M17" s="27"/>
      <c r="N17" s="27"/>
      <c r="O17" s="28"/>
      <c r="P17" s="28"/>
      <c r="Q17" s="28"/>
      <c r="R17" s="28"/>
      <c r="S17" s="28"/>
      <c r="T17" s="28"/>
      <c r="U17" s="28"/>
      <c r="V17" s="27"/>
      <c r="W17" s="27"/>
      <c r="X17" s="27"/>
      <c r="Y17" s="29" t="s">
        <v>16</v>
      </c>
      <c r="Z17" s="30"/>
      <c r="AA17" s="30"/>
      <c r="AB17" s="30"/>
      <c r="AC17" s="31" t="s">
        <v>17</v>
      </c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</row>
    <row r="18" spans="1:233" s="15" customFormat="1" ht="14.4" customHeight="1" x14ac:dyDescent="0.55000000000000004">
      <c r="A18" s="1"/>
      <c r="B18" s="16" t="s">
        <v>23</v>
      </c>
      <c r="C18" s="16">
        <f>Q18</f>
        <v>0.16262834877220372</v>
      </c>
      <c r="D18" s="22">
        <f>IF(2*C18&lt; 5,340.5,IF(AND(2*C18&gt;= 5, 2*C18 &lt; 7),340.5 - 70.5 * (7 - 2*C18)/2,IF(AND(2*C18 &gt;= 7, 2*C18 &lt; 8),340.5 - 128 * (2*C18 - 7),IF(AND(2*C18 &gt;= 8, 2*C18 &lt; 8.28),212.5 - 5.357 * (2*C18 - 8),IF(2*C18 = 8.28,211,IF(AND(2*C18 &gt; 8.28, 2*C18 &lt; 20),180,IF(2*C18 &gt;= 20,6 + 174 * EXP(-3.5 * (2*C18 - 20)),"Ошибка")))))))</f>
        <v>340.5</v>
      </c>
      <c r="E18" s="23" t="str">
        <f t="shared" ref="E18:E24" si="0">IF(2*C18 &lt; 5,"Сингулярность",IF(AND(2*C18 &gt;= 5, 2*C18 &lt; 7),"Предбифуркация",IF(AND(2*C18 &gt;= 7, 2*C18&lt;= 8.28),"Бифуркация", IF(AND(2*C18&gt; 8.28, 2*C18 &lt; 20),"Стабилизация", IF(2*C18 &gt;= 20,"Распад", "Н/Д")))))</f>
        <v>Сингулярность</v>
      </c>
      <c r="F18" s="23" t="str">
        <f t="shared" ref="F18:F24" si="1">IF(AND(2*C18 &gt;= 8.28, 2*C18 &lt; 20),31 * EXP(-0.15 * (2*C18 - 8.28)),"")</f>
        <v/>
      </c>
      <c r="G18" s="76">
        <f>180+31*EXP(-0.15 *(C18 - 8.28))</f>
        <v>284.75171721927586</v>
      </c>
      <c r="H18" s="49"/>
      <c r="I18" s="50" t="s">
        <v>23</v>
      </c>
      <c r="J18" s="55">
        <f>C7</f>
        <v>82.8</v>
      </c>
      <c r="K18" s="32">
        <f>PI()</f>
        <v>3.1415926535897931</v>
      </c>
      <c r="L18" s="56">
        <f>MAX(J18:J24)</f>
        <v>1100</v>
      </c>
      <c r="M18" s="32">
        <v>6.2831849999999996</v>
      </c>
      <c r="N18" s="33">
        <f>M18*J18/L18</f>
        <v>0.47295247090909087</v>
      </c>
      <c r="O18" s="34">
        <f t="shared" ref="O18:O24" si="2">LN(1 + N18) * COS(N18)</f>
        <v>0.34475730922144843</v>
      </c>
      <c r="P18" s="34">
        <f t="shared" ref="P18:P24" si="3">LN(1 + N18) * SIN(N18)</f>
        <v>0.17640741334655477</v>
      </c>
      <c r="Q18" s="35">
        <f t="shared" ref="Q18:Q24" si="4">0.5 * (N18^1.5)</f>
        <v>0.16262834877220372</v>
      </c>
      <c r="R18" s="35">
        <f t="shared" ref="R18:R24" si="5">(LN(1 + J18)*COS(J18))*0.000000000000386</f>
        <v>7.4691189329044056E-13</v>
      </c>
      <c r="S18" s="35">
        <f t="shared" ref="S18:S24" si="6" xml:space="preserve"> (LN(1 + J18)*SIN(J18))*0.000000000000386</f>
        <v>1.5375584528580707E-12</v>
      </c>
      <c r="T18" s="35">
        <f t="shared" ref="T18:T24" si="7" xml:space="preserve"> (J18^1.5)*0.00000000000243</f>
        <v>1.8308458450139369E-9</v>
      </c>
      <c r="U18" s="35">
        <f t="shared" ref="U18:U24" si="8">(J18^1.5)*(0.000000000000386-13/137)*(2*PI())</f>
        <v>-449.2086998579868</v>
      </c>
      <c r="V18" s="32">
        <f>DEGREES(((COS(K18)/(1+K18) - LN(1+K18)*SIN(K18))^2 +((SIN(K18))/((1+K18)+LN(1+K18)*COS(K18)))^2))</f>
        <v>3.34031842560639</v>
      </c>
      <c r="W18" s="32">
        <f>(1.5*DEGREES((K18)^2)/(1 + 1/(1+K18))^2)</f>
        <v>550.36786380060028</v>
      </c>
      <c r="X18" s="32">
        <f>(1.5*DEGREES(K18)^2)^1.5</f>
        <v>10714068.134933611</v>
      </c>
      <c r="Y18" s="36">
        <f t="shared" ref="Y18:Y23" si="9">V18+W18+X18</f>
        <v>10714621.843115838</v>
      </c>
      <c r="Z18" s="33">
        <f>(((1.5/(2*DEGREES(K18)))*((SIN(K18)/(1+K18))+LN(1+K18)*COS(K18)))-((COS(K18)/(1+K18)^2-SIN(K18)/(1+K18)-LN(1+K18)*SIN(K18))))</f>
        <v>5.2378386205221998E-2</v>
      </c>
      <c r="AA18" s="33">
        <f>((1.5*DEGREES(K18)))</f>
        <v>270</v>
      </c>
      <c r="AB18" s="33">
        <f>(Q18^2 * ((1/(1+K18))^2) + (LN(1+K18)^2) + (1.5*(DEGREES(K18)^2 )))</f>
        <v>48602.021011445075</v>
      </c>
      <c r="AC18" s="37">
        <f t="shared" ref="AC18:AC20" si="10">Z18*AA18</f>
        <v>14.142164275409939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</row>
    <row r="19" spans="1:233" x14ac:dyDescent="0.55000000000000004">
      <c r="B19" s="16" t="s">
        <v>27</v>
      </c>
      <c r="C19" s="16">
        <f>Q19</f>
        <v>5.3490805256186551</v>
      </c>
      <c r="D19" s="22">
        <f t="shared" ref="D19:D24" si="11">IF(2*C19&lt; 5,340.5,IF(AND(2*C19&gt;= 5, 2*C19 &lt; 7),340.5 - 70.5 * (7 - 2*C19)/2,IF(AND(2*C19 &gt;= 7, 2*C19 &lt; 8),340.5 - 128 * (2*C19 - 7),IF(AND(2*C19 &gt;= 8, 2*C19 &lt; 8.28),212.5 - 5.357 * (2*C19 - 8),IF(2*C19 = 8.28,211,IF(AND(2*C19 &gt; 8.28, 2*C19 &lt; 20),180,IF(2*C19 &gt;= 20,6 + 174 * EXP(-3.5 * (2*C19 - 20)),"Ошибка")))))))</f>
        <v>180</v>
      </c>
      <c r="E19" s="23" t="str">
        <f t="shared" si="0"/>
        <v>Стабилизация</v>
      </c>
      <c r="F19" s="23">
        <f t="shared" si="1"/>
        <v>21.569128296229774</v>
      </c>
      <c r="G19" s="76">
        <f t="shared" ref="G19:G24" si="12">180+31*EXP(-0.15 *(C19 - 8.28))</f>
        <v>228.11649865325614</v>
      </c>
      <c r="I19" s="50" t="s">
        <v>27</v>
      </c>
      <c r="J19" s="55">
        <f>C8</f>
        <v>850</v>
      </c>
      <c r="K19" s="32">
        <f>PI()</f>
        <v>3.1415926535897931</v>
      </c>
      <c r="L19" s="32">
        <f>MAX(J18:J26)</f>
        <v>1100</v>
      </c>
      <c r="M19" s="32">
        <v>6.2831849999999996</v>
      </c>
      <c r="N19" s="33">
        <f t="shared" ref="N19:N24" si="13">M19*J19/L19</f>
        <v>4.8551884090909088</v>
      </c>
      <c r="O19" s="34">
        <f t="shared" si="2"/>
        <v>0.25151660826830824</v>
      </c>
      <c r="P19" s="34">
        <f t="shared" si="3"/>
        <v>-1.7493393828601935</v>
      </c>
      <c r="Q19" s="35">
        <f t="shared" si="4"/>
        <v>5.3490805256186551</v>
      </c>
      <c r="R19" s="35">
        <f t="shared" si="5"/>
        <v>-5.1528320686130388E-13</v>
      </c>
      <c r="S19" s="35">
        <f t="shared" si="6"/>
        <v>2.5526258196406352E-12</v>
      </c>
      <c r="T19" s="35">
        <f t="shared" si="7"/>
        <v>6.0219155694014908E-8</v>
      </c>
      <c r="U19" s="35">
        <f t="shared" si="8"/>
        <v>-14775.120859860375</v>
      </c>
      <c r="V19" s="32">
        <f>DEGREES(((COS(K19)/(1+K19) - LN(1+K19)*SIN(K19))^2 +((SIN(K19))/((1+K19)+LN(1+K19)*COS(K19)))^2))</f>
        <v>3.34031842560639</v>
      </c>
      <c r="W19" s="32">
        <f>(1.5*DEGREES((K19)^2)/(1 + 1/(1+K19))^2)</f>
        <v>550.36786380060028</v>
      </c>
      <c r="X19" s="32">
        <f>(1.5*DEGREES(K19)^2)^1.5</f>
        <v>10714068.134933611</v>
      </c>
      <c r="Y19" s="36">
        <f t="shared" si="9"/>
        <v>10714621.843115838</v>
      </c>
      <c r="Z19" s="33">
        <f>(((1.5/(2*DEGREES(K19)))*((SIN(K19)/(1+K19))+LN(1+K19)*COS(K19)))-((COS(K19)/(1+K19)^2-SIN(K19)/(1+K19)-LN(1+K19)*SIN(K19))))</f>
        <v>5.2378386205221998E-2</v>
      </c>
      <c r="AA19" s="33">
        <f>((1.5*DEGREES(K19)))</f>
        <v>270</v>
      </c>
      <c r="AB19" s="33">
        <f>(Q19^2 * ((1/(1+K19))^2) + (LN(1+K19)^2) + (1.5*(DEGREES(K19)^2 )))</f>
        <v>48603.687575017291</v>
      </c>
      <c r="AC19" s="37">
        <f t="shared" si="10"/>
        <v>14.142164275409939</v>
      </c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</row>
    <row r="20" spans="1:233" x14ac:dyDescent="0.55000000000000004">
      <c r="B20" s="16"/>
      <c r="C20" s="16">
        <f t="shared" ref="C20:C24" si="14">Q20</f>
        <v>5.8279324783147217</v>
      </c>
      <c r="D20" s="22">
        <f t="shared" si="11"/>
        <v>180</v>
      </c>
      <c r="E20" s="23" t="str">
        <f t="shared" si="0"/>
        <v>Стабилизация</v>
      </c>
      <c r="F20" s="23">
        <f t="shared" si="1"/>
        <v>18.682877468189737</v>
      </c>
      <c r="G20" s="76">
        <f t="shared" si="12"/>
        <v>224.78159964035567</v>
      </c>
      <c r="H20" s="49"/>
      <c r="I20" s="50"/>
      <c r="J20" s="55">
        <f t="shared" ref="J20:J24" si="15">C9</f>
        <v>900</v>
      </c>
      <c r="K20" s="32">
        <f>PI()</f>
        <v>3.1415926535897931</v>
      </c>
      <c r="L20" s="32">
        <f>MAX(J18:J26)</f>
        <v>1100</v>
      </c>
      <c r="M20" s="32">
        <v>6.2831849999999996</v>
      </c>
      <c r="N20" s="33">
        <f t="shared" si="13"/>
        <v>5.1407877272727269</v>
      </c>
      <c r="O20" s="34">
        <f t="shared" si="2"/>
        <v>0.75395832090975956</v>
      </c>
      <c r="P20" s="34">
        <f t="shared" si="3"/>
        <v>-1.6509395340751774</v>
      </c>
      <c r="Q20" s="35">
        <f t="shared" si="4"/>
        <v>5.8279324783147217</v>
      </c>
      <c r="R20" s="35">
        <f t="shared" si="5"/>
        <v>1.7397397768102251E-13</v>
      </c>
      <c r="S20" s="35">
        <f t="shared" si="6"/>
        <v>2.6203840919052349E-12</v>
      </c>
      <c r="T20" s="35">
        <f t="shared" si="7"/>
        <v>6.560999999999999E-8</v>
      </c>
      <c r="U20" s="35">
        <f t="shared" si="8"/>
        <v>-16097.795932927467</v>
      </c>
      <c r="V20" s="32">
        <f t="shared" ref="V20:V24" si="16">DEGREES(((COS(K20)/(1+K20) - LN(1+K20)*SIN(K20))^2 +((SIN(K20))/((1+K20)+LN(1+K20)*COS(K20)))^2))</f>
        <v>3.34031842560639</v>
      </c>
      <c r="W20" s="32">
        <f t="shared" ref="W20:W24" si="17">(1.5*DEGREES((K20)^2)/(1 + 1/(1+K20))^2)</f>
        <v>550.36786380060028</v>
      </c>
      <c r="X20" s="32">
        <f t="shared" ref="X20:X24" si="18">(1.5*DEGREES(K20)^2)^1.5</f>
        <v>10714068.134933611</v>
      </c>
      <c r="Y20" s="36">
        <f t="shared" si="9"/>
        <v>10714621.843115838</v>
      </c>
      <c r="Z20" s="33">
        <f t="shared" ref="Z20:Z24" si="19">(((1.5/(2*DEGREES(K20)))*((SIN(K20)/(1+K20))+LN(1+K20)*COS(K20)))-((COS(K20)/(1+K20)^2-SIN(K20)/(1+K20)-LN(1+K20)*SIN(K20))))</f>
        <v>5.2378386205221998E-2</v>
      </c>
      <c r="AA20" s="33">
        <f t="shared" ref="AA20:AA24" si="20">((1.5*DEGREES(K20)))</f>
        <v>270</v>
      </c>
      <c r="AB20" s="33">
        <f t="shared" ref="AB20:AB24" si="21">(Q20^2 * ((1/(1+K20))^2) + (LN(1+K20)^2) + (1.5*(DEGREES(K20)^2 )))</f>
        <v>48603.999602074888</v>
      </c>
      <c r="AC20" s="37">
        <f t="shared" si="10"/>
        <v>14.142164275409939</v>
      </c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</row>
    <row r="21" spans="1:233" x14ac:dyDescent="0.55000000000000004">
      <c r="B21" s="16"/>
      <c r="C21" s="16">
        <f t="shared" si="14"/>
        <v>6.3202776201475759</v>
      </c>
      <c r="D21" s="22">
        <f t="shared" si="11"/>
        <v>180</v>
      </c>
      <c r="E21" s="23" t="str">
        <f t="shared" si="0"/>
        <v>Стабилизация</v>
      </c>
      <c r="F21" s="23">
        <f t="shared" si="1"/>
        <v>16.117472281763593</v>
      </c>
      <c r="G21" s="76">
        <f t="shared" si="12"/>
        <v>221.5935688957008</v>
      </c>
      <c r="I21" s="50"/>
      <c r="J21" s="55">
        <f t="shared" si="15"/>
        <v>950</v>
      </c>
      <c r="K21" s="32">
        <f>PI()</f>
        <v>3.1415926535897931</v>
      </c>
      <c r="L21" s="32">
        <f>MAX(J18:J26)</f>
        <v>1100</v>
      </c>
      <c r="M21" s="32">
        <v>6.2831849999999996</v>
      </c>
      <c r="N21" s="33">
        <f t="shared" si="13"/>
        <v>5.4263870454545451</v>
      </c>
      <c r="O21" s="34">
        <f t="shared" si="2"/>
        <v>1.2183107156691289</v>
      </c>
      <c r="P21" s="34">
        <f t="shared" si="3"/>
        <v>-1.4060062706808343</v>
      </c>
      <c r="Q21" s="35">
        <f t="shared" si="4"/>
        <v>6.3202776201475759</v>
      </c>
      <c r="R21" s="35">
        <f t="shared" si="5"/>
        <v>8.621923755258268E-13</v>
      </c>
      <c r="S21" s="35">
        <f t="shared" si="6"/>
        <v>2.5026457148729263E-12</v>
      </c>
      <c r="T21" s="35">
        <f t="shared" si="7"/>
        <v>7.1152748629269367E-8</v>
      </c>
      <c r="U21" s="35">
        <f t="shared" si="8"/>
        <v>-17457.741617144689</v>
      </c>
      <c r="V21" s="32">
        <f t="shared" si="16"/>
        <v>3.34031842560639</v>
      </c>
      <c r="W21" s="32">
        <f t="shared" si="17"/>
        <v>550.36786380060028</v>
      </c>
      <c r="X21" s="32">
        <f t="shared" si="18"/>
        <v>10714068.134933611</v>
      </c>
      <c r="Y21" s="36">
        <f t="shared" si="9"/>
        <v>10714621.843115838</v>
      </c>
      <c r="Z21" s="33">
        <f t="shared" si="19"/>
        <v>5.2378386205221998E-2</v>
      </c>
      <c r="AA21" s="33">
        <f t="shared" si="20"/>
        <v>270</v>
      </c>
      <c r="AB21" s="33">
        <f t="shared" si="21"/>
        <v>48604.348298253506</v>
      </c>
      <c r="AC21" s="37">
        <f>Z21*AA21</f>
        <v>14.142164275409939</v>
      </c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</row>
    <row r="22" spans="1:233" ht="12.3" customHeight="1" x14ac:dyDescent="0.55000000000000004">
      <c r="B22" s="16"/>
      <c r="C22" s="16">
        <f t="shared" si="14"/>
        <v>6.8257558078312517</v>
      </c>
      <c r="D22" s="22">
        <f t="shared" si="11"/>
        <v>180</v>
      </c>
      <c r="E22" s="23" t="str">
        <f t="shared" si="0"/>
        <v>Стабилизация</v>
      </c>
      <c r="F22" s="23">
        <f t="shared" si="1"/>
        <v>13.849656932857551</v>
      </c>
      <c r="G22" s="76">
        <f t="shared" si="12"/>
        <v>218.55646666108021</v>
      </c>
      <c r="I22" s="50"/>
      <c r="J22" s="55">
        <f t="shared" si="15"/>
        <v>1000</v>
      </c>
      <c r="K22" s="32">
        <f>PI()</f>
        <v>3.1415926535897931</v>
      </c>
      <c r="L22" s="32">
        <f>MAX(J18:J26)</f>
        <v>1100</v>
      </c>
      <c r="M22" s="32">
        <v>6.2831849999999996</v>
      </c>
      <c r="N22" s="33">
        <f t="shared" si="13"/>
        <v>5.7119863636363633</v>
      </c>
      <c r="O22" s="34">
        <f t="shared" si="2"/>
        <v>1.6016580548881076</v>
      </c>
      <c r="P22" s="34">
        <f t="shared" si="3"/>
        <v>-1.0293237626419793</v>
      </c>
      <c r="Q22" s="35">
        <f t="shared" si="4"/>
        <v>6.8257558078312517</v>
      </c>
      <c r="R22" s="35">
        <f t="shared" si="5"/>
        <v>1.4997409046085658E-12</v>
      </c>
      <c r="S22" s="35">
        <f t="shared" si="6"/>
        <v>2.2051052793414201E-12</v>
      </c>
      <c r="T22" s="35">
        <f t="shared" si="7"/>
        <v>7.6843347142091587E-8</v>
      </c>
      <c r="U22" s="35">
        <f t="shared" si="8"/>
        <v>-18853.963132091081</v>
      </c>
      <c r="V22" s="32">
        <f t="shared" si="16"/>
        <v>3.34031842560639</v>
      </c>
      <c r="W22" s="32">
        <f t="shared" si="17"/>
        <v>550.36786380060028</v>
      </c>
      <c r="X22" s="32">
        <f t="shared" si="18"/>
        <v>10714068.134933611</v>
      </c>
      <c r="Y22" s="36">
        <f t="shared" si="9"/>
        <v>10714621.843115838</v>
      </c>
      <c r="Z22" s="33">
        <f t="shared" si="19"/>
        <v>5.2378386205221998E-2</v>
      </c>
      <c r="AA22" s="33">
        <f t="shared" si="20"/>
        <v>270</v>
      </c>
      <c r="AB22" s="33">
        <f t="shared" si="21"/>
        <v>48604.735700726538</v>
      </c>
      <c r="AC22" s="37">
        <f>Z22*AA22</f>
        <v>14.142164275409939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</row>
    <row r="23" spans="1:233" ht="12.3" customHeight="1" x14ac:dyDescent="0.55000000000000004">
      <c r="B23" s="16"/>
      <c r="C23" s="16">
        <f t="shared" si="14"/>
        <v>7.3440342888475083</v>
      </c>
      <c r="D23" s="22">
        <f t="shared" si="11"/>
        <v>180</v>
      </c>
      <c r="E23" s="23" t="str">
        <f t="shared" si="0"/>
        <v>Стабилизация</v>
      </c>
      <c r="F23" s="23">
        <f t="shared" si="1"/>
        <v>11.855322440391735</v>
      </c>
      <c r="G23" s="76">
        <f t="shared" si="12"/>
        <v>215.67257053656775</v>
      </c>
      <c r="I23" s="50"/>
      <c r="J23" s="55">
        <f t="shared" si="15"/>
        <v>1050</v>
      </c>
      <c r="K23" s="32">
        <f>PI()</f>
        <v>3.1415926535897931</v>
      </c>
      <c r="L23" s="32">
        <f>MAX(J18:J26)</f>
        <v>1100</v>
      </c>
      <c r="M23" s="32">
        <v>6.2831849999999996</v>
      </c>
      <c r="N23" s="33">
        <f t="shared" si="13"/>
        <v>5.9975856818181814</v>
      </c>
      <c r="O23" s="34">
        <f t="shared" si="2"/>
        <v>1.8667559658814394</v>
      </c>
      <c r="P23" s="34">
        <f t="shared" si="3"/>
        <v>-0.54812960198979721</v>
      </c>
      <c r="Q23" s="35">
        <f t="shared" si="4"/>
        <v>7.3440342888475083</v>
      </c>
      <c r="R23" s="35">
        <f t="shared" si="5"/>
        <v>2.0400553479087257E-12</v>
      </c>
      <c r="S23" s="35">
        <f t="shared" si="6"/>
        <v>1.7465936077372267E-12</v>
      </c>
      <c r="T23" s="35">
        <f t="shared" si="7"/>
        <v>8.2678049459938268E-8</v>
      </c>
      <c r="U23" s="35">
        <f t="shared" si="8"/>
        <v>-20285.541355564252</v>
      </c>
      <c r="V23" s="32">
        <f t="shared" si="16"/>
        <v>3.34031842560639</v>
      </c>
      <c r="W23" s="32">
        <f t="shared" si="17"/>
        <v>550.36786380060028</v>
      </c>
      <c r="X23" s="32">
        <f t="shared" si="18"/>
        <v>10714068.134933611</v>
      </c>
      <c r="Y23" s="36">
        <f t="shared" si="9"/>
        <v>10714621.843115838</v>
      </c>
      <c r="Z23" s="33">
        <f t="shared" si="19"/>
        <v>5.2378386205221998E-2</v>
      </c>
      <c r="AA23" s="33">
        <f t="shared" si="20"/>
        <v>270</v>
      </c>
      <c r="AB23" s="33">
        <f t="shared" si="21"/>
        <v>48605.163846667376</v>
      </c>
      <c r="AC23" s="37">
        <f>Z23*AA23</f>
        <v>14.142164275409939</v>
      </c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</row>
    <row r="24" spans="1:233" ht="12.3" customHeight="1" x14ac:dyDescent="0.55000000000000004">
      <c r="B24" s="16"/>
      <c r="C24" s="16">
        <f t="shared" si="14"/>
        <v>7.8748043953724371</v>
      </c>
      <c r="D24" s="22">
        <f t="shared" si="11"/>
        <v>180</v>
      </c>
      <c r="E24" s="23" t="str">
        <f t="shared" si="0"/>
        <v>Стабилизация</v>
      </c>
      <c r="F24" s="23">
        <f t="shared" si="1"/>
        <v>10.110210824420999</v>
      </c>
      <c r="G24" s="76">
        <f t="shared" si="12"/>
        <v>212.94259644728237</v>
      </c>
      <c r="I24" s="50"/>
      <c r="J24" s="55">
        <f t="shared" si="15"/>
        <v>1100</v>
      </c>
      <c r="K24" s="32">
        <f>PI()</f>
        <v>3.1415926535897931</v>
      </c>
      <c r="L24" s="56">
        <f>MAX(J18:J24)</f>
        <v>1100</v>
      </c>
      <c r="M24" s="32">
        <v>6.2831849999999996</v>
      </c>
      <c r="N24" s="33">
        <f t="shared" si="13"/>
        <v>6.2831849999999996</v>
      </c>
      <c r="O24" s="34">
        <f t="shared" si="2"/>
        <v>1.9855682665332801</v>
      </c>
      <c r="P24" s="34">
        <f t="shared" si="3"/>
        <v>-6.0992603987760077E-7</v>
      </c>
      <c r="Q24" s="35">
        <f t="shared" si="4"/>
        <v>7.8748043953724371</v>
      </c>
      <c r="R24" s="35">
        <f t="shared" si="5"/>
        <v>2.4430579212788855E-12</v>
      </c>
      <c r="S24" s="35">
        <f t="shared" si="6"/>
        <v>1.1578273503142905E-12</v>
      </c>
      <c r="T24" s="35">
        <f t="shared" si="7"/>
        <v>8.865338064619975E-8</v>
      </c>
      <c r="U24" s="35">
        <f t="shared" si="8"/>
        <v>-21751.623691612029</v>
      </c>
      <c r="V24" s="32">
        <f t="shared" si="16"/>
        <v>3.34031842560639</v>
      </c>
      <c r="W24" s="32">
        <f t="shared" si="17"/>
        <v>550.36786380060028</v>
      </c>
      <c r="X24" s="32">
        <f t="shared" si="18"/>
        <v>10714068.134933611</v>
      </c>
      <c r="Y24" s="36">
        <f>V24+W24+X24</f>
        <v>10714621.843115838</v>
      </c>
      <c r="Z24" s="33">
        <f t="shared" si="19"/>
        <v>5.2378386205221998E-2</v>
      </c>
      <c r="AA24" s="33">
        <f t="shared" si="20"/>
        <v>270</v>
      </c>
      <c r="AB24" s="33">
        <f t="shared" si="21"/>
        <v>48605.634773249411</v>
      </c>
      <c r="AC24" s="37">
        <f>Z24*AA24</f>
        <v>14.142164275409939</v>
      </c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</row>
    <row r="25" spans="1:233" ht="12.3" customHeight="1" x14ac:dyDescent="0.55000000000000004">
      <c r="I25" s="38"/>
      <c r="J25" s="49"/>
      <c r="K25" s="46"/>
      <c r="L25" s="46"/>
      <c r="M25" s="46"/>
      <c r="N25" s="45"/>
      <c r="O25" s="45"/>
      <c r="P25" s="45"/>
      <c r="Q25" s="47"/>
      <c r="R25" s="47"/>
      <c r="S25" s="47"/>
      <c r="T25" s="47"/>
      <c r="U25" s="47"/>
      <c r="V25" s="46"/>
      <c r="W25" s="46"/>
      <c r="X25" s="46"/>
      <c r="Y25" s="46"/>
      <c r="Z25" s="45"/>
      <c r="AA25" s="45"/>
      <c r="AB25" s="45"/>
      <c r="AC25" s="45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</row>
    <row r="26" spans="1:233" ht="12.3" customHeight="1" x14ac:dyDescent="0.55000000000000004">
      <c r="A26" s="1"/>
      <c r="B26" s="1"/>
      <c r="C26" s="1"/>
      <c r="D26" s="1"/>
      <c r="E26" s="1"/>
      <c r="G26" s="38"/>
      <c r="I26" s="38"/>
      <c r="J26" s="49"/>
      <c r="K26" s="46"/>
      <c r="L26" s="46"/>
      <c r="M26" s="46"/>
      <c r="N26" s="45"/>
      <c r="O26" s="45"/>
      <c r="P26" s="45"/>
      <c r="Q26" s="47"/>
      <c r="R26" s="47"/>
      <c r="S26" s="47"/>
      <c r="T26" s="47"/>
      <c r="U26" s="47"/>
      <c r="V26" s="46"/>
      <c r="W26" s="46"/>
      <c r="X26" s="46"/>
      <c r="Y26" s="46"/>
      <c r="Z26" s="45"/>
      <c r="AA26" s="45"/>
      <c r="AB26" s="45"/>
      <c r="AC26" s="45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</row>
    <row r="27" spans="1:233" ht="12.3" customHeight="1" x14ac:dyDescent="0.55000000000000004">
      <c r="A27" s="1"/>
      <c r="B27" s="1"/>
      <c r="C27" s="1"/>
      <c r="D27" s="1"/>
      <c r="E27" s="1"/>
      <c r="I27" s="48"/>
      <c r="J27" s="48"/>
      <c r="K27" s="46"/>
      <c r="L27" s="46"/>
      <c r="M27" s="46"/>
      <c r="N27" s="45"/>
      <c r="O27" s="45"/>
      <c r="P27" s="45"/>
      <c r="Q27" s="47"/>
      <c r="R27" s="47"/>
      <c r="S27" s="47"/>
      <c r="T27" s="47"/>
      <c r="U27" s="47"/>
      <c r="V27" s="46"/>
      <c r="W27" s="46"/>
      <c r="X27" s="46"/>
      <c r="Y27" s="46"/>
      <c r="Z27" s="45"/>
      <c r="AA27" s="45"/>
      <c r="AB27" s="45"/>
      <c r="AC27" s="45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</row>
    <row r="28" spans="1:233" ht="12.3" customHeight="1" x14ac:dyDescent="0.55000000000000004">
      <c r="A28" s="1"/>
      <c r="B28" s="43"/>
      <c r="C28" s="7"/>
      <c r="D28" s="7"/>
      <c r="E28" s="8"/>
      <c r="F28" s="4"/>
      <c r="G28" s="4"/>
      <c r="I28" s="48"/>
      <c r="J28" s="48"/>
      <c r="K28" s="46"/>
      <c r="L28" s="46"/>
      <c r="M28" s="46"/>
      <c r="N28" s="45"/>
      <c r="O28" s="45"/>
      <c r="P28" s="45"/>
      <c r="Q28" s="47"/>
      <c r="R28" s="47"/>
      <c r="S28" s="47"/>
      <c r="T28" s="47"/>
      <c r="U28" s="47"/>
      <c r="V28" s="46"/>
      <c r="W28" s="46"/>
      <c r="X28" s="46"/>
      <c r="Y28" s="46"/>
      <c r="Z28" s="45"/>
      <c r="AA28" s="45"/>
      <c r="AB28" s="45"/>
      <c r="AC28" s="45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</row>
    <row r="29" spans="1:233" ht="13.2" customHeight="1" x14ac:dyDescent="0.55000000000000004">
      <c r="A29" s="1"/>
      <c r="B29" s="43"/>
      <c r="C29" s="5"/>
      <c r="D29" s="5"/>
      <c r="E29" s="5"/>
      <c r="F29" s="5"/>
      <c r="G29" s="43"/>
      <c r="I29" s="48"/>
      <c r="J29" s="48"/>
      <c r="K29" s="46"/>
      <c r="L29" s="46"/>
      <c r="M29" s="46"/>
      <c r="N29" s="45"/>
      <c r="O29" s="45"/>
      <c r="P29" s="45"/>
      <c r="Q29" s="47"/>
      <c r="R29" s="47"/>
      <c r="S29" s="47"/>
      <c r="T29" s="47"/>
      <c r="U29" s="47"/>
      <c r="V29" s="46"/>
      <c r="W29" s="46"/>
      <c r="X29" s="46"/>
      <c r="Y29" s="46"/>
      <c r="Z29" s="45"/>
      <c r="AA29" s="45"/>
      <c r="AB29" s="45"/>
      <c r="AC29" s="45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</row>
    <row r="30" spans="1:233" ht="15.3" x14ac:dyDescent="0.55000000000000004">
      <c r="A30" s="1"/>
      <c r="B30" s="7"/>
      <c r="C30" s="7"/>
      <c r="D30" s="44"/>
      <c r="E30" s="43"/>
      <c r="F30" s="43"/>
      <c r="G30" s="43"/>
      <c r="I30" s="48"/>
      <c r="J30" s="48"/>
      <c r="K30" s="46"/>
      <c r="L30" s="46"/>
      <c r="M30" s="46"/>
      <c r="N30" s="45"/>
      <c r="O30" s="45"/>
      <c r="P30" s="45"/>
      <c r="Q30" s="47"/>
      <c r="R30" s="47"/>
      <c r="S30" s="47"/>
      <c r="T30" s="47"/>
      <c r="U30" s="47"/>
      <c r="V30" s="46"/>
      <c r="W30" s="46"/>
      <c r="X30" s="46"/>
      <c r="Y30" s="46"/>
      <c r="Z30" s="45"/>
      <c r="AA30" s="45"/>
      <c r="AB30" s="45"/>
      <c r="AC30" s="45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</row>
    <row r="31" spans="1:233" ht="15.3" x14ac:dyDescent="0.55000000000000004">
      <c r="A31" s="1"/>
      <c r="B31" s="7"/>
      <c r="C31" s="7"/>
      <c r="D31" s="44"/>
      <c r="E31" s="43"/>
      <c r="F31" s="43"/>
      <c r="G31" s="43"/>
      <c r="I31" s="48"/>
      <c r="J31" s="48"/>
      <c r="K31" s="46"/>
      <c r="L31" s="46"/>
      <c r="M31" s="46"/>
      <c r="N31" s="45"/>
      <c r="O31" s="45"/>
      <c r="P31" s="45"/>
      <c r="Q31" s="47"/>
      <c r="R31" s="47"/>
      <c r="S31" s="47"/>
      <c r="T31" s="47"/>
      <c r="U31" s="47"/>
      <c r="V31" s="46"/>
      <c r="W31" s="46"/>
      <c r="X31" s="46"/>
      <c r="Y31" s="46"/>
      <c r="Z31" s="45"/>
      <c r="AA31" s="45"/>
      <c r="AB31" s="45"/>
      <c r="AC31" s="45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</row>
    <row r="32" spans="1:233" x14ac:dyDescent="0.55000000000000004">
      <c r="A32" s="1"/>
      <c r="B32" s="7"/>
      <c r="C32" s="7"/>
      <c r="D32" s="44"/>
      <c r="E32" s="43"/>
      <c r="F32" s="43"/>
      <c r="G32" s="4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</row>
    <row r="33" spans="2:7" s="1" customFormat="1" x14ac:dyDescent="0.55000000000000004">
      <c r="B33" s="7"/>
      <c r="C33" s="7"/>
      <c r="D33" s="44"/>
      <c r="E33" s="43"/>
      <c r="F33" s="43"/>
      <c r="G33" s="43"/>
    </row>
    <row r="34" spans="2:7" s="1" customFormat="1" x14ac:dyDescent="0.55000000000000004">
      <c r="B34" s="7"/>
      <c r="C34" s="7"/>
      <c r="D34" s="44"/>
      <c r="E34" s="43"/>
      <c r="F34" s="43"/>
      <c r="G34" s="43"/>
    </row>
    <row r="35" spans="2:7" s="1" customFormat="1" x14ac:dyDescent="0.55000000000000004">
      <c r="B35" s="7"/>
      <c r="C35" s="7"/>
      <c r="D35" s="44"/>
      <c r="E35" s="43"/>
      <c r="F35" s="43"/>
      <c r="G35" s="43"/>
    </row>
    <row r="36" spans="2:7" s="1" customFormat="1" x14ac:dyDescent="0.55000000000000004">
      <c r="B36" s="7"/>
      <c r="C36" s="7"/>
      <c r="D36" s="44"/>
      <c r="E36" s="43"/>
      <c r="F36" s="43"/>
      <c r="G36" s="43"/>
    </row>
    <row r="37" spans="2:7" s="1" customFormat="1" x14ac:dyDescent="0.55000000000000004">
      <c r="B37" s="7"/>
      <c r="C37" s="7"/>
      <c r="D37" s="44"/>
      <c r="E37" s="43"/>
      <c r="F37" s="43"/>
      <c r="G37" s="43"/>
    </row>
    <row r="38" spans="2:7" s="1" customFormat="1" x14ac:dyDescent="0.55000000000000004"/>
    <row r="39" spans="2:7" s="1" customFormat="1" x14ac:dyDescent="0.55000000000000004"/>
    <row r="40" spans="2:7" s="1" customFormat="1" x14ac:dyDescent="0.55000000000000004"/>
    <row r="41" spans="2:7" s="1" customFormat="1" x14ac:dyDescent="0.55000000000000004"/>
    <row r="42" spans="2:7" s="1" customFormat="1" x14ac:dyDescent="0.55000000000000004"/>
    <row r="43" spans="2:7" s="1" customFormat="1" x14ac:dyDescent="0.55000000000000004"/>
    <row r="44" spans="2:7" s="1" customFormat="1" x14ac:dyDescent="0.55000000000000004"/>
    <row r="45" spans="2:7" s="1" customFormat="1" x14ac:dyDescent="0.55000000000000004"/>
    <row r="46" spans="2:7" s="1" customFormat="1" x14ac:dyDescent="0.55000000000000004"/>
    <row r="47" spans="2:7" s="1" customFormat="1" x14ac:dyDescent="0.55000000000000004"/>
    <row r="48" spans="2:7" s="1" customFormat="1" x14ac:dyDescent="0.55000000000000004"/>
    <row r="49" spans="2:25" s="1" customFormat="1" x14ac:dyDescent="0.55000000000000004">
      <c r="B49" s="63"/>
      <c r="C49" s="63"/>
      <c r="D49" s="63"/>
      <c r="E49" s="63"/>
      <c r="F49" s="63"/>
      <c r="G49" s="4"/>
    </row>
    <row r="50" spans="2:25" s="1" customFormat="1" ht="15.3" x14ac:dyDescent="0.55000000000000004">
      <c r="B50" s="42"/>
      <c r="C50" s="42"/>
      <c r="D50" s="42"/>
      <c r="E50" s="42"/>
      <c r="F50" s="42"/>
      <c r="G50" s="42"/>
      <c r="H50" s="6"/>
      <c r="I50" s="6"/>
      <c r="J50" s="2"/>
      <c r="K50" s="2"/>
      <c r="L50" s="2"/>
      <c r="M50" s="2"/>
      <c r="N50" s="2"/>
      <c r="O50" s="2"/>
      <c r="P50" s="2"/>
      <c r="Q50" s="6"/>
      <c r="R50" s="6"/>
    </row>
    <row r="51" spans="2:25" s="1" customFormat="1" ht="21" customHeight="1" x14ac:dyDescent="0.55000000000000004">
      <c r="F51" s="38"/>
      <c r="G51" s="38"/>
      <c r="H51" s="6"/>
      <c r="I51" s="6"/>
      <c r="J51" s="2"/>
      <c r="K51" s="2"/>
      <c r="L51" s="2"/>
      <c r="M51" s="2"/>
      <c r="N51" s="41"/>
      <c r="O51" s="41"/>
      <c r="P51" s="41"/>
      <c r="Q51" s="40"/>
      <c r="R51" s="6"/>
      <c r="S51" s="6"/>
      <c r="T51" s="7"/>
      <c r="U51" s="7"/>
      <c r="V51" s="7"/>
      <c r="W51" s="7"/>
      <c r="X51" s="8"/>
      <c r="Y51" s="4"/>
    </row>
    <row r="52" spans="2:25" s="1" customFormat="1" ht="13.5" customHeight="1" x14ac:dyDescent="0.55000000000000004">
      <c r="F52" s="38"/>
      <c r="G52" s="38"/>
      <c r="M52" s="6"/>
      <c r="N52" s="39"/>
      <c r="O52" s="39"/>
      <c r="P52" s="39"/>
      <c r="Q52" s="39"/>
      <c r="R52" s="6"/>
      <c r="S52" s="6"/>
      <c r="T52" s="5"/>
      <c r="U52" s="5"/>
      <c r="V52" s="5"/>
      <c r="W52" s="5"/>
      <c r="X52" s="5"/>
      <c r="Y52" s="5"/>
    </row>
    <row r="53" spans="2:25" s="1" customFormat="1" ht="10.5" customHeight="1" x14ac:dyDescent="0.55000000000000004">
      <c r="F53" s="38"/>
      <c r="G53" s="38"/>
      <c r="H53" s="7"/>
      <c r="I53" s="7"/>
      <c r="J53" s="7"/>
      <c r="K53" s="8"/>
      <c r="L53" s="4"/>
      <c r="M53" s="6"/>
      <c r="N53" s="39"/>
      <c r="O53" s="39"/>
      <c r="P53" s="39"/>
      <c r="Q53" s="39"/>
      <c r="R53" s="6"/>
      <c r="S53" s="6"/>
      <c r="T53" s="11"/>
      <c r="U53" s="9"/>
      <c r="V53" s="9"/>
      <c r="W53" s="21"/>
      <c r="X53" s="10"/>
      <c r="Y53" s="10"/>
    </row>
    <row r="54" spans="2:25" s="1" customFormat="1" ht="15.3" x14ac:dyDescent="0.55000000000000004">
      <c r="F54" s="38"/>
      <c r="G54" s="38"/>
      <c r="H54" s="5"/>
      <c r="I54" s="5"/>
      <c r="J54" s="5"/>
      <c r="K54" s="5"/>
      <c r="L54" s="5"/>
      <c r="M54" s="6"/>
      <c r="N54" s="39"/>
      <c r="O54" s="39"/>
      <c r="P54" s="39"/>
      <c r="Q54" s="39"/>
      <c r="R54" s="6"/>
      <c r="S54" s="6"/>
      <c r="T54" s="11"/>
      <c r="U54" s="11"/>
      <c r="V54" s="11"/>
      <c r="W54" s="21"/>
      <c r="X54" s="10"/>
      <c r="Y54" s="10"/>
    </row>
    <row r="55" spans="2:25" s="1" customFormat="1" ht="17.100000000000001" customHeight="1" x14ac:dyDescent="0.55000000000000004">
      <c r="F55" s="38"/>
      <c r="G55" s="38"/>
      <c r="J55" s="4"/>
      <c r="K55" s="10"/>
      <c r="R55" s="6"/>
      <c r="S55" s="6"/>
      <c r="T55" s="11"/>
      <c r="U55" s="12"/>
      <c r="V55" s="12"/>
      <c r="W55" s="21"/>
      <c r="X55" s="13"/>
      <c r="Y55" s="10"/>
    </row>
    <row r="56" spans="2:25" s="1" customFormat="1" ht="15.3" x14ac:dyDescent="0.55000000000000004">
      <c r="F56" s="38"/>
      <c r="G56" s="38"/>
      <c r="J56" s="5"/>
      <c r="K56" s="13"/>
      <c r="R56" s="6"/>
      <c r="S56" s="6"/>
      <c r="T56" s="11"/>
      <c r="U56" s="14"/>
      <c r="V56" s="14"/>
      <c r="W56" s="21"/>
      <c r="X56" s="13"/>
      <c r="Y56" s="10"/>
    </row>
    <row r="57" spans="2:25" s="1" customFormat="1" ht="15.3" x14ac:dyDescent="0.55000000000000004">
      <c r="F57" s="38"/>
      <c r="G57" s="38"/>
      <c r="J57" s="10"/>
      <c r="K57" s="13"/>
      <c r="Q57" s="6"/>
      <c r="R57" s="6"/>
    </row>
    <row r="58" spans="2:25" s="1" customFormat="1" ht="15.3" x14ac:dyDescent="0.55000000000000004">
      <c r="F58" s="38"/>
      <c r="G58" s="38"/>
      <c r="J58" s="10"/>
      <c r="K58" s="13"/>
      <c r="Q58" s="6"/>
      <c r="R58" s="6"/>
    </row>
    <row r="59" spans="2:25" s="1" customFormat="1" ht="15.3" x14ac:dyDescent="0.55000000000000004">
      <c r="F59" s="38"/>
      <c r="G59" s="38"/>
      <c r="J59" s="10"/>
      <c r="K59" s="13"/>
      <c r="Q59" s="6"/>
      <c r="R59" s="6"/>
    </row>
    <row r="60" spans="2:25" s="1" customFormat="1" ht="15.3" x14ac:dyDescent="0.55000000000000004">
      <c r="F60" s="38"/>
      <c r="G60" s="38"/>
      <c r="J60" s="10"/>
      <c r="K60" s="13"/>
      <c r="Q60" s="6"/>
      <c r="R60" s="6"/>
    </row>
    <row r="61" spans="2:25" s="1" customFormat="1" x14ac:dyDescent="0.55000000000000004">
      <c r="J61" s="10"/>
    </row>
    <row r="62" spans="2:25" s="1" customFormat="1" x14ac:dyDescent="0.55000000000000004"/>
    <row r="63" spans="2:25" s="1" customFormat="1" x14ac:dyDescent="0.55000000000000004"/>
    <row r="64" spans="2:25" s="1" customFormat="1" x14ac:dyDescent="0.55000000000000004"/>
    <row r="65" s="1" customFormat="1" x14ac:dyDescent="0.55000000000000004"/>
    <row r="66" s="1" customFormat="1" x14ac:dyDescent="0.55000000000000004"/>
    <row r="67" s="1" customFormat="1" x14ac:dyDescent="0.55000000000000004"/>
    <row r="68" s="1" customFormat="1" x14ac:dyDescent="0.55000000000000004"/>
    <row r="69" s="1" customFormat="1" x14ac:dyDescent="0.55000000000000004"/>
    <row r="70" s="1" customFormat="1" x14ac:dyDescent="0.55000000000000004"/>
    <row r="71" s="1" customFormat="1" x14ac:dyDescent="0.55000000000000004"/>
    <row r="72" s="1" customFormat="1" x14ac:dyDescent="0.55000000000000004"/>
    <row r="73" s="1" customFormat="1" x14ac:dyDescent="0.55000000000000004"/>
    <row r="74" s="1" customFormat="1" x14ac:dyDescent="0.55000000000000004"/>
    <row r="75" s="1" customFormat="1" x14ac:dyDescent="0.55000000000000004"/>
    <row r="76" s="1" customFormat="1" x14ac:dyDescent="0.55000000000000004"/>
    <row r="77" s="1" customFormat="1" x14ac:dyDescent="0.55000000000000004"/>
    <row r="78" s="1" customFormat="1" x14ac:dyDescent="0.55000000000000004"/>
    <row r="79" s="1" customFormat="1" x14ac:dyDescent="0.55000000000000004"/>
    <row r="80" s="1" customFormat="1" x14ac:dyDescent="0.55000000000000004"/>
    <row r="81" s="1" customFormat="1" x14ac:dyDescent="0.55000000000000004"/>
    <row r="82" s="1" customFormat="1" x14ac:dyDescent="0.55000000000000004"/>
    <row r="83" s="1" customFormat="1" x14ac:dyDescent="0.55000000000000004"/>
    <row r="84" s="1" customFormat="1" x14ac:dyDescent="0.55000000000000004"/>
    <row r="85" s="1" customFormat="1" x14ac:dyDescent="0.55000000000000004"/>
    <row r="86" s="1" customFormat="1" x14ac:dyDescent="0.55000000000000004"/>
    <row r="87" s="1" customFormat="1" x14ac:dyDescent="0.55000000000000004"/>
    <row r="88" s="1" customFormat="1" x14ac:dyDescent="0.55000000000000004"/>
    <row r="89" s="1" customFormat="1" x14ac:dyDescent="0.55000000000000004"/>
    <row r="90" s="1" customFormat="1" x14ac:dyDescent="0.55000000000000004"/>
    <row r="91" s="1" customFormat="1" x14ac:dyDescent="0.55000000000000004"/>
    <row r="92" s="1" customFormat="1" x14ac:dyDescent="0.55000000000000004"/>
    <row r="93" s="1" customFormat="1" x14ac:dyDescent="0.55000000000000004"/>
    <row r="94" s="1" customFormat="1" x14ac:dyDescent="0.55000000000000004"/>
    <row r="95" s="1" customFormat="1" x14ac:dyDescent="0.55000000000000004"/>
    <row r="96" s="1" customFormat="1" x14ac:dyDescent="0.55000000000000004"/>
    <row r="97" s="1" customFormat="1" x14ac:dyDescent="0.55000000000000004"/>
    <row r="98" s="1" customFormat="1" x14ac:dyDescent="0.55000000000000004"/>
    <row r="99" s="1" customFormat="1" x14ac:dyDescent="0.55000000000000004"/>
    <row r="100" s="1" customFormat="1" x14ac:dyDescent="0.55000000000000004"/>
    <row r="101" s="1" customFormat="1" x14ac:dyDescent="0.55000000000000004"/>
    <row r="102" s="1" customFormat="1" x14ac:dyDescent="0.55000000000000004"/>
    <row r="103" s="1" customFormat="1" x14ac:dyDescent="0.55000000000000004"/>
    <row r="104" s="1" customFormat="1" x14ac:dyDescent="0.55000000000000004"/>
    <row r="105" s="1" customFormat="1" x14ac:dyDescent="0.55000000000000004"/>
    <row r="106" s="1" customFormat="1" x14ac:dyDescent="0.55000000000000004"/>
    <row r="107" s="1" customFormat="1" x14ac:dyDescent="0.55000000000000004"/>
    <row r="108" s="1" customFormat="1" x14ac:dyDescent="0.55000000000000004"/>
    <row r="109" s="1" customFormat="1" x14ac:dyDescent="0.55000000000000004"/>
    <row r="110" s="1" customFormat="1" x14ac:dyDescent="0.55000000000000004"/>
    <row r="111" s="1" customFormat="1" x14ac:dyDescent="0.55000000000000004"/>
    <row r="112" s="1" customFormat="1" x14ac:dyDescent="0.55000000000000004"/>
    <row r="113" s="1" customFormat="1" x14ac:dyDescent="0.55000000000000004"/>
    <row r="114" s="1" customFormat="1" x14ac:dyDescent="0.55000000000000004"/>
    <row r="115" s="1" customFormat="1" x14ac:dyDescent="0.55000000000000004"/>
    <row r="116" s="1" customFormat="1" x14ac:dyDescent="0.55000000000000004"/>
    <row r="117" s="1" customFormat="1" x14ac:dyDescent="0.55000000000000004"/>
    <row r="118" s="1" customFormat="1" x14ac:dyDescent="0.55000000000000004"/>
    <row r="119" s="1" customFormat="1" x14ac:dyDescent="0.55000000000000004"/>
    <row r="120" s="1" customFormat="1" x14ac:dyDescent="0.55000000000000004"/>
    <row r="121" s="1" customFormat="1" x14ac:dyDescent="0.55000000000000004"/>
    <row r="122" s="1" customFormat="1" x14ac:dyDescent="0.55000000000000004"/>
    <row r="123" s="1" customFormat="1" x14ac:dyDescent="0.55000000000000004"/>
    <row r="124" s="1" customFormat="1" x14ac:dyDescent="0.55000000000000004"/>
    <row r="125" s="1" customFormat="1" x14ac:dyDescent="0.55000000000000004"/>
    <row r="126" s="1" customFormat="1" x14ac:dyDescent="0.55000000000000004"/>
    <row r="127" s="1" customFormat="1" x14ac:dyDescent="0.55000000000000004"/>
    <row r="128" s="1" customFormat="1" x14ac:dyDescent="0.55000000000000004"/>
    <row r="129" s="1" customFormat="1" x14ac:dyDescent="0.55000000000000004"/>
    <row r="130" s="1" customFormat="1" x14ac:dyDescent="0.55000000000000004"/>
    <row r="131" s="1" customFormat="1" x14ac:dyDescent="0.55000000000000004"/>
    <row r="132" s="1" customFormat="1" x14ac:dyDescent="0.55000000000000004"/>
    <row r="133" s="1" customFormat="1" x14ac:dyDescent="0.55000000000000004"/>
    <row r="134" s="1" customFormat="1" x14ac:dyDescent="0.55000000000000004"/>
    <row r="135" s="1" customFormat="1" x14ac:dyDescent="0.55000000000000004"/>
    <row r="136" s="1" customFormat="1" x14ac:dyDescent="0.55000000000000004"/>
    <row r="137" s="1" customFormat="1" x14ac:dyDescent="0.55000000000000004"/>
    <row r="138" s="1" customFormat="1" x14ac:dyDescent="0.55000000000000004"/>
    <row r="139" s="1" customFormat="1" x14ac:dyDescent="0.55000000000000004"/>
    <row r="140" s="1" customFormat="1" x14ac:dyDescent="0.55000000000000004"/>
    <row r="141" s="1" customFormat="1" x14ac:dyDescent="0.55000000000000004"/>
    <row r="142" s="1" customFormat="1" x14ac:dyDescent="0.55000000000000004"/>
    <row r="143" s="1" customFormat="1" x14ac:dyDescent="0.55000000000000004"/>
    <row r="144" s="1" customFormat="1" x14ac:dyDescent="0.55000000000000004"/>
    <row r="145" s="1" customFormat="1" x14ac:dyDescent="0.55000000000000004"/>
    <row r="146" s="1" customFormat="1" x14ac:dyDescent="0.55000000000000004"/>
    <row r="147" s="1" customFormat="1" x14ac:dyDescent="0.55000000000000004"/>
    <row r="148" s="1" customFormat="1" x14ac:dyDescent="0.55000000000000004"/>
    <row r="149" s="1" customFormat="1" x14ac:dyDescent="0.55000000000000004"/>
    <row r="150" s="1" customFormat="1" x14ac:dyDescent="0.55000000000000004"/>
    <row r="151" s="1" customFormat="1" x14ac:dyDescent="0.55000000000000004"/>
    <row r="152" s="1" customFormat="1" x14ac:dyDescent="0.55000000000000004"/>
    <row r="153" s="1" customFormat="1" x14ac:dyDescent="0.55000000000000004"/>
    <row r="154" s="1" customFormat="1" x14ac:dyDescent="0.55000000000000004"/>
    <row r="155" s="1" customFormat="1" x14ac:dyDescent="0.55000000000000004"/>
    <row r="156" s="1" customFormat="1" x14ac:dyDescent="0.55000000000000004"/>
    <row r="157" s="1" customFormat="1" x14ac:dyDescent="0.55000000000000004"/>
    <row r="158" s="1" customFormat="1" x14ac:dyDescent="0.55000000000000004"/>
    <row r="159" s="1" customFormat="1" x14ac:dyDescent="0.55000000000000004"/>
    <row r="160" s="1" customFormat="1" x14ac:dyDescent="0.55000000000000004"/>
    <row r="161" s="1" customFormat="1" x14ac:dyDescent="0.55000000000000004"/>
    <row r="162" s="1" customFormat="1" x14ac:dyDescent="0.55000000000000004"/>
    <row r="163" s="1" customFormat="1" x14ac:dyDescent="0.55000000000000004"/>
    <row r="164" s="1" customFormat="1" x14ac:dyDescent="0.55000000000000004"/>
    <row r="165" s="1" customFormat="1" x14ac:dyDescent="0.55000000000000004"/>
    <row r="166" s="1" customFormat="1" x14ac:dyDescent="0.55000000000000004"/>
    <row r="167" s="1" customFormat="1" x14ac:dyDescent="0.55000000000000004"/>
    <row r="168" s="1" customFormat="1" x14ac:dyDescent="0.55000000000000004"/>
    <row r="169" s="1" customFormat="1" x14ac:dyDescent="0.55000000000000004"/>
    <row r="170" s="1" customFormat="1" x14ac:dyDescent="0.55000000000000004"/>
    <row r="171" s="1" customFormat="1" x14ac:dyDescent="0.55000000000000004"/>
    <row r="172" s="1" customFormat="1" x14ac:dyDescent="0.55000000000000004"/>
    <row r="173" s="1" customFormat="1" x14ac:dyDescent="0.55000000000000004"/>
    <row r="174" s="1" customFormat="1" x14ac:dyDescent="0.55000000000000004"/>
    <row r="175" s="1" customFormat="1" x14ac:dyDescent="0.55000000000000004"/>
    <row r="176" s="1" customFormat="1" x14ac:dyDescent="0.55000000000000004"/>
    <row r="177" s="1" customFormat="1" x14ac:dyDescent="0.55000000000000004"/>
    <row r="178" s="1" customFormat="1" x14ac:dyDescent="0.55000000000000004"/>
    <row r="179" s="1" customFormat="1" x14ac:dyDescent="0.55000000000000004"/>
    <row r="180" s="1" customFormat="1" x14ac:dyDescent="0.55000000000000004"/>
    <row r="181" s="1" customFormat="1" x14ac:dyDescent="0.55000000000000004"/>
    <row r="182" s="1" customFormat="1" x14ac:dyDescent="0.55000000000000004"/>
    <row r="183" s="1" customFormat="1" x14ac:dyDescent="0.55000000000000004"/>
    <row r="184" s="1" customFormat="1" x14ac:dyDescent="0.55000000000000004"/>
    <row r="185" s="1" customFormat="1" x14ac:dyDescent="0.55000000000000004"/>
    <row r="186" s="1" customFormat="1" x14ac:dyDescent="0.55000000000000004"/>
    <row r="187" s="1" customFormat="1" x14ac:dyDescent="0.55000000000000004"/>
    <row r="188" s="1" customFormat="1" x14ac:dyDescent="0.55000000000000004"/>
    <row r="189" s="1" customFormat="1" x14ac:dyDescent="0.55000000000000004"/>
    <row r="190" s="1" customFormat="1" x14ac:dyDescent="0.55000000000000004"/>
    <row r="191" s="1" customFormat="1" x14ac:dyDescent="0.55000000000000004"/>
    <row r="192" s="1" customFormat="1" x14ac:dyDescent="0.55000000000000004"/>
    <row r="193" s="1" customFormat="1" x14ac:dyDescent="0.55000000000000004"/>
    <row r="194" s="1" customFormat="1" x14ac:dyDescent="0.55000000000000004"/>
    <row r="195" s="1" customFormat="1" x14ac:dyDescent="0.55000000000000004"/>
    <row r="196" s="1" customFormat="1" x14ac:dyDescent="0.55000000000000004"/>
    <row r="197" s="1" customFormat="1" x14ac:dyDescent="0.55000000000000004"/>
    <row r="198" s="1" customFormat="1" x14ac:dyDescent="0.55000000000000004"/>
    <row r="199" s="1" customFormat="1" x14ac:dyDescent="0.55000000000000004"/>
    <row r="200" s="1" customFormat="1" x14ac:dyDescent="0.55000000000000004"/>
    <row r="201" s="1" customFormat="1" x14ac:dyDescent="0.55000000000000004"/>
    <row r="202" s="1" customFormat="1" x14ac:dyDescent="0.55000000000000004"/>
    <row r="203" s="1" customFormat="1" x14ac:dyDescent="0.55000000000000004"/>
    <row r="204" s="1" customFormat="1" x14ac:dyDescent="0.55000000000000004"/>
    <row r="205" s="1" customFormat="1" x14ac:dyDescent="0.55000000000000004"/>
    <row r="206" s="1" customFormat="1" x14ac:dyDescent="0.55000000000000004"/>
    <row r="207" s="1" customFormat="1" x14ac:dyDescent="0.55000000000000004"/>
    <row r="208" s="1" customFormat="1" x14ac:dyDescent="0.55000000000000004"/>
    <row r="209" s="1" customFormat="1" x14ac:dyDescent="0.55000000000000004"/>
    <row r="210" s="1" customFormat="1" x14ac:dyDescent="0.55000000000000004"/>
    <row r="211" s="1" customFormat="1" x14ac:dyDescent="0.55000000000000004"/>
    <row r="212" s="1" customFormat="1" x14ac:dyDescent="0.55000000000000004"/>
    <row r="213" s="1" customFormat="1" x14ac:dyDescent="0.55000000000000004"/>
    <row r="214" s="1" customFormat="1" x14ac:dyDescent="0.55000000000000004"/>
    <row r="215" s="1" customFormat="1" x14ac:dyDescent="0.55000000000000004"/>
    <row r="216" s="1" customFormat="1" x14ac:dyDescent="0.55000000000000004"/>
    <row r="217" s="1" customFormat="1" x14ac:dyDescent="0.55000000000000004"/>
    <row r="218" s="1" customFormat="1" x14ac:dyDescent="0.55000000000000004"/>
    <row r="219" s="1" customFormat="1" x14ac:dyDescent="0.55000000000000004"/>
    <row r="220" s="1" customFormat="1" x14ac:dyDescent="0.55000000000000004"/>
    <row r="221" s="1" customFormat="1" x14ac:dyDescent="0.55000000000000004"/>
    <row r="222" s="1" customFormat="1" x14ac:dyDescent="0.55000000000000004"/>
    <row r="223" s="1" customFormat="1" x14ac:dyDescent="0.55000000000000004"/>
    <row r="224" s="1" customFormat="1" x14ac:dyDescent="0.55000000000000004"/>
    <row r="225" s="1" customFormat="1" x14ac:dyDescent="0.55000000000000004"/>
    <row r="226" s="1" customFormat="1" x14ac:dyDescent="0.55000000000000004"/>
    <row r="227" s="1" customFormat="1" x14ac:dyDescent="0.55000000000000004"/>
    <row r="228" s="1" customFormat="1" x14ac:dyDescent="0.55000000000000004"/>
    <row r="229" s="1" customFormat="1" x14ac:dyDescent="0.55000000000000004"/>
    <row r="230" s="1" customFormat="1" x14ac:dyDescent="0.55000000000000004"/>
    <row r="231" s="1" customFormat="1" x14ac:dyDescent="0.55000000000000004"/>
    <row r="232" s="1" customFormat="1" x14ac:dyDescent="0.55000000000000004"/>
    <row r="233" s="1" customFormat="1" x14ac:dyDescent="0.55000000000000004"/>
    <row r="234" s="1" customFormat="1" x14ac:dyDescent="0.55000000000000004"/>
    <row r="235" s="1" customFormat="1" x14ac:dyDescent="0.55000000000000004"/>
    <row r="236" s="1" customFormat="1" x14ac:dyDescent="0.55000000000000004"/>
    <row r="237" s="1" customFormat="1" x14ac:dyDescent="0.55000000000000004"/>
    <row r="238" s="1" customFormat="1" x14ac:dyDescent="0.55000000000000004"/>
    <row r="239" s="1" customFormat="1" x14ac:dyDescent="0.55000000000000004"/>
    <row r="240" s="1" customFormat="1" x14ac:dyDescent="0.55000000000000004"/>
    <row r="241" s="1" customFormat="1" x14ac:dyDescent="0.55000000000000004"/>
    <row r="242" s="1" customFormat="1" x14ac:dyDescent="0.55000000000000004"/>
    <row r="243" s="1" customFormat="1" x14ac:dyDescent="0.55000000000000004"/>
    <row r="244" s="1" customFormat="1" x14ac:dyDescent="0.55000000000000004"/>
    <row r="245" s="1" customFormat="1" x14ac:dyDescent="0.55000000000000004"/>
    <row r="246" s="1" customFormat="1" x14ac:dyDescent="0.55000000000000004"/>
    <row r="247" s="1" customFormat="1" x14ac:dyDescent="0.55000000000000004"/>
    <row r="248" s="1" customFormat="1" x14ac:dyDescent="0.55000000000000004"/>
    <row r="249" s="1" customFormat="1" x14ac:dyDescent="0.55000000000000004"/>
    <row r="250" s="1" customFormat="1" x14ac:dyDescent="0.55000000000000004"/>
    <row r="251" s="1" customFormat="1" x14ac:dyDescent="0.55000000000000004"/>
    <row r="252" s="1" customFormat="1" x14ac:dyDescent="0.55000000000000004"/>
    <row r="253" s="1" customFormat="1" x14ac:dyDescent="0.55000000000000004"/>
    <row r="254" s="1" customFormat="1" x14ac:dyDescent="0.55000000000000004"/>
    <row r="255" s="1" customFormat="1" x14ac:dyDescent="0.55000000000000004"/>
    <row r="256" s="1" customFormat="1" x14ac:dyDescent="0.55000000000000004"/>
    <row r="257" s="1" customFormat="1" x14ac:dyDescent="0.55000000000000004"/>
    <row r="258" s="1" customFormat="1" x14ac:dyDescent="0.55000000000000004"/>
    <row r="259" s="1" customFormat="1" x14ac:dyDescent="0.55000000000000004"/>
    <row r="260" s="1" customFormat="1" x14ac:dyDescent="0.55000000000000004"/>
    <row r="261" s="1" customFormat="1" x14ac:dyDescent="0.55000000000000004"/>
    <row r="262" s="1" customFormat="1" x14ac:dyDescent="0.55000000000000004"/>
    <row r="263" s="1" customFormat="1" x14ac:dyDescent="0.55000000000000004"/>
    <row r="264" s="1" customFormat="1" x14ac:dyDescent="0.55000000000000004"/>
    <row r="265" s="1" customFormat="1" x14ac:dyDescent="0.55000000000000004"/>
    <row r="266" s="1" customFormat="1" x14ac:dyDescent="0.55000000000000004"/>
    <row r="267" s="1" customFormat="1" x14ac:dyDescent="0.55000000000000004"/>
    <row r="268" s="1" customFormat="1" x14ac:dyDescent="0.55000000000000004"/>
    <row r="269" s="1" customFormat="1" x14ac:dyDescent="0.55000000000000004"/>
    <row r="270" s="1" customFormat="1" x14ac:dyDescent="0.55000000000000004"/>
    <row r="271" s="1" customFormat="1" x14ac:dyDescent="0.55000000000000004"/>
    <row r="272" s="1" customFormat="1" x14ac:dyDescent="0.55000000000000004"/>
    <row r="273" s="1" customFormat="1" x14ac:dyDescent="0.55000000000000004"/>
    <row r="274" s="1" customFormat="1" x14ac:dyDescent="0.55000000000000004"/>
    <row r="275" s="1" customFormat="1" x14ac:dyDescent="0.55000000000000004"/>
    <row r="276" s="1" customFormat="1" x14ac:dyDescent="0.55000000000000004"/>
    <row r="277" s="1" customFormat="1" x14ac:dyDescent="0.55000000000000004"/>
    <row r="278" s="1" customFormat="1" x14ac:dyDescent="0.55000000000000004"/>
    <row r="279" s="1" customFormat="1" x14ac:dyDescent="0.55000000000000004"/>
    <row r="280" s="1" customFormat="1" x14ac:dyDescent="0.55000000000000004"/>
    <row r="281" s="1" customFormat="1" x14ac:dyDescent="0.55000000000000004"/>
    <row r="282" s="1" customFormat="1" x14ac:dyDescent="0.55000000000000004"/>
    <row r="283" s="1" customFormat="1" x14ac:dyDescent="0.55000000000000004"/>
    <row r="284" s="1" customFormat="1" x14ac:dyDescent="0.55000000000000004"/>
    <row r="285" s="1" customFormat="1" x14ac:dyDescent="0.55000000000000004"/>
    <row r="286" s="1" customFormat="1" x14ac:dyDescent="0.55000000000000004"/>
    <row r="287" s="1" customFormat="1" x14ac:dyDescent="0.55000000000000004"/>
    <row r="288" s="1" customFormat="1" x14ac:dyDescent="0.55000000000000004"/>
    <row r="289" s="1" customFormat="1" x14ac:dyDescent="0.55000000000000004"/>
    <row r="290" s="1" customFormat="1" x14ac:dyDescent="0.55000000000000004"/>
    <row r="291" s="1" customFormat="1" x14ac:dyDescent="0.55000000000000004"/>
    <row r="292" s="1" customFormat="1" x14ac:dyDescent="0.55000000000000004"/>
    <row r="293" s="1" customFormat="1" x14ac:dyDescent="0.55000000000000004"/>
    <row r="294" s="1" customFormat="1" x14ac:dyDescent="0.55000000000000004"/>
    <row r="295" s="1" customFormat="1" x14ac:dyDescent="0.55000000000000004"/>
    <row r="296" s="1" customFormat="1" x14ac:dyDescent="0.55000000000000004"/>
    <row r="297" s="1" customFormat="1" x14ac:dyDescent="0.55000000000000004"/>
    <row r="298" s="1" customFormat="1" x14ac:dyDescent="0.55000000000000004"/>
    <row r="299" s="1" customFormat="1" x14ac:dyDescent="0.55000000000000004"/>
    <row r="300" s="1" customFormat="1" x14ac:dyDescent="0.55000000000000004"/>
    <row r="301" s="1" customFormat="1" x14ac:dyDescent="0.55000000000000004"/>
    <row r="302" s="1" customFormat="1" x14ac:dyDescent="0.55000000000000004"/>
    <row r="303" s="1" customFormat="1" x14ac:dyDescent="0.55000000000000004"/>
    <row r="304" s="1" customFormat="1" x14ac:dyDescent="0.55000000000000004"/>
    <row r="305" s="1" customFormat="1" x14ac:dyDescent="0.55000000000000004"/>
    <row r="306" s="1" customFormat="1" x14ac:dyDescent="0.55000000000000004"/>
    <row r="307" s="1" customFormat="1" x14ac:dyDescent="0.55000000000000004"/>
    <row r="308" s="1" customFormat="1" x14ac:dyDescent="0.55000000000000004"/>
    <row r="309" s="1" customFormat="1" x14ac:dyDescent="0.55000000000000004"/>
    <row r="310" s="1" customFormat="1" x14ac:dyDescent="0.55000000000000004"/>
    <row r="311" s="1" customFormat="1" x14ac:dyDescent="0.55000000000000004"/>
    <row r="312" s="1" customFormat="1" x14ac:dyDescent="0.55000000000000004"/>
    <row r="313" s="1" customFormat="1" x14ac:dyDescent="0.55000000000000004"/>
    <row r="314" s="1" customFormat="1" x14ac:dyDescent="0.55000000000000004"/>
    <row r="315" s="1" customFormat="1" x14ac:dyDescent="0.55000000000000004"/>
    <row r="316" s="1" customFormat="1" x14ac:dyDescent="0.55000000000000004"/>
    <row r="317" s="1" customFormat="1" x14ac:dyDescent="0.55000000000000004"/>
    <row r="318" s="1" customFormat="1" x14ac:dyDescent="0.55000000000000004"/>
    <row r="319" s="1" customFormat="1" x14ac:dyDescent="0.55000000000000004"/>
    <row r="320" s="1" customFormat="1" x14ac:dyDescent="0.55000000000000004"/>
    <row r="321" s="1" customFormat="1" x14ac:dyDescent="0.55000000000000004"/>
    <row r="322" s="1" customFormat="1" x14ac:dyDescent="0.55000000000000004"/>
    <row r="323" s="1" customFormat="1" x14ac:dyDescent="0.55000000000000004"/>
    <row r="324" s="1" customFormat="1" x14ac:dyDescent="0.55000000000000004"/>
    <row r="325" s="1" customFormat="1" x14ac:dyDescent="0.55000000000000004"/>
    <row r="326" s="1" customFormat="1" x14ac:dyDescent="0.55000000000000004"/>
    <row r="327" s="1" customFormat="1" x14ac:dyDescent="0.55000000000000004"/>
    <row r="328" s="1" customFormat="1" x14ac:dyDescent="0.55000000000000004"/>
    <row r="329" s="1" customFormat="1" x14ac:dyDescent="0.55000000000000004"/>
    <row r="330" s="1" customFormat="1" x14ac:dyDescent="0.55000000000000004"/>
    <row r="331" s="1" customFormat="1" x14ac:dyDescent="0.55000000000000004"/>
    <row r="332" s="1" customFormat="1" x14ac:dyDescent="0.55000000000000004"/>
    <row r="333" s="1" customFormat="1" x14ac:dyDescent="0.55000000000000004"/>
    <row r="334" s="1" customFormat="1" x14ac:dyDescent="0.55000000000000004"/>
    <row r="335" s="1" customFormat="1" x14ac:dyDescent="0.55000000000000004"/>
    <row r="336" s="1" customFormat="1" x14ac:dyDescent="0.55000000000000004"/>
    <row r="337" s="1" customFormat="1" x14ac:dyDescent="0.55000000000000004"/>
    <row r="338" s="1" customFormat="1" x14ac:dyDescent="0.55000000000000004"/>
    <row r="339" s="1" customFormat="1" x14ac:dyDescent="0.55000000000000004"/>
    <row r="340" s="1" customFormat="1" x14ac:dyDescent="0.55000000000000004"/>
    <row r="341" s="1" customFormat="1" x14ac:dyDescent="0.55000000000000004"/>
    <row r="342" s="1" customFormat="1" x14ac:dyDescent="0.55000000000000004"/>
    <row r="343" s="1" customFormat="1" x14ac:dyDescent="0.55000000000000004"/>
    <row r="344" s="1" customFormat="1" x14ac:dyDescent="0.55000000000000004"/>
    <row r="345" s="1" customFormat="1" x14ac:dyDescent="0.55000000000000004"/>
    <row r="346" s="1" customFormat="1" x14ac:dyDescent="0.55000000000000004"/>
    <row r="347" s="1" customFormat="1" x14ac:dyDescent="0.55000000000000004"/>
    <row r="348" s="1" customFormat="1" x14ac:dyDescent="0.55000000000000004"/>
    <row r="349" s="1" customFormat="1" x14ac:dyDescent="0.55000000000000004"/>
    <row r="350" s="1" customFormat="1" x14ac:dyDescent="0.55000000000000004"/>
    <row r="351" s="1" customFormat="1" x14ac:dyDescent="0.55000000000000004"/>
    <row r="352" s="1" customFormat="1" x14ac:dyDescent="0.55000000000000004"/>
    <row r="353" s="1" customFormat="1" x14ac:dyDescent="0.55000000000000004"/>
    <row r="354" s="1" customFormat="1" x14ac:dyDescent="0.55000000000000004"/>
    <row r="355" s="1" customFormat="1" x14ac:dyDescent="0.55000000000000004"/>
    <row r="356" s="1" customFormat="1" x14ac:dyDescent="0.55000000000000004"/>
    <row r="357" s="1" customFormat="1" x14ac:dyDescent="0.55000000000000004"/>
    <row r="358" s="1" customFormat="1" x14ac:dyDescent="0.55000000000000004"/>
    <row r="359" s="1" customFormat="1" x14ac:dyDescent="0.55000000000000004"/>
    <row r="360" s="1" customFormat="1" x14ac:dyDescent="0.55000000000000004"/>
    <row r="361" s="1" customFormat="1" x14ac:dyDescent="0.55000000000000004"/>
    <row r="362" s="1" customFormat="1" x14ac:dyDescent="0.55000000000000004"/>
    <row r="363" s="1" customFormat="1" x14ac:dyDescent="0.55000000000000004"/>
    <row r="364" s="1" customFormat="1" x14ac:dyDescent="0.55000000000000004"/>
    <row r="365" s="1" customFormat="1" x14ac:dyDescent="0.55000000000000004"/>
    <row r="366" s="1" customFormat="1" x14ac:dyDescent="0.55000000000000004"/>
    <row r="367" s="1" customFormat="1" x14ac:dyDescent="0.55000000000000004"/>
    <row r="368" s="1" customFormat="1" x14ac:dyDescent="0.55000000000000004"/>
    <row r="369" s="1" customFormat="1" x14ac:dyDescent="0.55000000000000004"/>
    <row r="370" s="1" customFormat="1" x14ac:dyDescent="0.55000000000000004"/>
    <row r="371" s="1" customFormat="1" x14ac:dyDescent="0.55000000000000004"/>
    <row r="372" s="1" customFormat="1" x14ac:dyDescent="0.55000000000000004"/>
    <row r="373" s="1" customFormat="1" x14ac:dyDescent="0.55000000000000004"/>
    <row r="374" s="1" customFormat="1" x14ac:dyDescent="0.55000000000000004"/>
    <row r="375" s="1" customFormat="1" x14ac:dyDescent="0.55000000000000004"/>
    <row r="376" s="1" customFormat="1" x14ac:dyDescent="0.55000000000000004"/>
    <row r="377" s="1" customFormat="1" x14ac:dyDescent="0.55000000000000004"/>
    <row r="378" s="1" customFormat="1" x14ac:dyDescent="0.55000000000000004"/>
    <row r="379" s="1" customFormat="1" x14ac:dyDescent="0.55000000000000004"/>
    <row r="380" s="1" customFormat="1" x14ac:dyDescent="0.55000000000000004"/>
    <row r="381" s="1" customFormat="1" x14ac:dyDescent="0.55000000000000004"/>
    <row r="382" s="1" customFormat="1" x14ac:dyDescent="0.55000000000000004"/>
    <row r="383" s="1" customFormat="1" x14ac:dyDescent="0.55000000000000004"/>
    <row r="384" s="1" customFormat="1" x14ac:dyDescent="0.55000000000000004"/>
    <row r="385" s="1" customFormat="1" x14ac:dyDescent="0.55000000000000004"/>
    <row r="386" s="1" customFormat="1" x14ac:dyDescent="0.55000000000000004"/>
    <row r="387" s="1" customFormat="1" x14ac:dyDescent="0.55000000000000004"/>
    <row r="388" s="1" customFormat="1" x14ac:dyDescent="0.55000000000000004"/>
    <row r="389" s="1" customFormat="1" x14ac:dyDescent="0.55000000000000004"/>
    <row r="390" s="1" customFormat="1" x14ac:dyDescent="0.55000000000000004"/>
    <row r="391" s="1" customFormat="1" x14ac:dyDescent="0.55000000000000004"/>
    <row r="392" s="1" customFormat="1" x14ac:dyDescent="0.55000000000000004"/>
    <row r="393" s="1" customFormat="1" x14ac:dyDescent="0.55000000000000004"/>
    <row r="394" s="1" customFormat="1" x14ac:dyDescent="0.55000000000000004"/>
    <row r="395" s="1" customFormat="1" x14ac:dyDescent="0.55000000000000004"/>
    <row r="396" s="1" customFormat="1" x14ac:dyDescent="0.55000000000000004"/>
    <row r="397" s="1" customFormat="1" x14ac:dyDescent="0.55000000000000004"/>
    <row r="398" s="1" customFormat="1" x14ac:dyDescent="0.55000000000000004"/>
    <row r="399" s="1" customFormat="1" x14ac:dyDescent="0.55000000000000004"/>
    <row r="400" s="1" customFormat="1" x14ac:dyDescent="0.55000000000000004"/>
    <row r="401" s="1" customFormat="1" x14ac:dyDescent="0.55000000000000004"/>
    <row r="402" s="1" customFormat="1" x14ac:dyDescent="0.55000000000000004"/>
    <row r="403" s="1" customFormat="1" x14ac:dyDescent="0.55000000000000004"/>
    <row r="404" s="1" customFormat="1" x14ac:dyDescent="0.55000000000000004"/>
    <row r="405" s="1" customFormat="1" x14ac:dyDescent="0.55000000000000004"/>
    <row r="406" s="1" customFormat="1" x14ac:dyDescent="0.55000000000000004"/>
    <row r="407" s="1" customFormat="1" x14ac:dyDescent="0.55000000000000004"/>
    <row r="408" s="1" customFormat="1" x14ac:dyDescent="0.55000000000000004"/>
    <row r="409" s="1" customFormat="1" x14ac:dyDescent="0.55000000000000004"/>
    <row r="410" s="1" customFormat="1" x14ac:dyDescent="0.55000000000000004"/>
    <row r="411" s="1" customFormat="1" x14ac:dyDescent="0.55000000000000004"/>
    <row r="412" s="1" customFormat="1" x14ac:dyDescent="0.55000000000000004"/>
    <row r="413" s="1" customFormat="1" x14ac:dyDescent="0.55000000000000004"/>
    <row r="414" s="1" customFormat="1" x14ac:dyDescent="0.55000000000000004"/>
    <row r="415" s="1" customFormat="1" x14ac:dyDescent="0.55000000000000004"/>
    <row r="416" s="1" customFormat="1" x14ac:dyDescent="0.55000000000000004"/>
    <row r="417" s="1" customFormat="1" x14ac:dyDescent="0.55000000000000004"/>
    <row r="418" s="1" customFormat="1" x14ac:dyDescent="0.55000000000000004"/>
    <row r="419" s="1" customFormat="1" x14ac:dyDescent="0.55000000000000004"/>
    <row r="420" s="1" customFormat="1" x14ac:dyDescent="0.55000000000000004"/>
    <row r="421" s="1" customFormat="1" x14ac:dyDescent="0.55000000000000004"/>
    <row r="422" s="1" customFormat="1" x14ac:dyDescent="0.55000000000000004"/>
    <row r="423" s="1" customFormat="1" x14ac:dyDescent="0.55000000000000004"/>
    <row r="424" s="1" customFormat="1" x14ac:dyDescent="0.55000000000000004"/>
    <row r="425" s="1" customFormat="1" x14ac:dyDescent="0.55000000000000004"/>
    <row r="426" s="1" customFormat="1" x14ac:dyDescent="0.55000000000000004"/>
    <row r="427" s="1" customFormat="1" x14ac:dyDescent="0.55000000000000004"/>
    <row r="428" s="1" customFormat="1" x14ac:dyDescent="0.55000000000000004"/>
    <row r="429" s="1" customFormat="1" x14ac:dyDescent="0.55000000000000004"/>
    <row r="430" s="1" customFormat="1" x14ac:dyDescent="0.55000000000000004"/>
    <row r="431" s="1" customFormat="1" x14ac:dyDescent="0.55000000000000004"/>
    <row r="432" s="1" customFormat="1" x14ac:dyDescent="0.55000000000000004"/>
    <row r="433" s="1" customFormat="1" x14ac:dyDescent="0.55000000000000004"/>
    <row r="434" s="1" customFormat="1" x14ac:dyDescent="0.55000000000000004"/>
    <row r="435" s="1" customFormat="1" x14ac:dyDescent="0.55000000000000004"/>
    <row r="436" s="1" customFormat="1" x14ac:dyDescent="0.55000000000000004"/>
    <row r="437" s="1" customFormat="1" x14ac:dyDescent="0.55000000000000004"/>
    <row r="438" s="1" customFormat="1" x14ac:dyDescent="0.55000000000000004"/>
    <row r="439" s="1" customFormat="1" x14ac:dyDescent="0.55000000000000004"/>
    <row r="440" s="1" customFormat="1" x14ac:dyDescent="0.55000000000000004"/>
    <row r="441" s="1" customFormat="1" x14ac:dyDescent="0.55000000000000004"/>
    <row r="442" s="1" customFormat="1" x14ac:dyDescent="0.55000000000000004"/>
    <row r="443" s="1" customFormat="1" x14ac:dyDescent="0.55000000000000004"/>
    <row r="444" s="1" customFormat="1" x14ac:dyDescent="0.55000000000000004"/>
    <row r="445" s="1" customFormat="1" x14ac:dyDescent="0.55000000000000004"/>
    <row r="446" s="1" customFormat="1" x14ac:dyDescent="0.55000000000000004"/>
    <row r="447" s="1" customFormat="1" x14ac:dyDescent="0.55000000000000004"/>
    <row r="448" s="1" customFormat="1" x14ac:dyDescent="0.55000000000000004"/>
    <row r="449" s="1" customFormat="1" x14ac:dyDescent="0.55000000000000004"/>
    <row r="450" s="1" customFormat="1" x14ac:dyDescent="0.55000000000000004"/>
    <row r="451" s="1" customFormat="1" x14ac:dyDescent="0.55000000000000004"/>
    <row r="452" s="1" customFormat="1" x14ac:dyDescent="0.55000000000000004"/>
    <row r="453" s="1" customFormat="1" x14ac:dyDescent="0.55000000000000004"/>
    <row r="454" s="1" customFormat="1" x14ac:dyDescent="0.55000000000000004"/>
    <row r="455" s="1" customFormat="1" x14ac:dyDescent="0.55000000000000004"/>
    <row r="456" s="1" customFormat="1" x14ac:dyDescent="0.55000000000000004"/>
    <row r="457" s="1" customFormat="1" x14ac:dyDescent="0.55000000000000004"/>
    <row r="458" s="1" customFormat="1" x14ac:dyDescent="0.55000000000000004"/>
    <row r="459" s="1" customFormat="1" x14ac:dyDescent="0.55000000000000004"/>
    <row r="460" s="1" customFormat="1" x14ac:dyDescent="0.55000000000000004"/>
    <row r="461" s="1" customFormat="1" x14ac:dyDescent="0.55000000000000004"/>
    <row r="462" s="1" customFormat="1" x14ac:dyDescent="0.55000000000000004"/>
    <row r="463" s="1" customFormat="1" x14ac:dyDescent="0.55000000000000004"/>
    <row r="464" s="1" customFormat="1" x14ac:dyDescent="0.55000000000000004"/>
    <row r="465" s="1" customFormat="1" x14ac:dyDescent="0.55000000000000004"/>
    <row r="466" s="1" customFormat="1" x14ac:dyDescent="0.55000000000000004"/>
    <row r="467" s="1" customFormat="1" x14ac:dyDescent="0.55000000000000004"/>
    <row r="468" s="1" customFormat="1" x14ac:dyDescent="0.55000000000000004"/>
    <row r="469" s="1" customFormat="1" x14ac:dyDescent="0.55000000000000004"/>
    <row r="470" s="1" customFormat="1" x14ac:dyDescent="0.55000000000000004"/>
    <row r="471" s="1" customFormat="1" x14ac:dyDescent="0.55000000000000004"/>
    <row r="472" s="1" customFormat="1" x14ac:dyDescent="0.55000000000000004"/>
    <row r="473" s="1" customFormat="1" x14ac:dyDescent="0.55000000000000004"/>
    <row r="474" s="1" customFormat="1" x14ac:dyDescent="0.55000000000000004"/>
    <row r="475" s="1" customFormat="1" x14ac:dyDescent="0.55000000000000004"/>
    <row r="476" s="1" customFormat="1" x14ac:dyDescent="0.55000000000000004"/>
    <row r="477" s="1" customFormat="1" x14ac:dyDescent="0.55000000000000004"/>
    <row r="478" s="1" customFormat="1" x14ac:dyDescent="0.55000000000000004"/>
    <row r="479" s="1" customFormat="1" x14ac:dyDescent="0.55000000000000004"/>
    <row r="480" s="1" customFormat="1" x14ac:dyDescent="0.55000000000000004"/>
    <row r="481" spans="2:3" s="1" customFormat="1" x14ac:dyDescent="0.55000000000000004"/>
    <row r="482" spans="2:3" s="1" customFormat="1" x14ac:dyDescent="0.55000000000000004"/>
    <row r="483" spans="2:3" s="1" customFormat="1" x14ac:dyDescent="0.55000000000000004"/>
    <row r="484" spans="2:3" s="1" customFormat="1" x14ac:dyDescent="0.55000000000000004">
      <c r="B484"/>
      <c r="C484"/>
    </row>
    <row r="485" spans="2:3" s="1" customFormat="1" x14ac:dyDescent="0.55000000000000004">
      <c r="B485"/>
      <c r="C485"/>
    </row>
    <row r="486" spans="2:3" s="1" customFormat="1" x14ac:dyDescent="0.55000000000000004">
      <c r="B486"/>
      <c r="C486"/>
    </row>
    <row r="487" spans="2:3" s="1" customFormat="1" x14ac:dyDescent="0.55000000000000004">
      <c r="B487"/>
      <c r="C487"/>
    </row>
    <row r="488" spans="2:3" s="1" customFormat="1" x14ac:dyDescent="0.55000000000000004">
      <c r="B488"/>
      <c r="C488"/>
    </row>
    <row r="489" spans="2:3" s="1" customFormat="1" x14ac:dyDescent="0.55000000000000004">
      <c r="B489"/>
      <c r="C489"/>
    </row>
    <row r="490" spans="2:3" s="1" customFormat="1" x14ac:dyDescent="0.55000000000000004">
      <c r="B490"/>
      <c r="C490"/>
    </row>
    <row r="491" spans="2:3" s="1" customFormat="1" x14ac:dyDescent="0.55000000000000004">
      <c r="B491"/>
      <c r="C491"/>
    </row>
    <row r="492" spans="2:3" s="1" customFormat="1" x14ac:dyDescent="0.55000000000000004">
      <c r="B492"/>
      <c r="C492"/>
    </row>
    <row r="493" spans="2:3" s="1" customFormat="1" x14ac:dyDescent="0.55000000000000004">
      <c r="B493"/>
      <c r="C493"/>
    </row>
    <row r="494" spans="2:3" s="1" customFormat="1" x14ac:dyDescent="0.55000000000000004">
      <c r="B494"/>
      <c r="C494"/>
    </row>
    <row r="495" spans="2:3" s="1" customFormat="1" x14ac:dyDescent="0.55000000000000004">
      <c r="B495"/>
      <c r="C495"/>
    </row>
    <row r="496" spans="2:3" s="1" customFormat="1" x14ac:dyDescent="0.55000000000000004">
      <c r="B496"/>
      <c r="C496"/>
    </row>
    <row r="497" spans="2:3" s="1" customFormat="1" x14ac:dyDescent="0.55000000000000004">
      <c r="B497"/>
      <c r="C497"/>
    </row>
    <row r="498" spans="2:3" s="1" customFormat="1" x14ac:dyDescent="0.55000000000000004">
      <c r="B498"/>
      <c r="C498"/>
    </row>
    <row r="499" spans="2:3" s="1" customFormat="1" x14ac:dyDescent="0.55000000000000004">
      <c r="B499"/>
      <c r="C499"/>
    </row>
  </sheetData>
  <mergeCells count="12">
    <mergeCell ref="Z16:AC16"/>
    <mergeCell ref="B49:F49"/>
    <mergeCell ref="B1:D3"/>
    <mergeCell ref="V15:Y15"/>
    <mergeCell ref="J6:N6"/>
    <mergeCell ref="V16:Y16"/>
    <mergeCell ref="Z15:AC15"/>
    <mergeCell ref="O15:Q15"/>
    <mergeCell ref="R15:U15"/>
    <mergeCell ref="K15:N15"/>
    <mergeCell ref="I15:J15"/>
    <mergeCell ref="B4:E4"/>
  </mergeCells>
  <pageMargins left="0.7" right="0.7" top="0.75" bottom="0.75" header="0.3" footer="0.3"/>
  <pageSetup paperSize="9" orientation="landscape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Нихром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2025-07-29T06:24:26Z</dcterms:modified>
</cp:coreProperties>
</file>